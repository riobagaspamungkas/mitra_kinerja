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ILAIAN" sheetId="1" state="visible" r:id="rId1"/>
    <sheet name="KENDALI" sheetId="2" state="visible" r:id="rId2"/>
    <sheet name="REKOMENDASI" sheetId="3" state="visible" r:id="rId3"/>
    <sheet name="RUBRIK" sheetId="4" state="visible" r:id="rId4"/>
    <sheet name="PANDUAN" sheetId="5" state="visible" r:id="rId5"/>
    <sheet name="CONTOH" sheetId="6" state="visible" r:id="rId6"/>
    <sheet name="SUMBER_BASELINE" sheetId="7" state="visible" r:id="rId7"/>
    <sheet name="SUMBER_AKT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 mmm\ yyyy"/>
  </numFmts>
  <fonts count="11">
    <font>
      <name val="Calibri"/>
      <family val="2"/>
      <color theme="1"/>
      <sz val="11"/>
      <scheme val="minor"/>
    </font>
    <font>
      <name val="Carlito"/>
      <b val="1"/>
      <color rgb="FFFFFFFF"/>
      <sz val="15"/>
    </font>
    <font>
      <name val="Carlito"/>
      <b val="1"/>
      <color rgb="FFFFFFFF"/>
      <sz val="10"/>
    </font>
    <font>
      <name val="Carlito"/>
      <b val="1"/>
      <color rgb="FF1F1F1F"/>
      <sz val="11"/>
    </font>
    <font>
      <name val="Carlito"/>
      <b val="1"/>
      <color rgb="FF1F1F1F"/>
      <sz val="10"/>
    </font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color rgb="FF1F1F1F"/>
      <sz val="11"/>
    </font>
    <font>
      <name val="Carlito"/>
      <b val="1"/>
      <color rgb="FFFFFFFF"/>
      <sz val="14"/>
    </font>
    <font>
      <name val="Carlito"/>
      <i val="1"/>
      <color rgb="FF1F1F1F"/>
      <sz val="10"/>
    </font>
  </fonts>
  <fills count="13">
    <fill>
      <patternFill/>
    </fill>
    <fill>
      <patternFill patternType="gray125"/>
    </fill>
    <fill>
      <patternFill patternType="solid">
        <fgColor rgb="FF163A5F"/>
      </patternFill>
    </fill>
    <fill>
      <patternFill patternType="solid">
        <fgColor rgb="FF1F4E78"/>
      </patternFill>
    </fill>
    <fill>
      <patternFill patternType="solid">
        <fgColor rgb="FFEEF5FB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5E8B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5B9BD5"/>
      </patternFill>
    </fill>
  </fills>
  <borders count="55">
    <border>
      <left/>
      <right/>
      <top/>
      <bottom/>
      <diagonal/>
    </border>
    <border/>
    <border>
      <left style="thin">
        <color rgb="FFB4C6E7"/>
      </left>
      <top style="thin">
        <color rgb="FFB4C6E7"/>
      </top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left style="thin">
        <color rgb="FFB4C6E7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rgb="FFB4C6E7"/>
      </right>
      <top style="thin">
        <color indexed="64"/>
      </top>
      <bottom style="thin">
        <color indexed="64"/>
      </bottom>
    </border>
    <border>
      <left style="thin">
        <color rgb="FFB4C6E7"/>
      </left>
      <right style="thin">
        <color indexed="64"/>
      </right>
      <top style="thin">
        <color indexed="64"/>
      </top>
      <bottom style="thin">
        <color rgb="FFB4C6E7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4C6E7"/>
      </bottom>
    </border>
    <border>
      <left style="thin">
        <color indexed="64"/>
      </left>
      <right style="thin">
        <color rgb="FFB4C6E7"/>
      </right>
      <top style="thin">
        <color indexed="64"/>
      </top>
      <bottom style="thin">
        <color rgb="FFB4C6E7"/>
      </bottom>
    </border>
    <border>
      <left style="thin">
        <color rgb="FFB4C6E7"/>
      </left>
      <right style="thin">
        <color indexed="64"/>
      </right>
      <top style="thin">
        <color rgb="FFB4C6E7"/>
      </top>
      <bottom style="thin">
        <color indexed="64"/>
      </bottom>
    </border>
    <border>
      <left style="thin">
        <color indexed="64"/>
      </left>
      <right style="thin">
        <color rgb="FFB4C6E7"/>
      </right>
      <top style="thin">
        <color rgb="FFB4C6E7"/>
      </top>
      <bottom style="thin">
        <color indexed="64"/>
      </bottom>
    </border>
    <border>
      <right style="thin">
        <color rgb="FFB4C6E7"/>
      </right>
      <top style="thin">
        <color rgb="FFB4C6E7"/>
      </top>
      <bottom style="thin">
        <color indexed="64"/>
      </bottom>
    </border>
    <border>
      <right style="thin">
        <color rgb="FFB4C6E7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rgb="FFB4C6E7"/>
      </right>
      <top style="thin">
        <color indexed="64"/>
      </top>
      <bottom style="thin">
        <color rgb="FFB4C6E7"/>
      </bottom>
    </border>
    <border>
      <left/>
      <right/>
      <top style="thin">
        <color indexed="64"/>
      </top>
      <bottom/>
      <diagonal/>
    </border>
    <border>
      <left/>
      <right style="thin">
        <color rgb="FFB4C6E7"/>
      </right>
      <top style="thin">
        <color indexed="64"/>
      </top>
      <bottom/>
      <diagonal/>
    </border>
    <border>
      <left/>
      <right style="thin">
        <color rgb="FFB4C6E7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4C6E7"/>
      </right>
      <top style="thin">
        <color indexed="64"/>
      </top>
      <bottom style="thin">
        <color rgb="FFB4C6E7"/>
      </bottom>
      <diagonal/>
    </border>
    <border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bottom style="thin">
        <color rgb="FFB4C6E7"/>
      </bottom>
    </border>
    <border>
      <left style="thin">
        <color indexed="64"/>
      </left>
      <right style="thin">
        <color rgb="FFB4C6E7"/>
      </right>
      <bottom style="thin">
        <color indexed="64"/>
      </bottom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4C6E7"/>
      </right>
      <top/>
      <bottom/>
      <diagonal/>
    </border>
    <border>
      <left style="thin">
        <color indexed="64"/>
      </left>
      <right style="thin">
        <color rgb="FFB4C6E7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4C6E7"/>
      </right>
    </border>
    <border>
      <left style="thin">
        <color indexed="64"/>
      </left>
      <right style="thin">
        <color indexed="64"/>
      </right>
      <bottom style="thin">
        <color rgb="FFB4C6E7"/>
      </bottom>
    </border>
    <border>
      <right style="thin">
        <color rgb="FFB4C6E7"/>
      </right>
    </border>
    <border>
      <right style="thin">
        <color rgb="FFB4C6E7"/>
      </right>
      <bottom style="thin">
        <color rgb="FFB4C6E7"/>
      </bottom>
    </border>
    <border>
      <left style="thin">
        <color indexed="64"/>
      </left>
      <right style="thin">
        <color indexed="64"/>
      </right>
      <top/>
      <bottom style="thin">
        <color rgb="FFB4C6E7"/>
      </bottom>
      <diagonal/>
    </border>
    <border>
      <left style="thin">
        <color rgb="FFB4C6E7"/>
      </left>
    </border>
    <border>
      <left style="thin">
        <color rgb="FFB4C6E7"/>
      </left>
      <bottom style="thin">
        <color rgb="FFB4C6E7"/>
      </bottom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4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top" wrapText="1"/>
    </xf>
    <xf numFmtId="0" fontId="7" fillId="0" borderId="6" applyAlignment="1" pivotButton="0" quotePrefix="0" xfId="0">
      <alignment horizontal="center" vertical="top" wrapText="1"/>
    </xf>
    <xf numFmtId="0" fontId="5" fillId="0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  <xf numFmtId="0" fontId="5" fillId="4" borderId="6" applyAlignment="1" pivotButton="0" quotePrefix="0" xfId="0">
      <alignment vertical="top" wrapText="1"/>
    </xf>
    <xf numFmtId="0" fontId="8" fillId="7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vertical="top" wrapText="1"/>
    </xf>
    <xf numFmtId="0" fontId="5" fillId="5" borderId="7" applyAlignment="1" pivotButton="0" quotePrefix="0" xfId="0">
      <alignment vertical="top" wrapText="1"/>
    </xf>
    <xf numFmtId="0" fontId="8" fillId="8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vertical="top" wrapText="1"/>
    </xf>
    <xf numFmtId="0" fontId="7" fillId="0" borderId="9" applyAlignment="1" pivotButton="0" quotePrefix="0" xfId="0">
      <alignment horizontal="center" vertical="top" wrapText="1"/>
    </xf>
    <xf numFmtId="0" fontId="5" fillId="0" borderId="9" applyAlignment="1" pivotButton="0" quotePrefix="0" xfId="0">
      <alignment vertical="top" wrapText="1"/>
    </xf>
    <xf numFmtId="0" fontId="5" fillId="6" borderId="9" applyAlignment="1" pivotButton="0" quotePrefix="0" xfId="0">
      <alignment vertical="top" wrapText="1"/>
    </xf>
    <xf numFmtId="0" fontId="5" fillId="4" borderId="9" applyAlignment="1" pivotButton="0" quotePrefix="0" xfId="0">
      <alignment vertical="top" wrapText="1"/>
    </xf>
    <xf numFmtId="0" fontId="8" fillId="7" borderId="9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5" fillId="5" borderId="9" applyAlignment="1" pivotButton="0" quotePrefix="0" xfId="0">
      <alignment vertical="top" wrapText="1"/>
    </xf>
    <xf numFmtId="0" fontId="5" fillId="5" borderId="10" applyAlignment="1" pivotButton="0" quotePrefix="0" xfId="0">
      <alignment vertical="top" wrapText="1"/>
    </xf>
    <xf numFmtId="0" fontId="3" fillId="4" borderId="11" applyAlignment="1" pivotButton="0" quotePrefix="0" xfId="0">
      <alignment vertical="center"/>
    </xf>
    <xf numFmtId="0" fontId="3" fillId="6" borderId="12" applyAlignment="1" pivotButton="0" quotePrefix="0" xfId="0">
      <alignment horizontal="center" vertical="center" wrapText="1"/>
    </xf>
    <xf numFmtId="0" fontId="0" fillId="0" borderId="22" pivotButton="0" quotePrefix="0" xfId="0"/>
    <xf numFmtId="0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3" fillId="6" borderId="7" applyAlignment="1" pivotButton="0" quotePrefix="0" xfId="0">
      <alignment horizontal="center" vertical="center" wrapText="1"/>
    </xf>
    <xf numFmtId="0" fontId="0" fillId="0" borderId="19" pivotButton="0" quotePrefix="0" xfId="0"/>
    <xf numFmtId="0" fontId="3" fillId="4" borderId="6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top" wrapText="1"/>
    </xf>
    <xf numFmtId="0" fontId="0" fillId="0" borderId="24" pivotButton="0" quotePrefix="0" xfId="0"/>
    <xf numFmtId="0" fontId="5" fillId="0" borderId="1" applyAlignment="1" pivotButton="0" quotePrefix="0" xfId="0">
      <alignment horizontal="center" vertical="top" wrapText="1"/>
    </xf>
    <xf numFmtId="2" fontId="3" fillId="6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wrapText="1"/>
    </xf>
    <xf numFmtId="0" fontId="3" fillId="4" borderId="8" applyAlignment="1" pivotButton="0" quotePrefix="0" xfId="0">
      <alignment vertical="center"/>
    </xf>
    <xf numFmtId="0" fontId="3" fillId="6" borderId="10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6" applyAlignment="1" pivotButton="0" quotePrefix="0" xfId="0">
      <alignment vertical="center"/>
    </xf>
    <xf numFmtId="0" fontId="3" fillId="6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top" wrapText="1"/>
    </xf>
    <xf numFmtId="0" fontId="0" fillId="0" borderId="47" pivotButton="0" quotePrefix="0" xfId="0"/>
    <xf numFmtId="2" fontId="3" fillId="6" borderId="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3" pivotButton="0" quotePrefix="0" xfId="0"/>
    <xf numFmtId="0" fontId="0" fillId="0" borderId="39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46" pivotButton="0" quotePrefix="0" xfId="0"/>
    <xf numFmtId="0" fontId="0" fillId="0" borderId="43" pivotButton="0" quotePrefix="0" xfId="0"/>
    <xf numFmtId="0" fontId="6" fillId="3" borderId="2" applyAlignment="1" pivotButton="0" quotePrefix="0" xfId="0">
      <alignment horizontal="center" vertical="top" wrapText="1"/>
    </xf>
    <xf numFmtId="0" fontId="6" fillId="3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5" fillId="7" borderId="6" applyAlignment="1" pivotButton="0" quotePrefix="0" xfId="0">
      <alignment horizontal="center" vertical="top" wrapText="1"/>
    </xf>
    <xf numFmtId="0" fontId="5" fillId="10" borderId="6" applyAlignment="1" pivotButton="0" quotePrefix="0" xfId="0">
      <alignment vertical="top" wrapText="1"/>
    </xf>
    <xf numFmtId="164" fontId="5" fillId="10" borderId="6" applyAlignment="1" pivotButton="0" quotePrefix="0" xfId="0">
      <alignment vertical="top" wrapText="1"/>
    </xf>
    <xf numFmtId="0" fontId="3" fillId="4" borderId="6" applyAlignment="1" pivotButton="0" quotePrefix="0" xfId="0">
      <alignment vertical="top" wrapText="1"/>
    </xf>
    <xf numFmtId="0" fontId="5" fillId="4" borderId="7" applyAlignment="1" pivotButton="0" quotePrefix="0" xfId="0">
      <alignment vertical="top" wrapText="1"/>
    </xf>
    <xf numFmtId="0" fontId="3" fillId="4" borderId="6" applyAlignment="1" pivotButton="0" quotePrefix="0" xfId="0">
      <alignment horizontal="left" vertical="top" wrapText="1"/>
    </xf>
    <xf numFmtId="0" fontId="5" fillId="4" borderId="7" applyAlignment="1" pivotButton="0" quotePrefix="0" xfId="0">
      <alignment horizontal="left" vertical="top" wrapText="1"/>
    </xf>
    <xf numFmtId="0" fontId="5" fillId="5" borderId="9" applyAlignment="1" pivotButton="0" quotePrefix="0" xfId="0">
      <alignment horizontal="center" vertical="top" wrapText="1"/>
    </xf>
    <xf numFmtId="0" fontId="5" fillId="10" borderId="9" applyAlignment="1" pivotButton="0" quotePrefix="0" xfId="0">
      <alignment vertical="top" wrapText="1"/>
    </xf>
    <xf numFmtId="164" fontId="5" fillId="10" borderId="9" applyAlignment="1" pivotButton="0" quotePrefix="0" xfId="0">
      <alignment vertical="top" wrapText="1"/>
    </xf>
    <xf numFmtId="0" fontId="5" fillId="0" borderId="36" applyAlignment="1" pivotButton="0" quotePrefix="0" xfId="0">
      <alignment vertical="top" wrapText="1"/>
    </xf>
    <xf numFmtId="0" fontId="0" fillId="0" borderId="45" pivotButton="0" quotePrefix="0" xfId="0"/>
    <xf numFmtId="0" fontId="3" fillId="4" borderId="11" applyAlignment="1" pivotButton="0" quotePrefix="0" xfId="0">
      <alignment vertical="center" wrapText="1"/>
    </xf>
    <xf numFmtId="0" fontId="3" fillId="5" borderId="12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3" fillId="4" borderId="5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3" fillId="4" borderId="8" applyAlignment="1" pivotButton="0" quotePrefix="0" xfId="0">
      <alignment vertical="center" wrapText="1"/>
    </xf>
    <xf numFmtId="0" fontId="5" fillId="5" borderId="10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3" fillId="6" borderId="6" applyAlignment="1" pivotButton="0" quotePrefix="0" xfId="0">
      <alignment vertical="top" wrapText="1"/>
    </xf>
    <xf numFmtId="2" fontId="3" fillId="6" borderId="6" applyAlignment="1" pivotButton="0" quotePrefix="0" xfId="0">
      <alignment vertical="top" wrapText="1"/>
    </xf>
    <xf numFmtId="164" fontId="5" fillId="5" borderId="7" applyAlignment="1" pivotButton="0" quotePrefix="0" xfId="0">
      <alignment horizontal="left" vertical="top" wrapText="1"/>
    </xf>
    <xf numFmtId="0" fontId="3" fillId="4" borderId="9" applyAlignment="1" pivotButton="0" quotePrefix="0" xfId="0">
      <alignment horizontal="center" vertical="top" wrapText="1"/>
    </xf>
    <xf numFmtId="0" fontId="5" fillId="5" borderId="7" applyAlignment="1" pivotButton="0" quotePrefix="0" xfId="0">
      <alignment horizontal="left" vertical="top" wrapText="1"/>
    </xf>
    <xf numFmtId="0" fontId="0" fillId="0" borderId="44" pivotButton="0" quotePrefix="0" xfId="0"/>
    <xf numFmtId="0" fontId="3" fillId="4" borderId="8" applyAlignment="1" pivotButton="0" quotePrefix="0" xfId="0">
      <alignment vertical="top" wrapText="1"/>
    </xf>
    <xf numFmtId="2" fontId="3" fillId="6" borderId="9" applyAlignment="1" pivotButton="0" quotePrefix="0" xfId="0">
      <alignment vertical="top" wrapText="1"/>
    </xf>
    <xf numFmtId="0" fontId="0" fillId="0" borderId="52" pivotButton="0" quotePrefix="0" xfId="0"/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horizontal="left" vertical="top" wrapText="1"/>
    </xf>
    <xf numFmtId="0" fontId="5" fillId="0" borderId="7" applyAlignment="1" pivotButton="0" quotePrefix="0" xfId="0">
      <alignment vertical="top" wrapText="1"/>
    </xf>
    <xf numFmtId="0" fontId="5" fillId="0" borderId="50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164" fontId="5" fillId="5" borderId="9" applyAlignment="1" pivotButton="0" quotePrefix="0" xfId="0">
      <alignment vertical="top" wrapText="1"/>
    </xf>
    <xf numFmtId="0" fontId="5" fillId="0" borderId="5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horizontal="center" vertical="top" wrapText="1"/>
    </xf>
    <xf numFmtId="0" fontId="5" fillId="5" borderId="7" applyAlignment="1" pivotButton="0" quotePrefix="0" xfId="0">
      <alignment horizontal="center" vertical="top" wrapText="1"/>
    </xf>
    <xf numFmtId="164" fontId="5" fillId="5" borderId="7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164" fontId="5" fillId="5" borderId="1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9" fillId="2" borderId="1" pivotButton="0" quotePrefix="0" xfId="0"/>
    <xf numFmtId="0" fontId="5" fillId="6" borderId="1" pivotButton="0" quotePrefix="0" xfId="0"/>
    <xf numFmtId="0" fontId="6" fillId="3" borderId="1" applyAlignment="1" pivotButton="0" quotePrefix="0" xfId="0">
      <alignment wrapText="1"/>
    </xf>
    <xf numFmtId="0" fontId="9" fillId="11" borderId="2" applyAlignment="1" pivotButton="0" quotePrefix="0" xfId="0">
      <alignment wrapText="1"/>
    </xf>
    <xf numFmtId="0" fontId="9" fillId="11" borderId="3" applyAlignment="1" pivotButton="0" quotePrefix="0" xfId="0">
      <alignment wrapText="1"/>
    </xf>
    <xf numFmtId="0" fontId="9" fillId="11" borderId="4" applyAlignment="1" pivotButton="0" quotePrefix="0" xfId="0">
      <alignment wrapText="1"/>
    </xf>
    <xf numFmtId="0" fontId="10" fillId="6" borderId="53" applyAlignment="1" pivotButton="0" quotePrefix="0" xfId="0">
      <alignment wrapText="1"/>
    </xf>
    <xf numFmtId="0" fontId="10" fillId="6" borderId="1" applyAlignment="1" pivotButton="0" quotePrefix="0" xfId="0">
      <alignment wrapText="1"/>
    </xf>
    <xf numFmtId="0" fontId="10" fillId="6" borderId="50" applyAlignment="1" pivotButton="0" quotePrefix="0" xfId="0">
      <alignment wrapText="1"/>
    </xf>
    <xf numFmtId="0" fontId="5" fillId="0" borderId="53" applyAlignment="1" pivotButton="0" quotePrefix="0" xfId="0">
      <alignment wrapText="1"/>
    </xf>
    <xf numFmtId="0" fontId="5" fillId="0" borderId="50" applyAlignment="1" pivotButton="0" quotePrefix="0" xfId="0">
      <alignment wrapText="1"/>
    </xf>
    <xf numFmtId="0" fontId="6" fillId="12" borderId="53" applyAlignment="1" pivotButton="0" quotePrefix="0" xfId="0">
      <alignment wrapText="1"/>
    </xf>
    <xf numFmtId="0" fontId="6" fillId="12" borderId="1" applyAlignment="1" pivotButton="0" quotePrefix="0" xfId="0">
      <alignment wrapText="1"/>
    </xf>
    <xf numFmtId="0" fontId="6" fillId="12" borderId="50" applyAlignment="1" pivotButton="0" quotePrefix="0" xfId="0">
      <alignment wrapText="1"/>
    </xf>
    <xf numFmtId="0" fontId="5" fillId="0" borderId="54" applyAlignment="1" pivotButton="0" quotePrefix="0" xfId="0">
      <alignment wrapText="1"/>
    </xf>
    <xf numFmtId="0" fontId="5" fillId="0" borderId="36" applyAlignment="1" pivotButton="0" quotePrefix="0" xfId="0">
      <alignment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38" customWidth="1" min="3" max="3"/>
    <col width="27" customWidth="1" min="4" max="4"/>
    <col width="22" customWidth="1" min="6" max="6"/>
    <col width="31" customWidth="1" min="7" max="7"/>
    <col width="9" customWidth="1" min="8" max="8"/>
    <col width="12" customWidth="1" min="9" max="9"/>
    <col width="31" customWidth="1" min="10" max="10"/>
    <col width="28" customWidth="1" min="11" max="11"/>
  </cols>
  <sheetData>
    <row r="1" ht="19.5" customHeight="1">
      <c r="A1" s="1" t="inlineStr">
        <is>
          <t>1. PENILAIAN SCORECARD MITRA KINERJA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63.75" customHeight="1">
      <c r="A2" s="2" t="inlineStr">
        <is>
          <t>Tujuan: menilai fakta pelaksanaan dan hasil kerja sama. PIC/unit teknis menyampaikan fakta &amp; evidence; Reviewer/Pengelola memberi status dan skor.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Legenda</t>
        </is>
      </c>
      <c r="B3" s="4" t="inlineStr">
        <is>
          <t>KUNING = input/reviewer</t>
        </is>
      </c>
      <c r="D3" s="5" t="inlineStr">
        <is>
          <t>BIRU = data/hasil otomatis</t>
        </is>
      </c>
      <c r="F3" s="6" t="inlineStr">
        <is>
          <t>HIJAU = dapat dinilai</t>
        </is>
      </c>
      <c r="H3" s="7" t="inlineStr">
        <is>
          <t>ABU = belum dapat dinilai</t>
        </is>
      </c>
    </row>
    <row r="4"/>
    <row r="5" ht="15" customHeight="1">
      <c r="A5" s="8" t="inlineStr">
        <is>
          <t>A. IDENTITAS KERJA SAMA</t>
        </is>
      </c>
      <c r="B5" s="8" t="n"/>
      <c r="C5" s="8" t="n"/>
      <c r="D5" s="8" t="n"/>
      <c r="E5" s="8" t="n"/>
      <c r="F5" s="9" t="n"/>
      <c r="G5" s="9" t="n"/>
      <c r="H5" s="9" t="n"/>
      <c r="I5" s="9" t="n"/>
      <c r="J5" s="9" t="n"/>
      <c r="K5" s="9" t="n"/>
    </row>
    <row r="6" ht="99.75" customHeight="1">
      <c r="A6" s="10" t="inlineStr">
        <is>
          <t>Nama Mitra</t>
        </is>
      </c>
      <c r="B6" s="11" t="inlineStr">
        <is>
          <t>[NAMA MITRA KERJA SAMA]</t>
        </is>
      </c>
      <c r="D6" s="10" t="inlineStr">
        <is>
          <t>Nomor/Tanggal Naskah</t>
        </is>
      </c>
      <c r="E6" s="12" t="inlineStr">
        <is>
          <t>[NOMOR &amp; TANGGAL NASKAH]</t>
        </is>
      </c>
      <c r="F6" s="13" t="n"/>
      <c r="G6" s="13" t="n"/>
      <c r="H6" s="13" t="n"/>
      <c r="I6" s="13" t="n"/>
      <c r="J6" s="13" t="n"/>
      <c r="K6" s="13" t="n"/>
    </row>
    <row r="7" ht="117" customHeight="1">
      <c r="A7" s="10" t="inlineStr">
        <is>
          <t>Ruang Lingkup</t>
        </is>
      </c>
      <c r="B7" s="11" t="inlineStr">
        <is>
          <t>[RUANG LINGKUP UTAMA]</t>
        </is>
      </c>
      <c r="D7" s="10" t="inlineStr">
        <is>
          <t>Periode Penilaian</t>
        </is>
      </c>
      <c r="E7" s="12" t="inlineStr">
        <is>
          <t>Update pasca-baseline</t>
        </is>
      </c>
      <c r="F7" s="13" t="n"/>
      <c r="G7" s="13" t="n"/>
      <c r="H7" s="13" t="n"/>
      <c r="I7" s="13" t="n"/>
      <c r="J7" s="13" t="n"/>
      <c r="K7" s="13" t="n"/>
    </row>
    <row r="8" ht="99.75" customHeight="1">
      <c r="A8" s="10" t="inlineStr">
        <is>
          <t>Reviewer/Pengelola</t>
        </is>
      </c>
      <c r="B8" s="14" t="inlineStr">
        <is>
          <t>Pokja Data / Reviewer</t>
        </is>
      </c>
      <c r="D8" s="10" t="inlineStr">
        <is>
          <t>Tanggal Penilaian</t>
        </is>
      </c>
      <c r="E8" s="15" t="inlineStr">
        <is>
          <t>2026-09-28</t>
        </is>
      </c>
      <c r="F8" s="13" t="n"/>
      <c r="G8" s="13" t="n"/>
      <c r="H8" s="13" t="n"/>
      <c r="I8" s="13" t="n"/>
      <c r="J8" s="13" t="n"/>
      <c r="K8" s="13" t="n"/>
    </row>
    <row r="9" ht="120.75" customHeight="1">
      <c r="A9" s="10" t="inlineStr">
        <is>
          <t>PIC/Focal Point</t>
        </is>
      </c>
      <c r="B9" s="11" t="inlineStr">
        <is>
          <t>PIC internal dan PIC mitra</t>
        </is>
      </c>
      <c r="D9" s="10" t="inlineStr">
        <is>
          <t>Masa Berlaku</t>
        </is>
      </c>
      <c r="E9" s="12" t="inlineStr">
        <is>
          <t>[MASA BERLAKU]</t>
        </is>
      </c>
      <c r="F9" s="13" t="n"/>
      <c r="G9" s="13" t="n"/>
      <c r="H9" s="13" t="n"/>
      <c r="I9" s="13" t="n"/>
      <c r="J9" s="13" t="n"/>
      <c r="K9" s="13" t="n"/>
    </row>
    <row r="10"/>
    <row r="11" ht="15" customHeight="1">
      <c r="A11" s="8" t="inlineStr">
        <is>
          <t>B. PENILAIAN I1–I7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15" customHeight="1">
      <c r="A12" s="16" t="inlineStr">
        <is>
          <t>Indikator</t>
        </is>
      </c>
      <c r="B12" s="17" t="inlineStr">
        <is>
          <t>Bobot</t>
        </is>
      </c>
      <c r="C12" s="17" t="inlineStr">
        <is>
          <t>Apa yang Dinilai</t>
        </is>
      </c>
      <c r="D12" s="17" t="inlineStr">
        <is>
          <t>Kondisi Baseline</t>
        </is>
      </c>
      <c r="E12" s="17" t="inlineStr">
        <is>
          <t>Kondisi Saat Ini</t>
        </is>
      </c>
      <c r="F12" s="17" t="inlineStr">
        <is>
          <t>Status Penilaian</t>
        </is>
      </c>
      <c r="G12" s="17" t="inlineStr">
        <is>
          <t>Evidence / Lokasi Bukti</t>
        </is>
      </c>
      <c r="H12" s="17" t="inlineStr">
        <is>
          <t>Skor 0–4</t>
        </is>
      </c>
      <c r="I12" s="17" t="inlineStr">
        <is>
          <t>Nilai Bobot</t>
        </is>
      </c>
      <c r="J12" s="17" t="inlineStr">
        <is>
          <t>Alasan Skor / Temuan</t>
        </is>
      </c>
      <c r="K12" s="18" t="inlineStr">
        <is>
          <t>Catatan Tindak Lanjut</t>
        </is>
      </c>
    </row>
    <row r="13" ht="81.94999694824219" customHeight="1">
      <c r="A13" s="19" t="inlineStr">
        <is>
          <t>I1. Kejelasan Pengelolaan &amp; Rencana Tindak Lanjut</t>
        </is>
      </c>
      <c r="B13" s="20" t="n">
        <v>10</v>
      </c>
      <c r="C13" s="21" t="inlineStr">
        <is>
          <t>Apakah pelaksanaan kerja sama telah memiliki penanggung jawab yang jelas, rencana tindak lanjut yang dapat dilaksanakan, dan mekanisme koordinasi untuk memastikan tindak lanjut tersebut berjalan?</t>
        </is>
      </c>
      <c r="D13" s="22" t="inlineStr"/>
      <c r="E13" s="23" t="inlineStr"/>
      <c r="F13" s="24" t="inlineStr">
        <is>
          <t>BELUM DAPAT DINILAI</t>
        </is>
      </c>
      <c r="G13" s="25" t="inlineStr"/>
      <c r="H13" s="26" t="n"/>
      <c r="I13" s="27" t="n"/>
      <c r="J13" s="28" t="inlineStr"/>
      <c r="K13" s="29" t="inlineStr"/>
    </row>
    <row r="14" ht="81.94999694824219" customHeight="1">
      <c r="A14" s="19" t="inlineStr">
        <is>
          <t>I2. Implementasi / Tindak Lanjut</t>
        </is>
      </c>
      <c r="B14" s="20" t="n">
        <v>15</v>
      </c>
      <c r="C14" s="21" t="inlineStr">
        <is>
          <t>Apakah kerja sama telah ditindaklanjuti melalui kegiatan atau langkah implementasi yang relevan dan dapat dibuktikan?</t>
        </is>
      </c>
      <c r="D14" s="22" t="inlineStr"/>
      <c r="E14" s="23" t="inlineStr"/>
      <c r="F14" s="24" t="inlineStr">
        <is>
          <t>BELUM DAPAT DINILAI</t>
        </is>
      </c>
      <c r="G14" s="25" t="inlineStr"/>
      <c r="H14" s="26" t="n"/>
      <c r="I14" s="27" t="n"/>
      <c r="J14" s="28" t="inlineStr"/>
      <c r="K14" s="29" t="inlineStr"/>
    </row>
    <row r="15" ht="81.94999694824219" customHeight="1">
      <c r="A15" s="19" t="inlineStr">
        <is>
          <t>I3. Output</t>
        </is>
      </c>
      <c r="B15" s="20" t="n">
        <v>15</v>
      </c>
      <c r="C15" s="21" t="inlineStr">
        <is>
          <t>Apakah implementasi menghasilkan hasil langsung/produk yang seharusnya dicapai?</t>
        </is>
      </c>
      <c r="D15" s="22" t="inlineStr"/>
      <c r="E15" s="23" t="inlineStr"/>
      <c r="F15" s="24" t="inlineStr">
        <is>
          <t>BELUM DAPAT DINILAI</t>
        </is>
      </c>
      <c r="G15" s="25" t="inlineStr"/>
      <c r="H15" s="26" t="n"/>
      <c r="I15" s="27" t="n"/>
      <c r="J15" s="28" t="inlineStr"/>
      <c r="K15" s="29" t="inlineStr"/>
    </row>
    <row r="16" ht="81.94999694824219" customHeight="1">
      <c r="A16" s="19" t="inlineStr">
        <is>
          <t>I4. Outcome</t>
        </is>
      </c>
      <c r="B16" s="20" t="n">
        <v>20</v>
      </c>
      <c r="C16" s="21" t="inlineStr">
        <is>
          <t>Apakah output menghasilkan perubahan atau manfaat bagi sasaran, proses, layanan, atau organisasi?</t>
        </is>
      </c>
      <c r="D16" s="22" t="inlineStr"/>
      <c r="E16" s="23" t="inlineStr"/>
      <c r="F16" s="30" t="inlineStr">
        <is>
          <t>BELUM DAPAT DINILAI</t>
        </is>
      </c>
      <c r="G16" s="25" t="inlineStr"/>
      <c r="H16" s="30" t="n"/>
      <c r="I16" s="30" t="n"/>
      <c r="J16" s="28" t="inlineStr"/>
      <c r="K16" s="29" t="inlineStr"/>
    </row>
    <row r="17" ht="81.94999694824219" customHeight="1">
      <c r="A17" s="19" t="inlineStr">
        <is>
          <t>I5. Kontribusi / Dampak</t>
        </is>
      </c>
      <c r="B17" s="20" t="n">
        <v>20</v>
      </c>
      <c r="C17" s="21" t="inlineStr">
        <is>
          <t>Apakah hasil kerja sama memberikan kontribusi yang dapat dijelaskan terhadap kinerja organisasi dan/atau pelayanan hukum?</t>
        </is>
      </c>
      <c r="D17" s="22" t="inlineStr"/>
      <c r="E17" s="23" t="inlineStr"/>
      <c r="F17" s="30" t="inlineStr">
        <is>
          <t>BELUM DAPAT DINILAI</t>
        </is>
      </c>
      <c r="G17" s="25" t="inlineStr"/>
      <c r="H17" s="30" t="n"/>
      <c r="I17" s="30" t="n"/>
      <c r="J17" s="28" t="inlineStr"/>
      <c r="K17" s="29" t="inlineStr"/>
    </row>
    <row r="18" ht="81.94999694824219" customHeight="1">
      <c r="A18" s="19" t="inlineStr">
        <is>
          <t>I6. Evidence &amp; Data</t>
        </is>
      </c>
      <c r="B18" s="20" t="n">
        <v>10</v>
      </c>
      <c r="C18" s="21" t="inlineStr">
        <is>
          <t>Apakah kondisi, pelaksanaan, dan hasil kerja sama didukung data/evidence yang dapat dipercaya dan ditelusuri?</t>
        </is>
      </c>
      <c r="D18" s="22" t="inlineStr"/>
      <c r="E18" s="23" t="inlineStr"/>
      <c r="F18" s="24" t="inlineStr">
        <is>
          <t>BELUM DAPAT DINILAI</t>
        </is>
      </c>
      <c r="G18" s="25" t="inlineStr"/>
      <c r="H18" s="26" t="n"/>
      <c r="I18" s="27" t="n"/>
      <c r="J18" s="28" t="inlineStr"/>
      <c r="K18" s="29" t="inlineStr"/>
    </row>
    <row r="19" ht="81.94999694824219" customHeight="1">
      <c r="A19" s="31" t="inlineStr">
        <is>
          <t>I7. Risiko &amp; Keberlanjutan</t>
        </is>
      </c>
      <c r="B19" s="32" t="n">
        <v>10</v>
      </c>
      <c r="C19" s="33" t="inlineStr">
        <is>
          <t>Apakah risiko pelaksanaan dikendalikan dan terdapat kondisi yang mendukung keberlanjutan manfaat kerja sama?</t>
        </is>
      </c>
      <c r="D19" s="34" t="inlineStr"/>
      <c r="E19" s="35" t="inlineStr"/>
      <c r="F19" s="36" t="inlineStr">
        <is>
          <t>BELUM DAPAT DINILAI</t>
        </is>
      </c>
      <c r="G19" s="37" t="inlineStr"/>
      <c r="H19" s="38" t="n"/>
      <c r="I19" s="39" t="n"/>
      <c r="J19" s="40" t="inlineStr"/>
      <c r="K19" s="41" t="inlineStr"/>
    </row>
    <row r="20"/>
    <row r="21" ht="39" customHeight="1">
      <c r="A21" s="8" t="inlineStr">
        <is>
          <t>C. RINGKASAN OTOMATIS PENILAIAN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28.5" customHeight="1">
      <c r="A22" s="42" t="inlineStr">
        <is>
          <t>Jumlah indikator dapat dinilai</t>
        </is>
      </c>
      <c r="B22" s="43">
        <f>COUNTIF($F$13:$F$19,"DAPAT DINILAI")</f>
        <v/>
      </c>
      <c r="C22" s="44" t="n"/>
      <c r="E22" s="45" t="n"/>
      <c r="F22" s="45" t="n"/>
      <c r="H22" s="46" t="inlineStr">
        <is>
          <t>Panduan cepat untuk pengguna baru</t>
        </is>
      </c>
      <c r="I22" s="46" t="n"/>
      <c r="J22" s="46" t="n"/>
      <c r="K22" s="46" t="n"/>
    </row>
    <row r="23" ht="33.95000076293945" customHeight="1">
      <c r="A23" s="47" t="inlineStr">
        <is>
          <t>Jumlah BDN</t>
        </is>
      </c>
      <c r="B23" s="48">
        <f>COUNTIF($F$13:$F$19,"BELUM DAPAT DINILAI")</f>
        <v/>
      </c>
      <c r="C23" s="49" t="n"/>
      <c r="H23" s="50" t="inlineStr">
        <is>
          <t>1</t>
        </is>
      </c>
      <c r="I23" s="51" t="inlineStr">
        <is>
          <t>Isi Baseline dan Kondisi Saat Ini berdasarkan fakta, bukan asumsi.</t>
        </is>
      </c>
      <c r="J23" s="52" t="n"/>
      <c r="K23" s="53" t="n"/>
    </row>
    <row r="24" ht="33.95000076293945" customHeight="1">
      <c r="A24" s="47" t="inlineStr">
        <is>
          <t>Bukti belum memadai</t>
        </is>
      </c>
      <c r="B24" s="48">
        <f>COUNTIF($F$13:$F$19,"BUKTI BELUM MEMADAI")</f>
        <v/>
      </c>
      <c r="C24" s="49" t="n"/>
      <c r="H24" s="50" t="inlineStr">
        <is>
          <t>2</t>
        </is>
      </c>
      <c r="I24" s="51" t="inlineStr">
        <is>
          <t>Tentukan Status Penilaian sebelum memberi skor.</t>
        </is>
      </c>
      <c r="J24" s="52" t="n"/>
      <c r="K24" s="53" t="n"/>
    </row>
    <row r="25" ht="33.95000076293945" customHeight="1">
      <c r="A25" s="47" t="inlineStr">
        <is>
          <t>Bobot yang dapat dinilai</t>
        </is>
      </c>
      <c r="B25" s="54">
        <f>SUMIF($F$13:$F$19,"DAPAT DINILAI",$B$13:$B$19)</f>
        <v/>
      </c>
      <c r="C25" s="49" t="n"/>
      <c r="H25" s="50" t="inlineStr">
        <is>
          <t>3</t>
        </is>
      </c>
      <c r="I25" s="51" t="inlineStr">
        <is>
          <t>Skor 0 hanya jika sudah dapat dinilai dan faktanya tidak terpenuhi.</t>
        </is>
      </c>
      <c r="J25" s="52" t="n"/>
      <c r="K25" s="55" t="n"/>
    </row>
    <row r="26" ht="33.95000076293945" customHeight="1">
      <c r="A26" s="47" t="inlineStr">
        <is>
          <t>Nilai final</t>
        </is>
      </c>
      <c r="B26" s="54" t="n"/>
      <c r="C26" s="49" t="n"/>
      <c r="H26" s="50" t="inlineStr">
        <is>
          <t>4</t>
        </is>
      </c>
      <c r="I26" s="51" t="inlineStr">
        <is>
          <t>Jika evidence belum cukup, pilih BUKTI BELUM MEMADAI — jangan beri skor.</t>
        </is>
      </c>
      <c r="J26" s="52" t="n"/>
      <c r="K26" s="56" t="n"/>
    </row>
    <row r="27" ht="33.95000076293945" customHeight="1">
      <c r="A27" s="47" t="inlineStr">
        <is>
          <t>Status Scorecard</t>
        </is>
      </c>
      <c r="B27" s="48" t="inlineStr">
        <is>
          <t>BELUM LENGKAP</t>
        </is>
      </c>
      <c r="C27" s="49" t="n"/>
      <c r="H27" s="50" t="inlineStr">
        <is>
          <t>5</t>
        </is>
      </c>
      <c r="I27" s="51" t="inlineStr">
        <is>
          <t>Jika secara objektif belum waktunya hasil muncul, pilih BELUM DAPAT DINILAI.</t>
        </is>
      </c>
      <c r="J27" s="52" t="n"/>
      <c r="K27" s="56" t="n"/>
    </row>
    <row r="28" ht="31.5" customHeight="1">
      <c r="A28" s="57" t="inlineStr">
        <is>
          <t>Kategori</t>
        </is>
      </c>
      <c r="B28" s="58" t="inlineStr">
        <is>
          <t>BELUM LENGKAP</t>
        </is>
      </c>
      <c r="C28" s="59" t="n"/>
    </row>
  </sheetData>
  <mergeCells count="20">
    <mergeCell ref="B7:C7"/>
    <mergeCell ref="B25:C25"/>
    <mergeCell ref="B3:C3"/>
    <mergeCell ref="B22:C22"/>
    <mergeCell ref="I27:J27"/>
    <mergeCell ref="B27:C27"/>
    <mergeCell ref="I26:J26"/>
    <mergeCell ref="F3:G3"/>
    <mergeCell ref="I25:J25"/>
    <mergeCell ref="B23:C23"/>
    <mergeCell ref="B8:C8"/>
    <mergeCell ref="I24:J24"/>
    <mergeCell ref="B28:C28"/>
    <mergeCell ref="I23:J23"/>
    <mergeCell ref="B9:C9"/>
    <mergeCell ref="D3:E3"/>
    <mergeCell ref="H3:I3"/>
    <mergeCell ref="B6:C6"/>
    <mergeCell ref="B24:C24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.25" customWidth="1" min="1" max="1"/>
    <col width="16.875" customWidth="1" min="2" max="2"/>
    <col width="28.5" customWidth="1" min="3" max="3"/>
    <col width="26" customWidth="1" min="4" max="4"/>
    <col width="23.5" customWidth="1" min="5" max="5"/>
    <col width="14.125" customWidth="1" min="6" max="6"/>
    <col width="14.375" customWidth="1" min="7" max="7"/>
    <col width="3" customWidth="1" min="8" max="8"/>
    <col width="13.875" customWidth="1" min="9" max="9"/>
    <col width="23.375" customWidth="1" min="10" max="10"/>
    <col width="20" customWidth="1" min="11" max="11"/>
  </cols>
  <sheetData>
    <row r="1" ht="19.5" customHeight="1">
      <c r="A1" s="1" t="inlineStr">
        <is>
          <t>2. KENDALI MANAJERIAL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76.5" customHeight="1">
      <c r="A2" s="2" t="inlineStr">
        <is>
          <t>Tujuan: membaca posisi kerja sama, peringatan dini, dan kebutuhan intervensi. Sheet ini tidak mengubah skor I1–I7.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Legenda</t>
        </is>
      </c>
      <c r="B3" s="60" t="inlineStr">
        <is>
          <t>KUNING = input/keputusan</t>
        </is>
      </c>
      <c r="D3" s="61" t="inlineStr">
        <is>
          <t>BIRU = hasil otomatis/ringkasan</t>
        </is>
      </c>
    </row>
    <row r="4"/>
    <row r="5" ht="15" customHeight="1">
      <c r="A5" s="8" t="inlineStr">
        <is>
          <t>A. RINGKASAN DARI PENILAIAN</t>
        </is>
      </c>
      <c r="B5" s="8" t="n"/>
      <c r="C5" s="8" t="n"/>
      <c r="D5" s="8" t="inlineStr">
        <is>
          <t>B. POSISI PORTOFOLIO</t>
        </is>
      </c>
      <c r="E5" s="8" t="n"/>
      <c r="F5" s="8" t="n"/>
      <c r="G5" s="8" t="n"/>
      <c r="H5" s="8" t="n"/>
      <c r="I5" s="8" t="n"/>
      <c r="J5" s="8" t="n"/>
      <c r="K5" s="8" t="n"/>
    </row>
    <row r="6" ht="42.75" customHeight="1">
      <c r="A6" s="62" t="inlineStr">
        <is>
          <t>Status Scorecard</t>
        </is>
      </c>
      <c r="B6" s="63">
        <f>PENILAIAN!B27</f>
        <v/>
      </c>
      <c r="D6" s="64" t="inlineStr">
        <is>
          <t>Posisi Portofolio</t>
        </is>
      </c>
      <c r="E6" s="65" t="inlineStr">
        <is>
          <t>OUTCOME AWAL / IMPLEMENTASI TERBATAS</t>
        </is>
      </c>
      <c r="F6" s="66" t="n"/>
      <c r="G6" s="52" t="n"/>
      <c r="H6" s="56" t="n"/>
      <c r="I6" s="56" t="n"/>
      <c r="J6" s="56" t="n"/>
      <c r="K6" s="56" t="n"/>
    </row>
    <row r="7" ht="21.75" customHeight="1">
      <c r="A7" s="62" t="inlineStr">
        <is>
          <t>Nilai Final</t>
        </is>
      </c>
      <c r="B7" s="67">
        <f>IF(PENILAIAN!B26="","",PENILAIAN!B26)</f>
        <v/>
      </c>
      <c r="D7" s="64" t="inlineStr">
        <is>
          <t>Dasar Penetapan</t>
        </is>
      </c>
      <c r="E7" s="65" t="inlineStr">
        <is>
          <t>Perjanjian telah berjalan lebih dari 6 bulan. Implementasi dan manfaat awal terbukti pada edukasi serta pelayanan KI, namun pelaksanaan baru mencakup sebagian ruang lingkup dan tata kelola PIC/evidence masih lemah.</t>
        </is>
      </c>
      <c r="F7" s="68" t="n"/>
      <c r="G7" s="69" t="n"/>
    </row>
    <row r="8" ht="21" customHeight="1">
      <c r="A8" s="62" t="inlineStr">
        <is>
          <t>Kategori</t>
        </is>
      </c>
      <c r="B8" s="67">
        <f>IF(PENILAIAN!B28="","",PENILAIAN!B28)</f>
        <v/>
      </c>
      <c r="D8" s="70" t="n"/>
      <c r="E8" s="71" t="n"/>
      <c r="G8" s="72" t="n"/>
    </row>
    <row r="9" ht="15" customHeight="1">
      <c r="A9" s="62" t="inlineStr">
        <is>
          <t>Indikator Dapat Dinilai</t>
        </is>
      </c>
      <c r="B9" s="67">
        <f>PENILAIAN!B22</f>
        <v/>
      </c>
      <c r="D9" s="73" t="n"/>
      <c r="E9" s="74" t="n"/>
      <c r="F9" s="75" t="n"/>
      <c r="G9" s="76" t="n"/>
    </row>
    <row r="10" ht="15" customHeight="1">
      <c r="A10" s="62" t="inlineStr">
        <is>
          <t>BDN</t>
        </is>
      </c>
      <c r="B10" s="67">
        <f>PENILAIAN!B23</f>
        <v/>
      </c>
    </row>
    <row r="11" ht="15" customHeight="1">
      <c r="A11" s="62" t="inlineStr">
        <is>
          <t>Bukti Belum Memadai</t>
        </is>
      </c>
      <c r="B11" s="67">
        <f>PENILAIAN!B24</f>
        <v/>
      </c>
    </row>
    <row r="12" ht="15" customHeight="1">
      <c r="A12" s="62" t="inlineStr">
        <is>
          <t>Bobot Dinilai</t>
        </is>
      </c>
      <c r="B12" s="67">
        <f>PENILAIAN!B25</f>
        <v/>
      </c>
    </row>
    <row r="13"/>
    <row r="14" ht="15" customHeight="1">
      <c r="A14" s="8" t="inlineStr">
        <is>
          <t>C. EARLY WARNING — TERPISAH DARI NILAI SCORECARD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15" customHeight="1">
      <c r="A15" s="77" t="inlineStr">
        <is>
          <t>Area Kontrol</t>
        </is>
      </c>
      <c r="B15" s="78" t="inlineStr">
        <is>
          <t>Status</t>
        </is>
      </c>
      <c r="C15" s="78" t="inlineStr">
        <is>
          <t>Fakta / Bukti Singkat</t>
        </is>
      </c>
      <c r="D15" s="78" t="inlineStr">
        <is>
          <t>Tindakan</t>
        </is>
      </c>
      <c r="E15" s="78" t="inlineStr">
        <is>
          <t>Penanggung Jawab</t>
        </is>
      </c>
      <c r="F15" s="78" t="inlineStr">
        <is>
          <t>Target</t>
        </is>
      </c>
      <c r="G15" s="78" t="inlineStr">
        <is>
          <t>Progres</t>
        </is>
      </c>
      <c r="H15" s="79" t="n"/>
      <c r="I15" s="80" t="inlineStr">
        <is>
          <t>Ringkasan Early Warning</t>
        </is>
      </c>
      <c r="J15" s="81" t="n"/>
    </row>
    <row r="16" ht="73.5" customHeight="1">
      <c r="A16" s="19" t="inlineStr">
        <is>
          <t>Masa berlaku</t>
        </is>
      </c>
      <c r="B16" s="82" t="inlineStr">
        <is>
          <t>E0 - Normal</t>
        </is>
      </c>
      <c r="C16" s="83" t="inlineStr">
        <is>
          <t>PKS berlaku 15 November 2025 s.d. 14 November 2030.</t>
        </is>
      </c>
      <c r="D16" s="83" t="inlineStr">
        <is>
          <t>Pertahankan monitoring masa berlaku.</t>
        </is>
      </c>
      <c r="E16" s="83" t="inlineStr">
        <is>
          <t>Pengelola kerja sama</t>
        </is>
      </c>
      <c r="F16" s="84" t="inlineStr">
        <is>
          <t>Review berkala</t>
        </is>
      </c>
      <c r="G16" s="83" t="inlineStr">
        <is>
          <t>BERJALAN</t>
        </is>
      </c>
      <c r="H16" s="55" t="n"/>
      <c r="I16" s="85" t="inlineStr">
        <is>
          <t>Warning Tertinggi</t>
        </is>
      </c>
      <c r="J16" s="86">
        <f>IF(COUNTIF($B$16:$B$19,"E3 - Kritis")&gt;0,"E3 - Kritis",IF(COUNTIF($B$16:$B$19,"E2 - Perlu Tindakan")&gt;0,"E2 - Perlu Tindakan",IF(COUNTIF($B$16:$B$19,"E1 - Perhatian")&gt;0,"E1 - Perhatian",IF(COUNTIF($B$16:$B$19,"E0 - Normal")&gt;0,"E0 - Normal","V0 - Data belum cukup"))))</f>
        <v/>
      </c>
    </row>
    <row r="17" ht="73.5" customHeight="1">
      <c r="A17" s="19" t="inlineStr">
        <is>
          <t>Pelaksanaan / tenggat</t>
        </is>
      </c>
      <c r="B17" s="65" t="inlineStr">
        <is>
          <t>E2 - Perlu Tindakan</t>
        </is>
      </c>
      <c r="C17" s="83" t="inlineStr">
        <is>
          <t>Implementasi baru tampak pada 2 dari 5 ruang lingkup; 3 ruang lingkup belum memiliki data pelaksanaan.</t>
        </is>
      </c>
      <c r="D17" s="83" t="inlineStr">
        <is>
          <t>Susun rencana aksi dan aktivasi ruang lingkup yang belum berjalan.</t>
        </is>
      </c>
      <c r="E17" s="83" t="inlineStr">
        <is>
          <t>PIC/pengampu P01</t>
        </is>
      </c>
      <c r="F17" s="84" t="inlineStr">
        <is>
          <t>Triwulan IV 2026</t>
        </is>
      </c>
      <c r="G17" s="83" t="inlineStr">
        <is>
          <t>PERLU TINDAKAN</t>
        </is>
      </c>
      <c r="H17" s="55" t="n"/>
      <c r="I17" s="87" t="inlineStr">
        <is>
          <t>Status Penanganan</t>
        </is>
      </c>
      <c r="J17" s="88" t="inlineStr">
        <is>
          <t>DALAM TINDAK LANJUT</t>
        </is>
      </c>
    </row>
    <row r="18" ht="73.5" customHeight="1">
      <c r="A18" s="19" t="inlineStr">
        <is>
          <t>Data / evidence</t>
        </is>
      </c>
      <c r="B18" s="65" t="inlineStr">
        <is>
          <t>E2 - Perlu Tindakan</t>
        </is>
      </c>
      <c r="C18" s="83" t="inlineStr">
        <is>
          <t>Evidence terbatas pada tautan publikasi dan laporan MIC; file eviden baru belum terisi substantif.</t>
        </is>
      </c>
      <c r="D18" s="83" t="inlineStr">
        <is>
          <t>Konsolidasikan repository dan minta evidence lengkap per ruang lingkup.</t>
        </is>
      </c>
      <c r="E18" s="83" t="inlineStr">
        <is>
          <t>Pengelola + PIC</t>
        </is>
      </c>
      <c r="F18" s="84" t="inlineStr">
        <is>
          <t>Oktober 2026</t>
        </is>
      </c>
      <c r="G18" s="83" t="inlineStr">
        <is>
          <t>PERLU TINDAKAN</t>
        </is>
      </c>
      <c r="H18" s="55" t="n"/>
      <c r="I18" s="87" t="inlineStr">
        <is>
          <t>Catatan</t>
        </is>
      </c>
      <c r="J18" s="88" t="inlineStr">
        <is>
          <t>Prioritas: tetapkan PIC/rencana aksi, lengkapi evidence, dan perluas implementasi ke seluruh ruang lingkup.</t>
        </is>
      </c>
    </row>
    <row r="19" ht="104.25" customHeight="1">
      <c r="A19" s="31" t="inlineStr">
        <is>
          <t>Penanggung jawab / koordinasi</t>
        </is>
      </c>
      <c r="B19" s="89" t="inlineStr">
        <is>
          <t>E2 - Perlu Tindakan</t>
        </is>
      </c>
      <c r="C19" s="90" t="inlineStr">
        <is>
          <t>PIC formal internal dan mitra serta mekanisme koordinasi belum terdokumentasi.</t>
        </is>
      </c>
      <c r="D19" s="90" t="inlineStr">
        <is>
          <t>Tetapkan PIC dan mekanisme koordinasi terpadu.</t>
        </is>
      </c>
      <c r="E19" s="90" t="inlineStr">
        <is>
          <t>Pengelola kerja sama</t>
        </is>
      </c>
      <c r="F19" s="91" t="inlineStr">
        <is>
          <t>Oktober 2026</t>
        </is>
      </c>
      <c r="G19" s="90" t="inlineStr">
        <is>
          <t>PERLU TINDAKAN</t>
        </is>
      </c>
      <c r="H19" s="92" t="n"/>
      <c r="I19" s="73" t="n"/>
      <c r="J19" s="93" t="n"/>
    </row>
    <row r="20"/>
    <row r="21" ht="15" customHeight="1">
      <c r="A21" s="8" t="inlineStr">
        <is>
          <t>D. UJI KEBUTUHAN INTERVENSI PIMPINAN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44" customHeight="1">
      <c r="A22" s="94" t="inlineStr">
        <is>
          <t>Perlu Intervensi Pimpinan?</t>
        </is>
      </c>
      <c r="B22" s="95" t="inlineStr">
        <is>
          <t>TIDAK</t>
        </is>
      </c>
      <c r="D22" s="96" t="inlineStr">
        <is>
          <t>Panduan</t>
        </is>
      </c>
      <c r="E22" s="97" t="inlineStr">
        <is>
          <t>Intervensi hanya dipakai bila isu/keputusan tidak dapat diselesaikan pada level pengelola/unit pelaksana atau memang membutuhkan kewenangan/arahan pimpinan.</t>
        </is>
      </c>
      <c r="F22" s="69" t="n"/>
      <c r="G22" s="56" t="n"/>
      <c r="H22" s="56" t="n"/>
      <c r="I22" s="56" t="n"/>
      <c r="J22" s="56" t="n"/>
      <c r="K22" s="56" t="n"/>
    </row>
    <row r="23" ht="50" customHeight="1">
      <c r="A23" s="98" t="inlineStr">
        <is>
          <t>Alasan Utama</t>
        </is>
      </c>
      <c r="B23" s="99" t="inlineStr">
        <is>
          <t>Masih dapat diselesaikan pada level pengelola/unit pengampu</t>
        </is>
      </c>
      <c r="D23" s="73" t="n"/>
      <c r="E23" s="74" t="n"/>
      <c r="F23" s="76" t="n"/>
      <c r="G23" s="56" t="n"/>
      <c r="H23" s="56" t="n"/>
      <c r="I23" s="56" t="n"/>
      <c r="J23" s="56" t="n"/>
      <c r="K23" s="56" t="n"/>
    </row>
    <row r="24" ht="105" customHeight="1">
      <c r="A24" s="100" t="inlineStr">
        <is>
          <t>Uraian Singkat</t>
        </is>
      </c>
      <c r="B24" s="101" t="inlineStr">
        <is>
          <t>Gap utama bersifat tata kelola dan implementasi operasional; eskalasi pimpinan dilakukan jika penetapan PIC/aktivasi ruang lingkup tidak terselesaikan.</t>
        </is>
      </c>
      <c r="D24" s="56" t="n"/>
      <c r="E24" s="56" t="n"/>
      <c r="F24" s="56" t="n"/>
      <c r="G24" s="56" t="n"/>
      <c r="H24" s="56" t="n"/>
      <c r="I24" s="56" t="n"/>
      <c r="J24" s="56" t="n"/>
      <c r="K24" s="56" t="n"/>
    </row>
  </sheetData>
  <mergeCells count="9">
    <mergeCell ref="I18:I19"/>
    <mergeCell ref="E22:F23"/>
    <mergeCell ref="J18:J19"/>
    <mergeCell ref="B3:C3"/>
    <mergeCell ref="E7:G9"/>
    <mergeCell ref="D7:D9"/>
    <mergeCell ref="D3:E3"/>
    <mergeCell ref="E6:G6"/>
    <mergeCell ref="D22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" customWidth="1" min="3" max="3"/>
    <col width="15.5" customWidth="1" min="4" max="4"/>
    <col width="30" customWidth="1" min="5" max="5"/>
    <col width="18" customWidth="1" min="6" max="6"/>
    <col width="20" customWidth="1" min="8" max="8"/>
    <col width="22" customWidth="1" min="10" max="10"/>
  </cols>
  <sheetData>
    <row r="1" ht="19.5" customHeight="1">
      <c r="A1" s="1" t="inlineStr">
        <is>
          <t>3. REKOMENDASI &amp; KEPUTUSAN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76.5" customHeight="1">
      <c r="A2" s="2" t="inlineStr">
        <is>
          <t>Tujuan: merangkum hasil penilaian dan kendali menjadi rekomendasi yang dapat ditindaklanjuti serta keputusan/arahan sesuai kewenangan.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Legenda</t>
        </is>
      </c>
      <c r="B3" s="60" t="inlineStr">
        <is>
          <t>KUNING = input/validasi/keputusan</t>
        </is>
      </c>
      <c r="D3" s="61" t="inlineStr">
        <is>
          <t>BIRU = ringkasan/hasil otomatis</t>
        </is>
      </c>
    </row>
    <row r="4"/>
    <row r="5" ht="15" customHeight="1">
      <c r="A5" s="102" t="inlineStr">
        <is>
          <t>A. RINGKASAN HASIL</t>
        </is>
      </c>
      <c r="B5" s="103" t="n"/>
      <c r="C5" s="103" t="n"/>
      <c r="D5" s="103" t="inlineStr">
        <is>
          <t>B. VALIDASI</t>
        </is>
      </c>
      <c r="E5" s="104" t="n"/>
      <c r="F5" s="45" t="n"/>
      <c r="G5" s="45" t="n"/>
      <c r="H5" s="45" t="n"/>
      <c r="I5" s="45" t="n"/>
      <c r="J5" s="45" t="n"/>
      <c r="K5" s="45" t="n"/>
    </row>
    <row r="6" ht="28.5" customHeight="1">
      <c r="A6" s="105" t="inlineStr">
        <is>
          <t>Status Scorecard</t>
        </is>
      </c>
      <c r="B6" s="106" t="inlineStr">
        <is>
          <t>BELUM LENGKAP</t>
        </is>
      </c>
      <c r="C6" s="55" t="n"/>
      <c r="D6" s="85" t="inlineStr">
        <is>
          <t>Status Validasi</t>
        </is>
      </c>
      <c r="E6" s="29" t="inlineStr">
        <is>
          <t>DRAFT — BELUM DIVALIDASI</t>
        </is>
      </c>
    </row>
    <row r="7" ht="15" customHeight="1">
      <c r="A7" s="105" t="inlineStr">
        <is>
          <t>Nilai Final</t>
        </is>
      </c>
      <c r="B7" s="107" t="n"/>
      <c r="C7" s="55" t="n"/>
      <c r="D7" s="85" t="inlineStr">
        <is>
          <t>Validator</t>
        </is>
      </c>
      <c r="E7" s="29" t="n"/>
    </row>
    <row r="8" ht="15" customHeight="1">
      <c r="A8" s="105" t="inlineStr">
        <is>
          <t>Kategori</t>
        </is>
      </c>
      <c r="B8" s="107" t="inlineStr">
        <is>
          <t>BELUM LENGKAP</t>
        </is>
      </c>
      <c r="C8" s="55" t="n"/>
      <c r="D8" s="85" t="inlineStr">
        <is>
          <t>Tanggal Validasi</t>
        </is>
      </c>
      <c r="E8" s="108" t="n"/>
    </row>
    <row r="9" ht="33" customHeight="1">
      <c r="A9" s="105" t="inlineStr">
        <is>
          <t>Posisi Portofolio</t>
        </is>
      </c>
      <c r="B9" s="107" t="inlineStr">
        <is>
          <t>BELUM DAPAT DITENTUKAN</t>
        </is>
      </c>
      <c r="C9" s="55" t="n"/>
      <c r="D9" s="109" t="inlineStr">
        <is>
          <t>Catatan Validasi</t>
        </is>
      </c>
      <c r="E9" s="110" t="inlineStr">
        <is>
          <t>Penilaian menggunakan Final Baseline P01, data internal per ruang lingkup, dan file dekranasda.xlsx sebagai evidence tambahan. PKS telah berjalan lebih dari 6 bulan sehingga seluruh I1–I7 dinilai.</t>
        </is>
      </c>
    </row>
    <row r="10" ht="33" customHeight="1">
      <c r="A10" s="105" t="inlineStr">
        <is>
          <t>Warning Tertinggi</t>
        </is>
      </c>
      <c r="B10" s="107" t="inlineStr">
        <is>
          <t>E0 - Normal</t>
        </is>
      </c>
      <c r="C10" s="55" t="n"/>
      <c r="D10" s="70" t="n"/>
      <c r="E10" s="111" t="n"/>
    </row>
    <row r="11" ht="15" customHeight="1">
      <c r="A11" s="105" t="inlineStr">
        <is>
          <t>Intervensi Pimpinan</t>
        </is>
      </c>
      <c r="B11" s="107">
        <f>IF(KENDALI!B22="","",KENDALI!B22)</f>
        <v/>
      </c>
      <c r="C11" s="55" t="n"/>
      <c r="D11" s="70" t="n"/>
      <c r="E11" s="111" t="n"/>
    </row>
    <row r="12" ht="15" customHeight="1">
      <c r="A12" s="105" t="inlineStr">
        <is>
          <t>BDN</t>
        </is>
      </c>
      <c r="B12" s="107">
        <f>PENILAIAN!B23</f>
        <v/>
      </c>
      <c r="C12" s="55" t="n"/>
      <c r="D12" s="70" t="n"/>
      <c r="E12" s="111" t="n"/>
    </row>
    <row r="13" ht="15" customHeight="1">
      <c r="A13" s="112" t="inlineStr">
        <is>
          <t>Bukti Belum Memadai</t>
        </is>
      </c>
      <c r="B13" s="113">
        <f>PENILAIAN!B24</f>
        <v/>
      </c>
      <c r="C13" s="92" t="n"/>
      <c r="D13" s="114" t="n"/>
      <c r="E13" s="93" t="n"/>
    </row>
    <row r="14">
      <c r="A14" s="55" t="n"/>
      <c r="B14" s="55" t="n"/>
      <c r="C14" s="55" t="n"/>
      <c r="D14" s="55" t="n"/>
      <c r="E14" s="55" t="n"/>
    </row>
    <row r="15" ht="15" customHeight="1">
      <c r="A15" s="102" t="inlineStr">
        <is>
          <t>C. REKOMENDASI TINDAK LANJUT</t>
        </is>
      </c>
      <c r="B15" s="103" t="n"/>
      <c r="C15" s="103" t="n"/>
      <c r="D15" s="103" t="n"/>
      <c r="E15" s="104" t="n"/>
      <c r="F15" s="45" t="n"/>
      <c r="G15" s="45" t="n"/>
      <c r="H15" s="45" t="n"/>
      <c r="I15" s="45" t="n"/>
      <c r="J15" s="45" t="n"/>
      <c r="K15" s="45" t="n"/>
    </row>
    <row r="16" ht="180" customHeight="1">
      <c r="A16" s="115" t="inlineStr">
        <is>
          <t>Temuan Utama</t>
        </is>
      </c>
      <c r="B16" s="23" t="inlineStr">
        <is>
          <t>Dibanding baseline, terdapat implementasi nyata pada edukasi KI dan pelayanan pendaftaran KI, beserta manfaat awal bagi UMKM/masyarakat. Namun tiga ruang lingkup belum memiliki data, PIC/rencana aksi belum jelas, dan evidence masih terbatas.</t>
        </is>
      </c>
      <c r="C16" s="55" t="n"/>
      <c r="D16" s="116" t="inlineStr">
        <is>
          <t>Panduan</t>
        </is>
      </c>
      <c r="E16" s="117" t="inlineStr">
        <is>
          <t>Rekomendasi bukan keputusan otomatis dari nilai. Gunakan nilai, posisi portofolio, warning, validasi, dan konteks substansi secara bersama.</t>
        </is>
      </c>
      <c r="F16" s="55" t="n"/>
      <c r="G16" s="55" t="n"/>
      <c r="H16" s="55" t="n"/>
      <c r="I16" s="55" t="n"/>
      <c r="J16" s="55" t="n"/>
      <c r="K16" s="55" t="n"/>
    </row>
    <row r="17" ht="87.75" customHeight="1">
      <c r="A17" s="115" t="inlineStr">
        <is>
          <t>Rekomendasi</t>
        </is>
      </c>
      <c r="B17" s="28" t="inlineStr"/>
      <c r="C17" s="55" t="n"/>
      <c r="D17" s="55" t="n"/>
      <c r="E17" s="118" t="n"/>
      <c r="F17" s="55" t="n"/>
      <c r="G17" s="55" t="n"/>
      <c r="H17" s="55" t="n"/>
      <c r="I17" s="55" t="n"/>
      <c r="J17" s="55" t="n"/>
      <c r="K17" s="55" t="n"/>
    </row>
    <row r="18" ht="167.25" customHeight="1">
      <c r="A18" s="115" t="inlineStr">
        <is>
          <t>Alasan Utama</t>
        </is>
      </c>
      <c r="B18" s="28" t="inlineStr"/>
      <c r="C18" s="55" t="n"/>
      <c r="D18" s="55" t="n"/>
      <c r="E18" s="118" t="n"/>
      <c r="F18" s="55" t="n"/>
      <c r="G18" s="55" t="n"/>
      <c r="H18" s="55" t="n"/>
      <c r="I18" s="55" t="n"/>
      <c r="J18" s="55" t="n"/>
      <c r="K18" s="55" t="n"/>
    </row>
    <row r="19" ht="215.25" customHeight="1">
      <c r="A19" s="115" t="inlineStr">
        <is>
          <t>Tindak Lanjut</t>
        </is>
      </c>
      <c r="B19" s="28" t="inlineStr"/>
      <c r="C19" s="55" t="n"/>
      <c r="D19" s="55" t="n"/>
      <c r="E19" s="118" t="n"/>
      <c r="F19" s="55" t="n"/>
      <c r="G19" s="55" t="n"/>
      <c r="H19" s="55" t="n"/>
      <c r="I19" s="55" t="n"/>
      <c r="J19" s="55" t="n"/>
      <c r="K19" s="55" t="n"/>
    </row>
    <row r="20" ht="81.75" customHeight="1">
      <c r="A20" s="115" t="inlineStr">
        <is>
          <t>Penanggung Jawab</t>
        </is>
      </c>
      <c r="B20" s="28" t="inlineStr">
        <is>
          <t>Pengelola kerja sama dan unit pengampu KI bersama Dekranasda Kepri</t>
        </is>
      </c>
      <c r="C20" s="55" t="n"/>
      <c r="D20" s="55" t="n"/>
      <c r="E20" s="118" t="n"/>
      <c r="F20" s="55" t="n"/>
      <c r="G20" s="55" t="n"/>
      <c r="H20" s="55" t="n"/>
      <c r="I20" s="55" t="n"/>
      <c r="J20" s="55" t="n"/>
      <c r="K20" s="55" t="n"/>
    </row>
    <row r="21" ht="69" customHeight="1">
      <c r="A21" s="119" t="inlineStr">
        <is>
          <t>Target Waktu</t>
        </is>
      </c>
      <c r="B21" s="120" t="inlineStr">
        <is>
          <t>Triwulan IV 2026 untuk pembenahan tata kelola dan aktivasi ruang lingkup</t>
        </is>
      </c>
      <c r="C21" s="92" t="n"/>
      <c r="D21" s="92" t="n"/>
      <c r="E21" s="121" t="n"/>
      <c r="F21" s="55" t="n"/>
      <c r="G21" s="55" t="n"/>
      <c r="H21" s="55" t="n"/>
      <c r="I21" s="55" t="n"/>
      <c r="J21" s="55" t="n"/>
      <c r="K21" s="55" t="n"/>
    </row>
    <row r="22">
      <c r="A22" s="55" t="n"/>
      <c r="B22" s="55" t="n"/>
      <c r="C22" s="55" t="n"/>
      <c r="D22" s="55" t="n"/>
      <c r="E22" s="55" t="n"/>
    </row>
    <row r="23" ht="15" customHeight="1">
      <c r="A23" s="102" t="inlineStr">
        <is>
          <t>D. KEPUTUSAN / ARAHAN PIMPINAN</t>
        </is>
      </c>
      <c r="B23" s="104" t="n"/>
      <c r="C23" s="122" t="n"/>
      <c r="D23" s="122" t="n"/>
      <c r="E23" s="122" t="n"/>
      <c r="F23" s="45" t="n"/>
      <c r="G23" s="45" t="n"/>
      <c r="H23" s="45" t="n"/>
      <c r="I23" s="45" t="n"/>
      <c r="J23" s="45" t="n"/>
      <c r="K23" s="45" t="n"/>
    </row>
    <row r="24" ht="15" customHeight="1">
      <c r="A24" s="123" t="inlineStr">
        <is>
          <t>Status Keputusan</t>
        </is>
      </c>
      <c r="B24" s="124" t="inlineStr">
        <is>
          <t>BELUM DIPUTUSKAN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</row>
    <row r="25" ht="15" customHeight="1">
      <c r="A25" s="123" t="inlineStr">
        <is>
          <t>Pejabat Berwenang</t>
        </is>
      </c>
      <c r="B25" s="124" t="inlineStr">
        <is>
          <t>-</t>
        </is>
      </c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</row>
    <row r="26" ht="15" customHeight="1">
      <c r="A26" s="123" t="inlineStr">
        <is>
          <t>Tanggal Keputusan</t>
        </is>
      </c>
      <c r="B26" s="125" t="inlineStr">
        <is>
          <t>-</t>
        </is>
      </c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</row>
    <row r="27" ht="15" customHeight="1">
      <c r="A27" s="123" t="inlineStr">
        <is>
          <t>Keputusan / Arahan</t>
        </is>
      </c>
      <c r="B27" s="124" t="inlineStr">
        <is>
          <t>-</t>
        </is>
      </c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</row>
    <row r="28" ht="15" customHeight="1">
      <c r="A28" s="126" t="inlineStr">
        <is>
          <t>Review Berikutnya</t>
        </is>
      </c>
      <c r="B28" s="127" t="inlineStr">
        <is>
          <t>-</t>
        </is>
      </c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</row>
    <row r="29">
      <c r="A29" s="128" t="n"/>
      <c r="B29" s="128" t="n"/>
    </row>
  </sheetData>
  <mergeCells count="4">
    <mergeCell ref="B3:C3"/>
    <mergeCell ref="D3:E3"/>
    <mergeCell ref="E9:E13"/>
    <mergeCell ref="D9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1.375" customWidth="1" min="1" max="1"/>
    <col width="7.375" customWidth="1" min="2" max="2"/>
    <col width="22.5" customWidth="1" min="3" max="3"/>
    <col width="18.75" customWidth="1" min="4" max="4"/>
    <col width="18.125" customWidth="1" min="5" max="5"/>
    <col width="22.25" customWidth="1" min="6" max="6"/>
    <col width="21.875" customWidth="1" min="7" max="7"/>
    <col width="19.875" customWidth="1" min="8" max="8"/>
    <col width="18" customWidth="1" min="9" max="9"/>
  </cols>
  <sheetData>
    <row r="1" ht="19.5" customHeight="1">
      <c r="A1" s="129" t="inlineStr">
        <is>
          <t>RUBRIK PENILAIAN I1–I7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</row>
    <row r="2" ht="51" customHeight="1">
      <c r="A2" s="130" t="inlineStr">
        <is>
          <t>Gunakan setelah Status Penilaian = DAPAT DINILAI. Kolom 'Yang Dicek' membantu pengguna baru memahami indikator secara praktis.</t>
        </is>
      </c>
      <c r="F2" s="130" t="n"/>
      <c r="G2" s="130" t="n"/>
      <c r="H2" s="130" t="n"/>
      <c r="I2" s="130" t="n"/>
    </row>
    <row r="3"/>
    <row r="4" ht="15" customHeight="1">
      <c r="A4" s="131" t="inlineStr">
        <is>
          <t>Indikator</t>
        </is>
      </c>
      <c r="B4" s="131" t="inlineStr">
        <is>
          <t>Bobot</t>
        </is>
      </c>
      <c r="C4" s="131" t="inlineStr">
        <is>
          <t>Yang Dicek</t>
        </is>
      </c>
      <c r="D4" s="131" t="inlineStr">
        <is>
          <t>Skor 0</t>
        </is>
      </c>
      <c r="E4" s="131" t="inlineStr">
        <is>
          <t>Skor 1</t>
        </is>
      </c>
      <c r="F4" s="131" t="inlineStr">
        <is>
          <t>Skor 2</t>
        </is>
      </c>
      <c r="G4" s="131" t="inlineStr">
        <is>
          <t>Skor 3</t>
        </is>
      </c>
      <c r="H4" s="131" t="inlineStr">
        <is>
          <t>Skor 4</t>
        </is>
      </c>
      <c r="I4" s="131" t="inlineStr">
        <is>
          <t>Catatan</t>
        </is>
      </c>
    </row>
    <row r="5" ht="110.0999984741211" customHeight="1">
      <c r="A5" s="132" t="inlineStr">
        <is>
          <t>I1. Kejelasan Pengelolaan &amp; Rencana Tindak Lanjut</t>
        </is>
      </c>
      <c r="B5" s="132" t="n">
        <v>10</v>
      </c>
      <c r="C5" s="53" t="inlineStr">
        <is>
          <t>1) Penanggung jawab jelas; 2) ada rencana tindak lanjut yang realistis; 3) ada cara koordinasi untuk memastikan tindak lanjut berjalan.</t>
        </is>
      </c>
      <c r="D5" s="53" t="inlineStr">
        <is>
          <t>Setelah diverifikasi, penanggung jawab dan tindak lanjut belum dapat ditentukan.</t>
        </is>
      </c>
      <c r="E5" s="53" t="inlineStr">
        <is>
          <t>Penanggung jawab mulai diketahui, tetapi pembagian peran/tindak lanjut belum jelas.</t>
        </is>
      </c>
      <c r="F5" s="53" t="inlineStr">
        <is>
          <t>Penanggung jawab dan sebagian tindak lanjut sudah jelas, tetapi koordinasi atau kesiapan pelaksanaan belum konsisten.</t>
        </is>
      </c>
      <c r="G5" s="53" t="inlineStr">
        <is>
          <t>Penanggung jawab, rencana tindak lanjut, dan koordinasi jelas serta berjalan sesuai kebutuhan.</t>
        </is>
      </c>
      <c r="H5" s="53" t="inlineStr">
        <is>
          <t>Pengelolaan berjalan konsisten, adaptif terhadap perubahan, dan mampu menjaga kesinambungan pelaksanaan.</t>
        </is>
      </c>
      <c r="I5" s="53" t="inlineStr">
        <is>
          <t>Tidak mensyaratkan struktur PIC yang sama untuk semua kerja sama.</t>
        </is>
      </c>
    </row>
    <row r="6" ht="110.0999984741211" customHeight="1">
      <c r="A6" s="132" t="inlineStr">
        <is>
          <t>I2. Implementasi / Tindak Lanjut</t>
        </is>
      </c>
      <c r="B6" s="132" t="n">
        <v>15</v>
      </c>
      <c r="C6" s="53" t="inlineStr">
        <is>
          <t>Apakah ada kegiatan/langkah nyata setelah penandatanganan atau pada periode penilaian?</t>
        </is>
      </c>
      <c r="D6" s="53" t="inlineStr">
        <is>
          <t>Setelah cukup waktu dan diverifikasi, tidak terdapat tindak lanjut.</t>
        </is>
      </c>
      <c r="E6" s="53" t="inlineStr">
        <is>
          <t>Ada tindak lanjut sangat terbatas atau insidental.</t>
        </is>
      </c>
      <c r="F6" s="53" t="inlineStr">
        <is>
          <t>Sebagian tindak lanjut dilaksanakan, tetapi masih terdapat gap berarti.</t>
        </is>
      </c>
      <c r="G6" s="53" t="inlineStr">
        <is>
          <t>Tindak lanjut utama terlaksana dan berjalan cukup konsisten.</t>
        </is>
      </c>
      <c r="H6" s="53" t="inlineStr">
        <is>
          <t>Implementasi berjalan konsisten, terarah, dan tindak lanjut utama dikendalikan sampai selesai.</t>
        </is>
      </c>
      <c r="I6" s="53" t="n"/>
    </row>
    <row r="7" ht="110.0999984741211" customHeight="1">
      <c r="A7" s="132" t="inlineStr">
        <is>
          <t>I3. Output</t>
        </is>
      </c>
      <c r="B7" s="132" t="n">
        <v>15</v>
      </c>
      <c r="C7" s="53" t="inlineStr">
        <is>
          <t>Apakah kegiatan menghasilkan produk/hasil langsung yang seharusnya dicapai?</t>
        </is>
      </c>
      <c r="D7" s="53" t="inlineStr">
        <is>
          <t>Output sudah seharusnya ada tetapi tidak dihasilkan.</t>
        </is>
      </c>
      <c r="E7" s="53" t="inlineStr">
        <is>
          <t>Output sangat terbatas.</t>
        </is>
      </c>
      <c r="F7" s="53" t="inlineStr">
        <is>
          <t>Sebagian output tercapai.</t>
        </is>
      </c>
      <c r="G7" s="53" t="inlineStr">
        <is>
          <t>Sebagian besar output utama tercapai dan dapat dibuktikan.</t>
        </is>
      </c>
      <c r="H7" s="53" t="inlineStr">
        <is>
          <t>Output utama tercapai lengkap/konsisten dan kualitas/cakupannya kuat.</t>
        </is>
      </c>
      <c r="I7" s="53" t="n"/>
    </row>
    <row r="8" ht="110.0999984741211" customHeight="1">
      <c r="A8" s="132" t="inlineStr">
        <is>
          <t>I4. Outcome</t>
        </is>
      </c>
      <c r="B8" s="132" t="n">
        <v>20</v>
      </c>
      <c r="C8" s="53" t="inlineStr">
        <is>
          <t>Apakah output mulai memberi perubahan/manfaat kepada sasaran, proses, layanan, atau organisasi?</t>
        </is>
      </c>
      <c r="D8" s="53" t="inlineStr">
        <is>
          <t>Sudah cukup waktu untuk menilai tetapi tidak ditemukan manfaat/perubahan.</t>
        </is>
      </c>
      <c r="E8" s="53" t="inlineStr">
        <is>
          <t>Manfaat awal sangat terbatas.</t>
        </is>
      </c>
      <c r="F8" s="53" t="inlineStr">
        <is>
          <t>Manfaat terlihat pada sebagian sasaran.</t>
        </is>
      </c>
      <c r="G8" s="53" t="inlineStr">
        <is>
          <t>Outcome utama dapat ditunjukkan dengan cukup jelas dan terukur.</t>
        </is>
      </c>
      <c r="H8" s="53" t="inlineStr">
        <is>
          <t>Outcome kuat, konsisten, terukur, dan terlihat pada sasaran yang relevan.</t>
        </is>
      </c>
      <c r="I8" s="53" t="inlineStr">
        <is>
          <t>Jika belum cukup waktu, gunakan BDN, bukan skor 0.</t>
        </is>
      </c>
    </row>
    <row r="9" ht="110.0999984741211" customHeight="1">
      <c r="A9" s="132" t="inlineStr">
        <is>
          <t>I5. Kontribusi / Dampak</t>
        </is>
      </c>
      <c r="B9" s="132" t="n">
        <v>20</v>
      </c>
      <c r="C9" s="53" t="inlineStr">
        <is>
          <t>Apakah hasil kerja sama berkontribusi terhadap sasaran kinerja organisasi dan/atau pelayanan hukum?</t>
        </is>
      </c>
      <c r="D9" s="53" t="inlineStr">
        <is>
          <t>Sudah layak dinilai tetapi tidak ditemukan kontribusi yang dapat dibuktikan.</t>
        </is>
      </c>
      <c r="E9" s="53" t="inlineStr">
        <is>
          <t>Hubungan dengan kinerja/pelayanan sangat terbatas.</t>
        </is>
      </c>
      <c r="F9" s="53" t="inlineStr">
        <is>
          <t>Ada kontribusi yang dapat dijelaskan dan didukung sebagian data.</t>
        </is>
      </c>
      <c r="G9" s="53" t="inlineStr">
        <is>
          <t>Kontribusi terhadap sasaran kinerja/pelayanan jelas dan didukung evidence terukur.</t>
        </is>
      </c>
      <c r="H9" s="53" t="inlineStr">
        <is>
          <t>Kontribusi kuat, konsisten, strategis, dan layak dipertahankan atau direplikasi.</t>
        </is>
      </c>
      <c r="I9" s="53" t="inlineStr">
        <is>
          <t>Gunakan logika kontribusi; jangan memaksakan klaim kausalitas.</t>
        </is>
      </c>
    </row>
    <row r="10" ht="110.0999984741211" customHeight="1">
      <c r="A10" s="132" t="inlineStr">
        <is>
          <t>I6. Evidence &amp; Data</t>
        </is>
      </c>
      <c r="B10" s="132" t="n">
        <v>10</v>
      </c>
      <c r="C10" s="53" t="inlineStr">
        <is>
          <t>Apakah data/evidence cukup, mutakhir, dan dapat ditelusuri ke sumbernya?</t>
        </is>
      </c>
      <c r="D10" s="53" t="inlineStr">
        <is>
          <t>Tidak tersedia data/evidence yang cukup untuk memastikan kondisi kerja sama.</t>
        </is>
      </c>
      <c r="E10" s="53" t="inlineStr">
        <is>
          <t>Evidence sangat terbatas, tersebar, atau sulit diverifikasi.</t>
        </is>
      </c>
      <c r="F10" s="53" t="inlineStr">
        <is>
          <t>Evidence utama tersedia tetapi belum konsisten dalam kelengkapan/keterbaruan/keterlacakan.</t>
        </is>
      </c>
      <c r="G10" s="53" t="inlineStr">
        <is>
          <t>Evidence utama lengkap, mutakhir, jelas sumber/lokasinya, dan dapat ditelusuri.</t>
        </is>
      </c>
      <c r="H10" s="53" t="inlineStr">
        <is>
          <t>Evidence lengkap, terstruktur, konsisten, memiliki jejak sumber/versi, dan siap digunakan untuk evaluasi/audit.</t>
        </is>
      </c>
      <c r="I10" s="53" t="inlineStr">
        <is>
          <t>Evidence boleh tersimpan di unit pelaksana sepanjang sumber/lokasinya dapat ditelusuri.</t>
        </is>
      </c>
    </row>
    <row r="11" ht="110.0999984741211" customHeight="1">
      <c r="A11" s="132" t="inlineStr">
        <is>
          <t>I7. Risiko &amp; Keberlanjutan</t>
        </is>
      </c>
      <c r="B11" s="132" t="n">
        <v>10</v>
      </c>
      <c r="C11" s="53" t="inlineStr">
        <is>
          <t>Apakah risiko utama ditangani dan ada kondisi yang mendukung keberlanjutan manfaat?</t>
        </is>
      </c>
      <c r="D11" s="53" t="inlineStr">
        <is>
          <t>Risiko material tidak dikendalikan dan keberlanjutan terancam.</t>
        </is>
      </c>
      <c r="E11" s="53" t="inlineStr">
        <is>
          <t>Risiko diketahui tetapi penanganannya lemah.</t>
        </is>
      </c>
      <c r="F11" s="53" t="inlineStr">
        <is>
          <t>Risiko utama mulai ditangani tetapi masih ada tindak lanjut penting.</t>
        </is>
      </c>
      <c r="G11" s="53" t="inlineStr">
        <is>
          <t>Risiko utama terkendali dan keberlanjutan manfaat cukup terjamin.</t>
        </is>
      </c>
      <c r="H11" s="53" t="inlineStr">
        <is>
          <t>Risiko dikelola aktif dan konsisten serta terdapat dukungan kuat bagi keberlanjutan/replikasi manfaat.</t>
        </is>
      </c>
      <c r="I11" s="53" t="inlineStr">
        <is>
          <t>Berbeda dari Early Warning; I7 menilai kualitas pengelolaan risiko, bukan tingkat urgensi saat ini.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18" customWidth="1" min="4" max="4"/>
  </cols>
  <sheetData>
    <row r="1" ht="19.5" customHeight="1">
      <c r="A1" s="1" t="inlineStr">
        <is>
          <t>PANDUAN PENGGUNAAN SCORECARD MITRA KINERJA</t>
        </is>
      </c>
      <c r="B1" s="1" t="n"/>
      <c r="C1" s="1" t="n"/>
      <c r="D1" s="1" t="n"/>
      <c r="E1" s="1" t="n"/>
      <c r="F1" s="1" t="n"/>
    </row>
    <row r="2" ht="38.25" customHeight="1">
      <c r="A2" s="2" t="inlineStr">
        <is>
          <t>Alur: 1) nilai fakta, 2) baca kendali, 3) susun rekomendasi/keputusan.</t>
        </is>
      </c>
      <c r="B2" s="2" t="n"/>
      <c r="C2" s="2" t="n"/>
      <c r="D2" s="2" t="n"/>
      <c r="E2" s="2" t="n"/>
      <c r="F2" s="2" t="n"/>
    </row>
    <row r="3">
      <c r="A3" s="133" t="inlineStr">
        <is>
          <t>Legenda warna</t>
        </is>
      </c>
      <c r="B3" s="133" t="inlineStr">
        <is>
          <t>KUNING #FFF2CC = input/keputusan pengguna</t>
        </is>
      </c>
      <c r="C3" s="133" t="inlineStr">
        <is>
          <t>BIRU = data sumber/hasil otomatis; HIJAU = DAPAT DINILAI; ABU = BELUM DAPAT DINILAI</t>
        </is>
      </c>
    </row>
    <row r="4" ht="15" customHeight="1">
      <c r="A4" s="8" t="inlineStr">
        <is>
          <t>1. SIAPA MENGISI APA</t>
        </is>
      </c>
      <c r="B4" s="8" t="n"/>
      <c r="C4" s="8" t="n"/>
      <c r="D4" s="8" t="n"/>
      <c r="E4" s="8" t="n"/>
      <c r="F4" s="8" t="n"/>
    </row>
    <row r="5" ht="15" customHeight="1">
      <c r="A5" s="131" t="inlineStr">
        <is>
          <t>Peran</t>
        </is>
      </c>
      <c r="B5" s="131" t="inlineStr">
        <is>
          <t>Tugas Utama</t>
        </is>
      </c>
    </row>
    <row r="6" ht="28.5" customHeight="1">
      <c r="A6" s="56" t="inlineStr">
        <is>
          <t>PIC / Unit Teknis</t>
        </is>
      </c>
      <c r="B6" s="56" t="inlineStr">
        <is>
          <t>Menyampaikan fakta pelaksanaan, hasil, evidence, kendala, dan tindak lanjut.</t>
        </is>
      </c>
    </row>
    <row r="7" ht="42.75" customHeight="1">
      <c r="A7" s="56" t="inlineStr">
        <is>
          <t>Reviewer / Pengelola</t>
        </is>
      </c>
      <c r="B7" s="56" t="inlineStr">
        <is>
          <t>Menilai status, memeriksa evidence, memberi skor I1–I7, menetapkan posisi portofolio, Early Warning, dan draft rekomendasi.</t>
        </is>
      </c>
    </row>
    <row r="8">
      <c r="A8" s="56" t="inlineStr">
        <is>
          <t>Validator</t>
        </is>
      </c>
      <c r="B8" s="56" t="inlineStr">
        <is>
          <t>Memastikan fakta, evidence, skor, dan alasan konsisten.</t>
        </is>
      </c>
    </row>
    <row r="9" ht="28.5" customHeight="1">
      <c r="A9" s="56" t="inlineStr">
        <is>
          <t>Pimpinan / Pejabat Berwenang</t>
        </is>
      </c>
      <c r="B9" s="56" t="inlineStr">
        <is>
          <t>Memberi keputusan/arahan sesuai kewenangan; tidak otomatis mengikuti nilai total.</t>
        </is>
      </c>
    </row>
    <row r="10"/>
    <row r="11" ht="15" customHeight="1">
      <c r="A11" s="8" t="inlineStr">
        <is>
          <t>2. URUTAN KERJA</t>
        </is>
      </c>
      <c r="B11" s="8" t="n"/>
      <c r="C11" s="8" t="n"/>
      <c r="D11" s="8" t="n"/>
      <c r="E11" s="8" t="n"/>
      <c r="F11" s="8" t="n"/>
    </row>
    <row r="12" ht="28.5" customHeight="1">
      <c r="A12" s="134" t="inlineStr">
        <is>
          <t>1</t>
        </is>
      </c>
      <c r="B12" s="56" t="inlineStr">
        <is>
          <t>PENILAIAN</t>
        </is>
      </c>
      <c r="C12" s="56" t="inlineStr">
        <is>
          <t>Isi identitas, baseline, kondisi saat ini, status penilaian, evidence, skor, dan alasan.</t>
        </is>
      </c>
    </row>
    <row r="13" ht="28.5" customHeight="1">
      <c r="A13" s="134" t="inlineStr">
        <is>
          <t>2</t>
        </is>
      </c>
      <c r="B13" s="56" t="inlineStr">
        <is>
          <t>KENDALI</t>
        </is>
      </c>
      <c r="C13" s="56" t="inlineStr">
        <is>
          <t>Tetapkan posisi portofolio, Early Warning, serta perlu/tidaknya intervensi pimpinan.</t>
        </is>
      </c>
    </row>
    <row r="14" ht="28.5" customHeight="1">
      <c r="A14" s="134" t="inlineStr">
        <is>
          <t>3</t>
        </is>
      </c>
      <c r="B14" s="56" t="inlineStr">
        <is>
          <t>REKOMENDASI</t>
        </is>
      </c>
      <c r="C14" s="56" t="inlineStr">
        <is>
          <t>Validasi hasil, susun rekomendasi/tindak lanjut, lalu catat keputusan/arahan pimpinan.</t>
        </is>
      </c>
    </row>
    <row r="15" ht="15" customHeight="1">
      <c r="A15" s="134" t="inlineStr">
        <is>
          <t>4</t>
        </is>
      </c>
      <c r="B15" s="56" t="inlineStr">
        <is>
          <t>RUBRIK</t>
        </is>
      </c>
      <c r="C15" s="56" t="inlineStr">
        <is>
          <t>Buka hanya saat perlu menentukan arti skor 0–4.</t>
        </is>
      </c>
    </row>
    <row r="16" ht="28.5" customHeight="1">
      <c r="A16" s="134" t="inlineStr">
        <is>
          <t>5</t>
        </is>
      </c>
      <c r="B16" s="56" t="inlineStr">
        <is>
          <t>CONTOH</t>
        </is>
      </c>
      <c r="C16" s="56" t="inlineStr">
        <is>
          <t>Gunakan jika masih ragu membedakan skor 0, BDN, dan bukti belum memadai.</t>
        </is>
      </c>
    </row>
    <row r="17"/>
    <row r="18"/>
    <row r="19"/>
    <row r="20" ht="15" customHeight="1">
      <c r="A20" s="8" t="inlineStr">
        <is>
          <t>3. STATUS PENILAIAN</t>
        </is>
      </c>
      <c r="B20" s="8" t="n"/>
      <c r="C20" s="8" t="n"/>
      <c r="D20" s="8" t="n"/>
      <c r="E20" s="8" t="n"/>
      <c r="F20" s="8" t="n"/>
    </row>
    <row r="21" ht="15" customHeight="1">
      <c r="A21" s="131" t="inlineStr">
        <is>
          <t>Status</t>
        </is>
      </c>
      <c r="B21" s="131" t="inlineStr">
        <is>
          <t>Gunakan ketika</t>
        </is>
      </c>
      <c r="C21" s="131" t="inlineStr">
        <is>
          <t>Skor?</t>
        </is>
      </c>
    </row>
    <row r="22">
      <c r="A22" s="56" t="inlineStr">
        <is>
          <t>DAPAT DINILAI</t>
        </is>
      </c>
      <c r="B22" s="56" t="inlineStr">
        <is>
          <t>Sudah waktunya dinilai dan evidence/fakta cukup.</t>
        </is>
      </c>
      <c r="C22" s="56" t="inlineStr">
        <is>
          <t>Ya, 0–4</t>
        </is>
      </c>
    </row>
    <row r="23" ht="28.5" customHeight="1">
      <c r="A23" s="56" t="inlineStr">
        <is>
          <t>BUKTI BELUM MEMADAI</t>
        </is>
      </c>
      <c r="B23" s="56" t="inlineStr">
        <is>
          <t>Sudah waktunya dinilai tetapi fakta belum dapat dipastikan karena evidence belum cukup.</t>
        </is>
      </c>
      <c r="C23" s="56" t="inlineStr">
        <is>
          <t>Tidak</t>
        </is>
      </c>
    </row>
    <row r="24" ht="57" customHeight="1">
      <c r="A24" s="56" t="inlineStr">
        <is>
          <t>BELUM DAPAT DINILAI</t>
        </is>
      </c>
      <c r="B24" s="56" t="inlineStr">
        <is>
          <t>Digunakan bila secara objektif belum cukup waktu bagi indikator untuk menghasilkan hasil/manfaat. Ini terutama relevan pada masa implementasi awal untuk outcome dan kontribusi/dampak.</t>
        </is>
      </c>
      <c r="C24" s="56" t="inlineStr">
        <is>
          <t>Tidak</t>
        </is>
      </c>
    </row>
    <row r="25"/>
    <row r="26"/>
    <row r="27" ht="15" customHeight="1">
      <c r="A27" s="8" t="inlineStr">
        <is>
          <t>4. ATURAN SKOR</t>
        </is>
      </c>
      <c r="B27" s="8" t="n"/>
      <c r="C27" s="8" t="n"/>
      <c r="D27" s="8" t="n"/>
      <c r="E27" s="8" t="n"/>
      <c r="F27" s="8" t="n"/>
    </row>
    <row r="28" ht="28.5" customHeight="1">
      <c r="A28" s="134" t="inlineStr">
        <is>
          <t>Skor 0</t>
        </is>
      </c>
      <c r="B28" s="56" t="inlineStr">
        <is>
          <t>Hanya jika indikator sudah dapat dinilai, evidence cukup, dan secara faktual unsur tidak terpenuhi.</t>
        </is>
      </c>
    </row>
    <row r="29" ht="28.5" customHeight="1">
      <c r="A29" s="134" t="inlineStr">
        <is>
          <t>BDN</t>
        </is>
      </c>
      <c r="B29" s="56" t="inlineStr">
        <is>
          <t>Bukan untuk menutupi kinerja rendah. Jika sudah cukup waktu dan tidak ada hasil, gunakan skor 0 sesuai rubrik.</t>
        </is>
      </c>
    </row>
    <row r="30" ht="28.5" customHeight="1">
      <c r="A30" s="134" t="inlineStr">
        <is>
          <t>Bukti belum memadai</t>
        </is>
      </c>
      <c r="B30" s="56" t="inlineStr">
        <is>
          <t>Bukan skor 0; harus diikuti tindakan verifikasi/melengkapi evidence.</t>
        </is>
      </c>
    </row>
    <row r="31" ht="15" customHeight="1">
      <c r="A31" s="134" t="inlineStr">
        <is>
          <t>Nilai final</t>
        </is>
      </c>
      <c r="B31" s="56" t="inlineStr">
        <is>
          <t>Hanya muncul jika seluruh 7 indikator dapat dinilai.</t>
        </is>
      </c>
    </row>
    <row r="32" ht="57" customHeight="1">
      <c r="A32" s="134" t="inlineStr">
        <is>
          <t>Masa Implementasi Awal</t>
        </is>
      </c>
      <c r="B32" s="56" t="inlineStr">
        <is>
          <t>Digunakan bila kerja sama masih baru sehingga sebagian indikator hasil (terutama outcome dan kontribusi/dampak) secara objektif belum layak diberi skor. Indikator yang sudah matang tetap dapat dinilai.</t>
        </is>
      </c>
      <c r="C32" t="inlineStr">
        <is>
          <t>Nilai final/kategori belum ditetapkan sampai seluruh indikator hasil memasuki periode penilaian yang memadai.</t>
        </is>
      </c>
    </row>
    <row r="33"/>
    <row r="34"/>
    <row r="35" ht="15" customHeight="1">
      <c r="A35" s="8" t="inlineStr">
        <is>
          <t>5. ESTIMASI WAKTU</t>
        </is>
      </c>
      <c r="B35" s="8" t="n"/>
      <c r="C35" s="8" t="n"/>
      <c r="D35" s="8" t="n"/>
      <c r="E35" s="8" t="n"/>
      <c r="F35" s="8" t="n"/>
    </row>
    <row r="36" ht="15" customHeight="1">
      <c r="A36" s="131" t="inlineStr">
        <is>
          <t>Kondisi Pengguna</t>
        </is>
      </c>
      <c r="B36" s="131" t="inlineStr">
        <is>
          <t>Estimasi Waktu per Naskah</t>
        </is>
      </c>
    </row>
    <row r="37" ht="28.5" customHeight="1">
      <c r="A37" s="56" t="inlineStr">
        <is>
          <t>Pertama kali, evidence belum tertata</t>
        </is>
      </c>
      <c r="B37" s="56" t="inlineStr">
        <is>
          <t>60–120 menit atau lebih</t>
        </is>
      </c>
    </row>
    <row r="38" ht="28.5" customHeight="1">
      <c r="A38" s="56" t="inlineStr">
        <is>
          <t>Pertama kali, evidence sudah tersedia</t>
        </is>
      </c>
      <c r="B38" s="56" t="inlineStr">
        <is>
          <t>45–75 menit</t>
        </is>
      </c>
    </row>
    <row r="39" ht="28.5" customHeight="1">
      <c r="A39" s="56" t="inlineStr">
        <is>
          <t>Sudah memahami instrumen dan evidence siap</t>
        </is>
      </c>
      <c r="B39" s="56" t="inlineStr">
        <is>
          <t>25–45 menit</t>
        </is>
      </c>
    </row>
    <row r="40" ht="28.5" customHeight="1">
      <c r="A40" s="56" t="inlineStr">
        <is>
          <t>Update berkala setelah data tertata</t>
        </is>
      </c>
      <c r="B40" s="56" t="inlineStr">
        <is>
          <t>15–30 menit</t>
        </is>
      </c>
    </row>
    <row r="41"/>
    <row r="42" ht="15" customHeight="1">
      <c r="A42" s="8" t="inlineStr">
        <is>
          <t>6. CARA MEMBACA HASIL</t>
        </is>
      </c>
      <c r="B42" s="8" t="n"/>
      <c r="C42" s="8" t="n"/>
      <c r="D42" s="8" t="n"/>
      <c r="E42" s="8" t="n"/>
      <c r="F42" s="8" t="n"/>
    </row>
    <row r="43" ht="15" customHeight="1">
      <c r="A43" s="131" t="inlineStr">
        <is>
          <t>Situasi</t>
        </is>
      </c>
      <c r="B43" s="131" t="inlineStr">
        <is>
          <t>Makna</t>
        </is>
      </c>
    </row>
    <row r="44" ht="28.5" customHeight="1">
      <c r="A44" s="56" t="inlineStr">
        <is>
          <t>Banyak BDN karena belum cukup waktu</t>
        </is>
      </c>
      <c r="B44" s="56" t="inlineStr">
        <is>
          <t>Normal; jadwalkan review berikutnya.</t>
        </is>
      </c>
    </row>
    <row r="45" ht="28.5" customHeight="1">
      <c r="A45" s="56" t="inlineStr">
        <is>
          <t>Banyak bukti belum memadai</t>
        </is>
      </c>
      <c r="B45" s="56" t="inlineStr">
        <is>
          <t>Ada gap tata kelola evidence; perlu verifikasi/perbaikan dokumentasi.</t>
        </is>
      </c>
    </row>
    <row r="46" ht="28.5" customHeight="1">
      <c r="A46" s="56" t="inlineStr">
        <is>
          <t>Banyak skor 0 setelah cukup waktu</t>
        </is>
      </c>
      <c r="B46" s="56" t="inlineStr">
        <is>
          <t>Masalah pelaksanaan/hasil kerja sama; perlu tindakan korektif atau keputusan keberlanjutan.</t>
        </is>
      </c>
    </row>
    <row r="47" ht="28.5" customHeight="1">
      <c r="A47" s="56" t="inlineStr">
        <is>
          <t>Warning tinggi meski nilai baik</t>
        </is>
      </c>
      <c r="B47" s="56" t="inlineStr">
        <is>
          <t>Tetap perlu tindakan; Early Warning memang terpisah dari nilai Scorecard.</t>
        </is>
      </c>
    </row>
    <row r="48" ht="28.5" customHeight="1">
      <c r="A48" s="56" t="inlineStr">
        <is>
          <t>Intervensi = YA</t>
        </is>
      </c>
      <c r="B48" s="56" t="inlineStr">
        <is>
          <t>Ada isu/keputusan yang membutuhkan kewenangan/arahan pimpinan.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8" customWidth="1" min="4" max="4"/>
    <col width="10" customWidth="1" min="6" max="6"/>
    <col width="30" customWidth="1" min="7" max="7"/>
    <col width="34" customWidth="1" min="8" max="8"/>
  </cols>
  <sheetData>
    <row r="1" ht="19.5" customHeight="1">
      <c r="A1" s="1" t="inlineStr">
        <is>
          <t>CONTOH PENGISIAN — UNTUK PENGGUNA BARU</t>
        </is>
      </c>
      <c r="B1" s="1" t="n"/>
      <c r="C1" s="1" t="n"/>
      <c r="D1" s="1" t="n"/>
      <c r="E1" s="1" t="n"/>
      <c r="F1" s="1" t="n"/>
      <c r="G1" s="1" t="n"/>
      <c r="H1" s="1" t="n"/>
    </row>
    <row r="2" ht="114.75" customHeight="1">
      <c r="A2" s="2" t="inlineStr">
        <is>
          <t>Contoh membedakan kerja sama lama yang pasif dengan kerja sama baru yang hasilnya memang belum jatuh tempo.</t>
        </is>
      </c>
      <c r="B2" s="2" t="n"/>
      <c r="C2" s="2" t="n"/>
      <c r="D2" s="2" t="n"/>
      <c r="E2" s="2" t="n"/>
      <c r="F2" s="2" t="n"/>
      <c r="G2" s="2" t="n"/>
      <c r="H2" s="2" t="n"/>
    </row>
    <row r="3"/>
    <row r="4" ht="15" customHeight="1">
      <c r="A4" s="8" t="inlineStr">
        <is>
          <t>CONTOH A — PKS SUDAH CUKUP LAMA, TETAPI TIDAK AKTIF</t>
        </is>
      </c>
      <c r="B4" s="8" t="n"/>
      <c r="C4" s="8" t="n"/>
      <c r="D4" s="8" t="n"/>
      <c r="E4" s="8" t="n"/>
      <c r="F4" s="8" t="n"/>
      <c r="G4" s="8" t="n"/>
      <c r="H4" s="8" t="n"/>
    </row>
    <row r="5" ht="15" customHeight="1">
      <c r="A5" s="131" t="inlineStr">
        <is>
          <t>Indikator</t>
        </is>
      </c>
      <c r="B5" s="131" t="inlineStr">
        <is>
          <t>Temuan</t>
        </is>
      </c>
      <c r="C5" s="131" t="inlineStr">
        <is>
          <t>Status</t>
        </is>
      </c>
      <c r="D5" s="131" t="inlineStr">
        <is>
          <t>Skor</t>
        </is>
      </c>
      <c r="E5" s="131" t="inlineStr">
        <is>
          <t>Bobot</t>
        </is>
      </c>
      <c r="F5" s="131" t="inlineStr">
        <is>
          <t>Nilai</t>
        </is>
      </c>
      <c r="G5" s="131" t="inlineStr">
        <is>
          <t>Makna</t>
        </is>
      </c>
      <c r="H5" s="131" t="inlineStr">
        <is>
          <t>Tindak Lanjut</t>
        </is>
      </c>
    </row>
    <row r="6" ht="28.5" customHeight="1">
      <c r="A6" s="56" t="inlineStr">
        <is>
          <t>I1</t>
        </is>
      </c>
      <c r="B6" s="56" t="inlineStr">
        <is>
          <t>PIC diketahui, tetapi tidak ada rencana tindak lanjut yang jelas.</t>
        </is>
      </c>
      <c r="C6" s="56" t="inlineStr">
        <is>
          <t>DAPAT DINILAI</t>
        </is>
      </c>
      <c r="D6" s="56" t="n">
        <v>1</v>
      </c>
      <c r="E6" s="56" t="n">
        <v>10</v>
      </c>
      <c r="F6" s="56" t="n">
        <v>2.5</v>
      </c>
      <c r="G6" s="56" t="inlineStr">
        <is>
          <t>Pengelolaan lemah</t>
        </is>
      </c>
      <c r="H6" s="56" t="inlineStr">
        <is>
          <t>Tetapkan tindak lanjut/owner.</t>
        </is>
      </c>
    </row>
    <row r="7">
      <c r="A7" s="56" t="inlineStr">
        <is>
          <t>I2</t>
        </is>
      </c>
      <c r="B7" s="56" t="inlineStr">
        <is>
          <t>Tidak ada kegiatan setelah penandatanganan.</t>
        </is>
      </c>
      <c r="C7" s="56" t="inlineStr">
        <is>
          <t>DAPAT DINILAI</t>
        </is>
      </c>
      <c r="D7" s="56" t="n">
        <v>0</v>
      </c>
      <c r="E7" s="56" t="n">
        <v>15</v>
      </c>
      <c r="F7" s="56" t="n">
        <v>0</v>
      </c>
      <c r="G7" s="56" t="inlineStr">
        <is>
          <t>Tidak ada implementasi</t>
        </is>
      </c>
      <c r="H7" s="56" t="inlineStr">
        <is>
          <t>Aktivasi atau evaluasi keberlanjutan.</t>
        </is>
      </c>
    </row>
    <row r="8" ht="28.5" customHeight="1">
      <c r="A8" s="56" t="inlineStr">
        <is>
          <t>I3</t>
        </is>
      </c>
      <c r="B8" s="56" t="inlineStr">
        <is>
          <t>Tidak ada output padahal periode sudah memadai.</t>
        </is>
      </c>
      <c r="C8" s="56" t="inlineStr">
        <is>
          <t>DAPAT DINILAI</t>
        </is>
      </c>
      <c r="D8" s="56" t="n">
        <v>0</v>
      </c>
      <c r="E8" s="56" t="n">
        <v>15</v>
      </c>
      <c r="F8" s="56" t="n">
        <v>0</v>
      </c>
      <c r="G8" s="56" t="inlineStr">
        <is>
          <t>Output tidak tercapai</t>
        </is>
      </c>
      <c r="H8" s="56" t="inlineStr">
        <is>
          <t>Tentukan output prioritas.</t>
        </is>
      </c>
    </row>
    <row r="9" ht="28.5" customHeight="1">
      <c r="A9" s="56" t="inlineStr">
        <is>
          <t>I4</t>
        </is>
      </c>
      <c r="B9" s="56" t="inlineStr">
        <is>
          <t>Tidak ada manfaat/perubahan setelah periode memadai.</t>
        </is>
      </c>
      <c r="C9" s="56" t="inlineStr">
        <is>
          <t>DAPAT DINILAI</t>
        </is>
      </c>
      <c r="D9" s="56" t="n">
        <v>0</v>
      </c>
      <c r="E9" s="56" t="n">
        <v>20</v>
      </c>
      <c r="F9" s="56" t="n">
        <v>0</v>
      </c>
      <c r="G9" s="56" t="inlineStr">
        <is>
          <t>Outcome tidak terbentuk</t>
        </is>
      </c>
      <c r="H9" s="56" t="inlineStr">
        <is>
          <t>Perbaiki implementasi/evaluasi kelanjutan.</t>
        </is>
      </c>
    </row>
    <row r="10" ht="28.5" customHeight="1">
      <c r="A10" s="56" t="inlineStr">
        <is>
          <t>I5</t>
        </is>
      </c>
      <c r="B10" s="56" t="inlineStr">
        <is>
          <t>Tidak ditemukan kontribusi terhadap kinerja/pelayanan.</t>
        </is>
      </c>
      <c r="C10" s="56" t="inlineStr">
        <is>
          <t>DAPAT DINILAI</t>
        </is>
      </c>
      <c r="D10" s="56" t="n">
        <v>0</v>
      </c>
      <c r="E10" s="56" t="n">
        <v>20</v>
      </c>
      <c r="F10" s="56" t="n">
        <v>0</v>
      </c>
      <c r="G10" s="56" t="inlineStr">
        <is>
          <t>Kontribusi belum terbukti</t>
        </is>
      </c>
      <c r="H10" s="56" t="inlineStr">
        <is>
          <t>Kaji relevansi dan nilai strategis.</t>
        </is>
      </c>
    </row>
    <row r="11" ht="28.5" customHeight="1">
      <c r="A11" s="56" t="inlineStr">
        <is>
          <t>I6</t>
        </is>
      </c>
      <c r="B11" s="56" t="inlineStr">
        <is>
          <t>Verifikasi lengkap menunjukkan memang tidak ada implementasi.</t>
        </is>
      </c>
      <c r="C11" s="56" t="inlineStr">
        <is>
          <t>DAPAT DINILAI</t>
        </is>
      </c>
      <c r="D11" s="56" t="n">
        <v>3</v>
      </c>
      <c r="E11" s="56" t="n">
        <v>10</v>
      </c>
      <c r="F11" s="56" t="n">
        <v>7.5</v>
      </c>
      <c r="G11" s="56" t="inlineStr">
        <is>
          <t>Evidence cukup untuk menyimpulkan kondisi</t>
        </is>
      </c>
      <c r="H11" s="56" t="inlineStr">
        <is>
          <t>Pertahankan keterlacakan data.</t>
        </is>
      </c>
    </row>
    <row r="12" ht="28.5" customHeight="1">
      <c r="A12" s="56" t="inlineStr">
        <is>
          <t>I7</t>
        </is>
      </c>
      <c r="B12" s="56" t="inlineStr">
        <is>
          <t>Kerja sama pasif; tidak ada langkah keberlanjutan.</t>
        </is>
      </c>
      <c r="C12" s="56" t="inlineStr">
        <is>
          <t>DAPAT DINILAI</t>
        </is>
      </c>
      <c r="D12" s="56" t="n">
        <v>1</v>
      </c>
      <c r="E12" s="56" t="n">
        <v>10</v>
      </c>
      <c r="F12" s="56" t="n">
        <v>2.5</v>
      </c>
      <c r="G12" s="56" t="inlineStr">
        <is>
          <t>Risiko keberlanjutan tinggi</t>
        </is>
      </c>
      <c r="H12" s="56" t="inlineStr">
        <is>
          <t>Tentukan lanjut/perbaiki/hentikan.</t>
        </is>
      </c>
    </row>
    <row r="13"/>
    <row r="14" ht="15" customHeight="1">
      <c r="A14" s="8" t="inlineStr">
        <is>
          <t>CONTOH B — MASA IMPLEMENTASI AWAL: HASIL BELUM MEMASUKI PERIODE PENILAIAN</t>
        </is>
      </c>
      <c r="B14" s="8" t="n"/>
      <c r="C14" s="8" t="n"/>
      <c r="D14" s="8" t="n"/>
      <c r="E14" s="8" t="n"/>
      <c r="F14" s="8" t="n"/>
      <c r="G14" s="8" t="n"/>
      <c r="H14" s="8" t="n"/>
    </row>
    <row r="15" ht="15" customHeight="1">
      <c r="A15" s="131" t="inlineStr">
        <is>
          <t>Indikator</t>
        </is>
      </c>
      <c r="B15" s="131" t="inlineStr">
        <is>
          <t>Temuan</t>
        </is>
      </c>
      <c r="C15" s="131" t="inlineStr">
        <is>
          <t>Status</t>
        </is>
      </c>
      <c r="D15" s="131" t="inlineStr">
        <is>
          <t>Skor</t>
        </is>
      </c>
      <c r="E15" s="131" t="inlineStr">
        <is>
          <t>Bobot</t>
        </is>
      </c>
      <c r="F15" s="131" t="inlineStr">
        <is>
          <t>Nilai</t>
        </is>
      </c>
      <c r="G15" s="131" t="inlineStr">
        <is>
          <t>Makna</t>
        </is>
      </c>
      <c r="H15" s="131" t="inlineStr">
        <is>
          <t>Tindak Lanjut</t>
        </is>
      </c>
    </row>
    <row r="16" ht="28.5" customHeight="1">
      <c r="A16" s="56" t="inlineStr">
        <is>
          <t>I1</t>
        </is>
      </c>
      <c r="B16" s="56" t="inlineStr">
        <is>
          <t>Tanggung jawab, rencana awal, dan koordinasi sudah jelas.</t>
        </is>
      </c>
      <c r="C16" s="56" t="inlineStr">
        <is>
          <t>DAPAT DINILAI</t>
        </is>
      </c>
      <c r="D16" s="56" t="n">
        <v>3</v>
      </c>
      <c r="E16" s="56" t="n">
        <v>10</v>
      </c>
      <c r="F16" s="56" t="n">
        <v>7.5</v>
      </c>
      <c r="G16" s="56" t="inlineStr">
        <is>
          <t>Kesiapan baik</t>
        </is>
      </c>
      <c r="H16" s="56" t="inlineStr">
        <is>
          <t>Lanjutkan.</t>
        </is>
      </c>
    </row>
    <row r="17">
      <c r="A17" s="56" t="inlineStr">
        <is>
          <t>I2</t>
        </is>
      </c>
      <c r="B17" s="56" t="inlineStr">
        <is>
          <t>Langkah persiapan sudah berjalan.</t>
        </is>
      </c>
      <c r="C17" s="56" t="inlineStr">
        <is>
          <t>DAPAT DINILAI</t>
        </is>
      </c>
      <c r="D17" s="56" t="n">
        <v>2</v>
      </c>
      <c r="E17" s="56" t="n">
        <v>15</v>
      </c>
      <c r="F17" s="56" t="n">
        <v>7.5</v>
      </c>
      <c r="G17" s="56" t="inlineStr">
        <is>
          <t>Implementasi awal</t>
        </is>
      </c>
      <c r="H17" s="56" t="inlineStr">
        <is>
          <t>Pantau tindak lanjut.</t>
        </is>
      </c>
    </row>
    <row r="18" ht="28.5" customHeight="1">
      <c r="A18" s="56" t="inlineStr">
        <is>
          <t>I3</t>
        </is>
      </c>
      <c r="B18" s="56" t="inlineStr">
        <is>
          <t>Output utama dijadwalkan pada periode berikutnya.</t>
        </is>
      </c>
      <c r="C18" s="56" t="inlineStr">
        <is>
          <t>BELUM DAPAT DINILAI</t>
        </is>
      </c>
      <c r="D18" s="56" t="n"/>
      <c r="E18" s="56" t="n">
        <v>15</v>
      </c>
      <c r="F18" s="56" t="n"/>
      <c r="G18" s="56" t="inlineStr">
        <is>
          <t>Belum jatuh tempo</t>
        </is>
      </c>
      <c r="H18" s="56" t="inlineStr">
        <is>
          <t>Review pada jadwal output.</t>
        </is>
      </c>
    </row>
    <row r="19">
      <c r="A19" s="56" t="inlineStr">
        <is>
          <t>I4</t>
        </is>
      </c>
      <c r="B19" s="56" t="inlineStr">
        <is>
          <t>Outcome belum mungkin terlihat.</t>
        </is>
      </c>
      <c r="C19" s="56" t="inlineStr">
        <is>
          <t>BELUM DAPAT DINILAI</t>
        </is>
      </c>
      <c r="D19" s="56" t="n"/>
      <c r="E19" s="56" t="n">
        <v>20</v>
      </c>
      <c r="F19" s="56" t="n"/>
      <c r="G19" s="56" t="inlineStr">
        <is>
          <t>Belum matang</t>
        </is>
      </c>
      <c r="H19" s="56" t="inlineStr">
        <is>
          <t>Review setelah output tersedia.</t>
        </is>
      </c>
    </row>
    <row r="20">
      <c r="A20" s="56" t="inlineStr">
        <is>
          <t>I5</t>
        </is>
      </c>
      <c r="B20" s="56" t="inlineStr">
        <is>
          <t>Kontribusi/dampak belum mungkin diukur.</t>
        </is>
      </c>
      <c r="C20" s="56" t="inlineStr">
        <is>
          <t>BELUM DAPAT DINILAI</t>
        </is>
      </c>
      <c r="D20" s="56" t="n"/>
      <c r="E20" s="56" t="n">
        <v>20</v>
      </c>
      <c r="F20" s="56" t="n"/>
      <c r="G20" s="56" t="inlineStr">
        <is>
          <t>Belum matang</t>
        </is>
      </c>
      <c r="H20" s="56" t="inlineStr">
        <is>
          <t>Review setelah outcome tersedia.</t>
        </is>
      </c>
    </row>
    <row r="21">
      <c r="A21" s="56" t="inlineStr">
        <is>
          <t>I6</t>
        </is>
      </c>
      <c r="B21" s="56" t="inlineStr">
        <is>
          <t>Dokumen/evidence persiapan dapat ditelusuri.</t>
        </is>
      </c>
      <c r="C21" s="56" t="inlineStr">
        <is>
          <t>DAPAT DINILAI</t>
        </is>
      </c>
      <c r="D21" s="56" t="n">
        <v>3</v>
      </c>
      <c r="E21" s="56" t="n">
        <v>10</v>
      </c>
      <c r="F21" s="56" t="n">
        <v>7.5</v>
      </c>
      <c r="G21" s="56" t="inlineStr">
        <is>
          <t>Evidence baik</t>
        </is>
      </c>
      <c r="H21" s="56" t="inlineStr">
        <is>
          <t>Pertahankan.</t>
        </is>
      </c>
    </row>
    <row r="22">
      <c r="A22" s="56" t="inlineStr">
        <is>
          <t>I7</t>
        </is>
      </c>
      <c r="B22" s="56" t="inlineStr">
        <is>
          <t>Risiko utama telah diidentifikasi dan ditangani.</t>
        </is>
      </c>
      <c r="C22" s="56" t="inlineStr">
        <is>
          <t>DAPAT DINILAI</t>
        </is>
      </c>
      <c r="D22" s="56" t="n">
        <v>3</v>
      </c>
      <c r="E22" s="56" t="n">
        <v>10</v>
      </c>
      <c r="F22" s="56" t="n">
        <v>7.5</v>
      </c>
      <c r="G22" s="56" t="inlineStr">
        <is>
          <t>Risiko terkendali</t>
        </is>
      </c>
      <c r="H22" s="56" t="inlineStr">
        <is>
          <t>Pantau perubahan.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4" customWidth="1" min="4" max="4"/>
    <col width="30" customWidth="1" min="5" max="5"/>
    <col width="20" customWidth="1" min="6" max="6"/>
    <col width="46" customWidth="1" min="7" max="7"/>
    <col width="42" customWidth="1" min="8" max="8"/>
  </cols>
  <sheetData>
    <row r="1" ht="18" customHeight="1">
      <c r="A1" s="135" t="inlineStr">
        <is>
          <t>SUMBER DATA — FINAL BASELINE P01 Dewan Kerajinan Nasional Daerah Provinsi Kepulauan Riau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</row>
    <row r="2">
      <c r="A2" s="136" t="inlineStr">
        <is>
          <t>Disalin dari FINAL BASELINE MITRA KINERJA — cut-off 28 Agustus 2026. Perkembangan setelah cut-off dinilai melalui Scorecard.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</row>
    <row r="3"/>
    <row r="4" ht="15" customHeight="1">
      <c r="A4" s="137" t="inlineStr">
        <is>
          <t>No</t>
        </is>
      </c>
      <c r="B4" s="137" t="inlineStr">
        <is>
          <t>Kelompok</t>
        </is>
      </c>
      <c r="C4" s="137" t="inlineStr">
        <is>
          <t>Elemen baseline</t>
        </is>
      </c>
      <c r="D4" s="137" t="inlineStr">
        <is>
          <t>Yang diperiksa</t>
        </is>
      </c>
      <c r="E4" s="137" t="inlineStr">
        <is>
          <t>Sumber/bukti minimum</t>
        </is>
      </c>
      <c r="F4" s="137" t="inlineStr">
        <is>
          <t>Status</t>
        </is>
      </c>
      <c r="G4" s="137" t="inlineStr">
        <is>
          <t>Fakta/hasil pemeriksaan</t>
        </is>
      </c>
      <c r="H4" s="137" t="inlineStr">
        <is>
          <t>Sumber/link bukti</t>
        </is>
      </c>
      <c r="I4" s="137" t="inlineStr">
        <is>
          <t>Catatan khusus (opsional)</t>
        </is>
      </c>
    </row>
    <row r="5" ht="72" customHeight="1">
      <c r="A5" s="55" t="n">
        <v>1</v>
      </c>
      <c r="B5" s="55" t="inlineStr">
        <is>
          <t>IDENTITAS</t>
        </is>
      </c>
      <c r="C5" s="55" t="inlineStr">
        <is>
          <t>Identitas naskah</t>
        </is>
      </c>
      <c r="D5" s="55" t="inlineStr">
        <is>
          <t>Jenis, nomor para pihak, judul, dan nama resmi mitra sesuai naskah.</t>
        </is>
      </c>
      <c r="E5" s="55" t="inlineStr">
        <is>
          <t>Naskah bertanda tangan; P2MA sebagai pembanding.</t>
        </is>
      </c>
      <c r="F5" s="55" t="inlineStr">
        <is>
          <t>TERVERIFIKASI</t>
        </is>
      </c>
      <c r="G5" s="55" t="inlineStr">
        <is>
          <t>Sudah sesuai</t>
        </is>
      </c>
      <c r="H5" s="55" t="inlineStr">
        <is>
          <t>https://p2ma.kemenkum.go.id/uploads/kerjasama/naskah/1787732310.pdf</t>
        </is>
      </c>
      <c r="I5" s="55" t="n"/>
    </row>
    <row r="6" ht="72" customHeight="1">
      <c r="A6" s="55" t="n">
        <v>2</v>
      </c>
      <c r="B6" s="55" t="inlineStr">
        <is>
          <t>MASA BERLAKU</t>
        </is>
      </c>
      <c r="C6" s="55" t="inlineStr">
        <is>
          <t>Masa berlaku</t>
        </is>
      </c>
      <c r="D6" s="55" t="inlineStr">
        <is>
          <t>Tanggal efektif, durasi, dan tanggal berakhir sesuai klausul naskah.</t>
        </is>
      </c>
      <c r="E6" s="55" t="inlineStr">
        <is>
          <t>Klausul jangka waktu; halaman tanda tangan; P2MA.</t>
        </is>
      </c>
      <c r="F6" s="55" t="inlineStr">
        <is>
          <t>TERVERIFIKASI</t>
        </is>
      </c>
      <c r="G6" s="55" t="inlineStr">
        <is>
          <t>Sudah sesuai</t>
        </is>
      </c>
      <c r="H6" s="55" t="inlineStr">
        <is>
          <t>https://p2ma.kemenkum.go.id/kdn/pencarian?tipe=1&amp;keyword=Dewan%20Kerajinan%20Nasional%20Daerah%20Provinsi%20Kepulauan%20Riau</t>
        </is>
      </c>
      <c r="I6" s="55" t="n"/>
    </row>
    <row r="7" ht="72" customHeight="1">
      <c r="A7" s="55" t="n">
        <v>3</v>
      </c>
      <c r="B7" s="55" t="inlineStr">
        <is>
          <t>SUBSTANSI</t>
        </is>
      </c>
      <c r="C7" s="55" t="inlineStr">
        <is>
          <t>Ruang lingkup</t>
        </is>
      </c>
      <c r="D7" s="55" t="inlineStr">
        <is>
          <t>Ruang kerja, kewajiban, atau kegiatan utama yang disepakati.</t>
        </is>
      </c>
      <c r="E7" s="55" t="inlineStr">
        <is>
          <t>Pasal ruang lingkup/hak-kewajiban; lampiran.</t>
        </is>
      </c>
      <c r="F7" s="55" t="inlineStr">
        <is>
          <t>TERVERIFIKASI</t>
        </is>
      </c>
      <c r="G7" s="55" t="inlineStr">
        <is>
          <t>Sudah sesuai</t>
        </is>
      </c>
      <c r="H7" s="55" t="inlineStr">
        <is>
          <t>https://p2ma.kemenkum.go.id/uploads/kerjasama/naskah/1787732310.pdf</t>
        </is>
      </c>
      <c r="I7" s="55" t="n"/>
    </row>
    <row r="8" ht="72" customHeight="1">
      <c r="A8" s="55" t="n">
        <v>4</v>
      </c>
      <c r="B8" s="55" t="inlineStr">
        <is>
          <t>TATA KELOLA</t>
        </is>
      </c>
      <c r="C8" s="55" t="inlineStr">
        <is>
          <t>Status arsip</t>
        </is>
      </c>
      <c r="D8" s="55" t="inlineStr">
        <is>
          <t>Ketersediaan naskah lengkap pada lokasi arsip resmi dan dapat ditemukan kembali.</t>
        </is>
      </c>
      <c r="E8" s="55" t="inlineStr">
        <is>
          <t>Arsip resmi; register; folder organisasi.</t>
        </is>
      </c>
      <c r="F8" s="55" t="inlineStr">
        <is>
          <t>BELUM TERSEDIA</t>
        </is>
      </c>
      <c r="G8" s="55" t="inlineStr">
        <is>
          <t>Belum ada folder organisasi untuk menyimpan arsip</t>
        </is>
      </c>
      <c r="H8" s="55" t="inlineStr">
        <is>
          <t>interview arsiparis pada bagian TUM</t>
        </is>
      </c>
      <c r="I8" s="55" t="n"/>
    </row>
    <row r="9" ht="72" customHeight="1">
      <c r="A9" s="55" t="n">
        <v>5</v>
      </c>
      <c r="B9" s="55" t="inlineStr">
        <is>
          <t>TATA KELOLA</t>
        </is>
      </c>
      <c r="C9" s="55" t="inlineStr">
        <is>
          <t>Status P2MA</t>
        </is>
      </c>
      <c r="D9" s="55" t="inlineStr">
        <is>
          <t>Keberadaan entri dan kesesuaian metadata P2MA dengan naskah resmi.</t>
        </is>
      </c>
      <c r="E9" s="55" t="inlineStr">
        <is>
          <t>P2MA dan naskah bertanda tangan.</t>
        </is>
      </c>
      <c r="F9" s="55" t="inlineStr">
        <is>
          <t>TERVERIFIKASI</t>
        </is>
      </c>
      <c r="G9" s="55" t="inlineStr">
        <is>
          <t>sudah sesuai</t>
        </is>
      </c>
      <c r="H9" s="55" t="inlineStr">
        <is>
          <t>https://p2ma.kemenkum.go.id/kdn/pencarian?tipe=1&amp;keyword=Dewan%20Kerajinan%20Nasional%20Daerah%20Provinsi%20Kepulauan%20Riau</t>
        </is>
      </c>
      <c r="I9" s="55" t="n"/>
    </row>
    <row r="10" ht="72" customHeight="1">
      <c r="A10" s="55" t="n">
        <v>6</v>
      </c>
      <c r="B10" s="55" t="inlineStr">
        <is>
          <t>PENGAMPU</t>
        </is>
      </c>
      <c r="C10" s="55" t="inlineStr">
        <is>
          <t>Unit pengampu</t>
        </is>
      </c>
      <c r="D10" s="55" t="inlineStr">
        <is>
          <t>Unit internal yang bertanggung jawab atas substansi dan implementasi kerja sama.</t>
        </is>
      </c>
      <c r="E10" s="55" t="inlineStr">
        <is>
          <t>ND/SK/pembagian tugas; konfirmasi tertulis unit.</t>
        </is>
      </c>
      <c r="F10" s="55" t="inlineStr">
        <is>
          <t>BELUM TERSEDIA</t>
        </is>
      </c>
      <c r="G10" s="55" t="inlineStr">
        <is>
          <t>Naskah dan P2MA publik belum cukup untuk menetapkan unit internal yang bertanggung jawab atas implementasi kerja sama.</t>
        </is>
      </c>
      <c r="H10" s="55" t="inlineStr">
        <is>
          <t>Naskah/P2MA publik; ND, SK, pembagian tugas, atau konfirmasi unit belum diperoleh.</t>
        </is>
      </c>
      <c r="I10" s="55" t="n"/>
    </row>
    <row r="11" ht="72" customHeight="1">
      <c r="A11" s="55" t="n">
        <v>7</v>
      </c>
      <c r="B11" s="55" t="inlineStr">
        <is>
          <t>PIC</t>
        </is>
      </c>
      <c r="C11" s="55" t="inlineStr">
        <is>
          <t>PIC internal</t>
        </is>
      </c>
      <c r="D11" s="55" t="inlineStr">
        <is>
          <t>PIC utama dan cadangan yang aktif, lengkap dengan jabatan, kontak, dan dasar penetapan.</t>
        </is>
      </c>
      <c r="E11" s="55" t="inlineStr">
        <is>
          <t>ND/SK/daftar PIC; konfirmasi tertulis unit.</t>
        </is>
      </c>
      <c r="F11" s="55" t="inlineStr">
        <is>
          <t>BELUM TERSEDIA</t>
        </is>
      </c>
      <c r="G11" s="55" t="inlineStr">
        <is>
          <t>PIC internal utama dan cadangan belum dapat dipastikan dari sumber publik yang diperiksa.</t>
        </is>
      </c>
      <c r="H11" s="55" t="inlineStr">
        <is>
          <t>Daftar PIC, ND/SK, dan konfirmasi tertulis unit belum diperoleh.</t>
        </is>
      </c>
      <c r="I11" s="55" t="n"/>
    </row>
    <row r="12" ht="72" customHeight="1">
      <c r="A12" s="55" t="n">
        <v>8</v>
      </c>
      <c r="B12" s="55" t="inlineStr">
        <is>
          <t>PIC</t>
        </is>
      </c>
      <c r="C12" s="55" t="inlineStr">
        <is>
          <t>PIC mitra</t>
        </is>
      </c>
      <c r="D12" s="55" t="inlineStr">
        <is>
          <t>Penghubung operasional pihak mitra yang telah dikonfirmasi.</t>
        </is>
      </c>
      <c r="E12" s="55" t="inlineStr">
        <is>
          <t>Surat/email/form konfirmasi resmi dari mitra.</t>
        </is>
      </c>
      <c r="F12" s="55" t="inlineStr">
        <is>
          <t>BELUM TERSEDIA</t>
        </is>
      </c>
      <c r="G12" s="55" t="inlineStr">
        <is>
          <t>PIC operasional pihak mitra belum dikonfirmasi melalui surat, email resmi, atau formulir penunjukan.</t>
        </is>
      </c>
      <c r="H12" s="55" t="inlineStr">
        <is>
          <t>Surat/email/formulir penunjukan PIC mitra belum diperoleh.</t>
        </is>
      </c>
      <c r="I12" s="55" t="n"/>
    </row>
    <row r="13" ht="72" customHeight="1">
      <c r="A13" s="55" t="n">
        <v>9</v>
      </c>
      <c r="B13" s="55" t="inlineStr">
        <is>
          <t>TINDAK LANJUT</t>
        </is>
      </c>
      <c r="C13" s="55" t="inlineStr">
        <is>
          <t>Rencana tindak lanjut</t>
        </is>
      </c>
      <c r="D13" s="55" t="inlineStr">
        <is>
          <t>Dokumen atau komitmen operasional yang memuat kegiatan, periode, target, dan/atau PIC.</t>
        </is>
      </c>
      <c r="E13" s="55" t="inlineStr">
        <is>
          <t>Rencana aksi; matriks kerja; kalender; notula.</t>
        </is>
      </c>
      <c r="F13" s="55" t="inlineStr">
        <is>
          <t>BELUM TERSEDIA</t>
        </is>
      </c>
      <c r="G13" s="55" t="inlineStr">
        <is>
          <t>Ruang lingkup naskah tersedia, tetapi belum ditemukan rencana aksi atau komitmen operasional yang memuat kegiatan, periode, target, dan PIC.</t>
        </is>
      </c>
      <c r="H13" s="55" t="inlineStr">
        <is>
          <t>Rencana aksi, matriks kerja, kalender, atau notula belum diperoleh.</t>
        </is>
      </c>
      <c r="I13" s="55" t="n"/>
    </row>
    <row r="14" ht="72" customHeight="1">
      <c r="A14" s="55" t="n">
        <v>10</v>
      </c>
      <c r="B14" s="55" t="inlineStr">
        <is>
          <t>PELAKSANAAN</t>
        </is>
      </c>
      <c r="C14" s="55" t="inlineStr">
        <is>
          <t>Pelaksanaan dan hasil</t>
        </is>
      </c>
      <c r="D14" s="55" t="inlineStr">
        <is>
          <t>Kegiatan aktual, realisasi terhadap target jatuh tempo, serta output yang dihasilkan.</t>
        </is>
      </c>
      <c r="E14" s="55" t="inlineStr">
        <is>
          <t>Laporan; undangan; notula; daftar hadir; data hasil.</t>
        </is>
      </c>
      <c r="F14" s="55" t="inlineStr">
        <is>
          <t>BELUM TERSEDIA</t>
        </is>
      </c>
      <c r="G14" s="55" t="inlineStr">
        <is>
          <t xml:space="preserve"> belum ada laporan pelaksanaan kegiatan di dekranasda</t>
        </is>
      </c>
      <c r="H14" s="55" t="inlineStr">
        <is>
          <t>Laporan, undangan, notula, daftar hadir, dan data hasil belum diperoleh.</t>
        </is>
      </c>
      <c r="I14" s="55" t="n"/>
    </row>
    <row r="15" ht="72" customHeight="1">
      <c r="A15" s="55" t="n">
        <v>11</v>
      </c>
      <c r="B15" s="55" t="inlineStr">
        <is>
          <t>EVIDEN</t>
        </is>
      </c>
      <c r="C15" s="55" t="inlineStr">
        <is>
          <t>Eviden implementasi</t>
        </is>
      </c>
      <c r="D15" s="55" t="inlineStr">
        <is>
          <t>Bukti pelaksanaan/output, lokasi penyimpanan, dan tingkat keteraturannya.</t>
        </is>
      </c>
      <c r="E15" s="55" t="inlineStr">
        <is>
          <t>Folder resmi; indeks bukti; dokumen/data kegiatan.</t>
        </is>
      </c>
      <c r="F15" s="55" t="inlineStr">
        <is>
          <t>BELUM TERSEDIA</t>
        </is>
      </c>
      <c r="G15" s="55" t="inlineStr">
        <is>
          <t>Naskah dan entri P2MA tersedia, tetapi folder resmi, indeks, serta bukti implementasi belum diperiksa.</t>
        </is>
      </c>
      <c r="H15" s="55" t="inlineStr">
        <is>
          <t>Folder eviden, indeks bukti, dan dokumen/data kegiatan belum diperoleh.</t>
        </is>
      </c>
      <c r="I15" s="55" t="n"/>
    </row>
    <row r="16" ht="72" customHeight="1">
      <c r="A16" s="55" t="n">
        <v>12</v>
      </c>
      <c r="B16" s="55" t="inlineStr">
        <is>
          <t>HAMBATAN</t>
        </is>
      </c>
      <c r="C16" s="55" t="inlineStr">
        <is>
          <t>Hambatan/gap</t>
        </is>
      </c>
      <c r="D16" s="55" t="inlineStr">
        <is>
          <t>Kendala faktual atau kekosongan data yang memengaruhi implementasi dan sudah dikonfirmasi.</t>
        </is>
      </c>
      <c r="E16" s="55" t="inlineStr">
        <is>
          <t>Konfirmasi unit/PIC/mitra; notula; laporan; bukti keterlambatan.</t>
        </is>
      </c>
      <c r="F16" s="55" t="inlineStr">
        <is>
          <t>BELUM TERSEDIA</t>
        </is>
      </c>
      <c r="G16" s="55" t="inlineStr">
        <is>
          <t>Hambatan operasional belum dikonfirmasi. Gap baseline pada cut-off mencakup arsip khusus, unit pengampu, PIC, rencana tindak lanjut, pelaksanaan, dan eviden implementasi.</t>
        </is>
      </c>
      <c r="H16" s="55" t="inlineStr">
        <is>
          <t>Tanya jawab dengan bidang/bagian terkait</t>
        </is>
      </c>
      <c r="I16" s="5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8.375" customWidth="1" min="1" max="1"/>
    <col width="34" customWidth="1" min="2" max="2"/>
    <col width="22" customWidth="1" min="3" max="3"/>
    <col width="48" customWidth="1" min="4" max="4"/>
    <col width="18" customWidth="1" min="5" max="5"/>
    <col width="42" customWidth="1" min="6" max="6"/>
  </cols>
  <sheetData>
    <row r="1" ht="18" customHeight="1">
      <c r="A1" s="138" t="inlineStr">
        <is>
          <t>SUMBER DATA PASCA-BASELINE — P01 Dewan Kerajinan Nasional Daerah Provinsi Kepulauan Riau</t>
        </is>
      </c>
      <c r="B1" s="139" t="n"/>
      <c r="C1" s="139" t="n"/>
      <c r="D1" s="139" t="n"/>
      <c r="E1" s="139" t="n"/>
      <c r="F1" s="140" t="n"/>
    </row>
    <row r="2">
      <c r="A2" s="141" t="inlineStr">
        <is>
          <t>Penilaian s.d. 27 September 2026 menggunakan data internal P01 dan file evidence baru dekranasda.xlsx sebagai tambahan.</t>
        </is>
      </c>
      <c r="B2" s="142" t="n"/>
      <c r="C2" s="142" t="n"/>
      <c r="D2" s="142" t="n"/>
      <c r="E2" s="142" t="n"/>
      <c r="F2" s="143" t="n"/>
    </row>
    <row r="3">
      <c r="A3" s="144" t="n"/>
      <c r="B3" s="56" t="n"/>
      <c r="C3" s="56" t="n"/>
      <c r="D3" s="56" t="n"/>
      <c r="E3" s="56" t="n"/>
      <c r="F3" s="145" t="n"/>
    </row>
    <row r="4" ht="30" customHeight="1">
      <c r="A4" s="146" t="inlineStr">
        <is>
          <t>No</t>
        </is>
      </c>
      <c r="B4" s="147" t="inlineStr">
        <is>
          <t>Sumber</t>
        </is>
      </c>
      <c r="C4" s="147" t="inlineStr">
        <is>
          <t>Jenis Data</t>
        </is>
      </c>
      <c r="D4" s="147" t="inlineStr">
        <is>
          <t>Fakta Kunci</t>
        </is>
      </c>
      <c r="E4" s="147" t="inlineStr">
        <is>
          <t>Indikator Scorecard</t>
        </is>
      </c>
      <c r="F4" s="148" t="inlineStr">
        <is>
          <t>Catatan Rekonsiliasi</t>
        </is>
      </c>
    </row>
    <row r="5" ht="42.75" customHeight="1">
      <c r="A5" s="144" t="n">
        <v>1</v>
      </c>
      <c r="B5" s="56" t="inlineStr">
        <is>
          <t>P01_DEKRANASDA_KEPRI_Data_per_Stakeholder.xlsx — RL10</t>
        </is>
      </c>
      <c r="C5" s="56" t="inlineStr">
        <is>
          <t>Internal</t>
        </is>
      </c>
      <c r="D5" s="55" t="inlineStr">
        <is>
          <t>Kelas Kreatif UMKM Dekrafest 2025 sebagai narasumber; manfaat berupa peningkatan pemahaman KI.</t>
        </is>
      </c>
      <c r="E5" s="55" t="inlineStr">
        <is>
          <t>I2,I3,I4,I5,I6</t>
        </is>
      </c>
      <c r="F5" s="118" t="inlineStr">
        <is>
          <t>Evidence tautan publikasi tersedia.</t>
        </is>
      </c>
    </row>
    <row r="6" ht="42.75" customHeight="1">
      <c r="A6" s="144" t="n">
        <v>2</v>
      </c>
      <c r="B6" s="56" t="inlineStr">
        <is>
          <t>P01_DEKRANASDA_KEPRI_Data_per_Stakeholder.xlsx — RL09</t>
        </is>
      </c>
      <c r="C6" s="56" t="inlineStr">
        <is>
          <t>Internal</t>
        </is>
      </c>
      <c r="D6" s="55" t="inlineStr">
        <is>
          <t>Stand pelayanan publik KI pada beberapa periode 2025–2026; outcome akses/pemahaman layanan KI meningkat.</t>
        </is>
      </c>
      <c r="E6" s="55" t="inlineStr">
        <is>
          <t>I2,I3,I4,I5,I6,I7</t>
        </is>
      </c>
      <c r="F6" s="118" t="inlineStr">
        <is>
          <t>Evidence berupa LAPORAN MIC 2025 dan 2026.</t>
        </is>
      </c>
    </row>
    <row r="7" ht="42.75" customHeight="1">
      <c r="A7" s="144" t="n">
        <v>3</v>
      </c>
      <c r="B7" s="56" t="inlineStr">
        <is>
          <t>P01_DEKRANASDA_KEPRI_Data_per_Stakeholder.xlsx — RL11/RL12/RL13</t>
        </is>
      </c>
      <c r="C7" s="56" t="inlineStr">
        <is>
          <t>Internal</t>
        </is>
      </c>
      <c r="D7" s="55" t="inlineStr">
        <is>
          <t>Data KIK, penegakan KI, dan pertukaran data/informasi belum diperoleh.</t>
        </is>
      </c>
      <c r="E7" s="55" t="inlineStr">
        <is>
          <t>I2,I3,I6,I7</t>
        </is>
      </c>
      <c r="F7" s="118" t="inlineStr">
        <is>
          <t>Gap implementasi/evidence.</t>
        </is>
      </c>
    </row>
    <row r="8" ht="42.75" customHeight="1">
      <c r="A8" s="144" t="n">
        <v>4</v>
      </c>
      <c r="B8" s="56" t="inlineStr">
        <is>
          <t>dekranasda.xlsx — IDENTITAS &amp; PIC</t>
        </is>
      </c>
      <c r="C8" s="56" t="inlineStr">
        <is>
          <t>Mitra</t>
        </is>
      </c>
      <c r="D8" s="55" t="inlineStr">
        <is>
          <t>Form masih berisi placeholder; PIC tidak dapat digunakan sebagai evidence.</t>
        </is>
      </c>
      <c r="E8" s="55" t="inlineStr">
        <is>
          <t>I1,I6</t>
        </is>
      </c>
      <c r="F8" s="118" t="inlineStr">
        <is>
          <t>Tidak dihitung sebagai konfirmasi PIC.</t>
        </is>
      </c>
    </row>
    <row r="9" ht="42.75" customHeight="1">
      <c r="A9" s="144" t="n">
        <v>5</v>
      </c>
      <c r="B9" s="56" t="inlineStr">
        <is>
          <t>dekranasda.xlsx — RINGKASAN</t>
        </is>
      </c>
      <c r="C9" s="56" t="inlineStr">
        <is>
          <t>Mitra</t>
        </is>
      </c>
      <c r="D9" s="55" t="inlineStr">
        <is>
          <t>Total kegiatan 0, usulan 0, status 'Belum Ada Data'.</t>
        </is>
      </c>
      <c r="E9" s="55" t="inlineStr">
        <is>
          <t>I1,I2,I6,I7</t>
        </is>
      </c>
      <c r="F9" s="118" t="inlineStr">
        <is>
          <t>File baru tidak menambah evidence substantif.</t>
        </is>
      </c>
    </row>
    <row r="10" ht="42.75" customHeight="1">
      <c r="A10" s="144" t="n"/>
      <c r="B10" s="56" t="n"/>
      <c r="C10" s="56" t="n"/>
      <c r="D10" s="55" t="n"/>
      <c r="E10" s="55" t="n"/>
      <c r="F10" s="118" t="n"/>
    </row>
    <row r="11" ht="28.5" customHeight="1">
      <c r="A11" s="144" t="inlineStr">
        <is>
          <t>Catatan Kematangan</t>
        </is>
      </c>
      <c r="B11" s="56" t="inlineStr">
        <is>
          <t>PKS berlaku sejak 15 November 2025</t>
        </is>
      </c>
      <c r="C11" s="56" t="inlineStr">
        <is>
          <t>Usia saat penilaian 316 hari (&gt;6 bulan)</t>
        </is>
      </c>
      <c r="D11" s="55" t="inlineStr">
        <is>
          <t>Seluruh I1–I7 = DAPAT DINILAI</t>
        </is>
      </c>
      <c r="E11" s="55" t="inlineStr">
        <is>
          <t>Status Scorecard dihitung penuh</t>
        </is>
      </c>
      <c r="F11" s="118" t="inlineStr">
        <is>
          <t>Ketiadaan/ketidaklengkapan data setelah &gt;6 bulan tercermin pada skor dan early warning, bukan BDN karena faktor waktu.</t>
        </is>
      </c>
    </row>
    <row r="12" ht="28.5" customHeight="1">
      <c r="A12" s="149" t="n"/>
      <c r="B12" s="150" t="n"/>
      <c r="C12" s="150" t="n"/>
      <c r="D12" s="92" t="n"/>
      <c r="E12" s="92" t="n"/>
      <c r="F12" s="121" t="n"/>
    </row>
    <row r="13">
      <c r="A13" s="56" t="n"/>
      <c r="B13" s="56" t="n"/>
      <c r="C13" s="56" t="n"/>
      <c r="D13" s="55" t="n"/>
      <c r="E13" s="55" t="n"/>
      <c r="F13" s="55" t="n"/>
    </row>
    <row r="14" ht="51" customHeight="1">
      <c r="A14" s="151" t="n"/>
      <c r="B14" s="151" t="n"/>
      <c r="C14" s="151" t="n"/>
      <c r="D14" s="151" t="n"/>
      <c r="E14" s="151" t="n"/>
      <c r="F14" s="151" t="n"/>
    </row>
    <row r="15">
      <c r="A15" s="56" t="n"/>
      <c r="B15" s="56" t="n"/>
      <c r="C15" s="56" t="n"/>
      <c r="D15" s="55" t="n"/>
      <c r="E15" s="55" t="n"/>
      <c r="F15" s="55" t="n"/>
    </row>
    <row r="16">
      <c r="A16" s="56" t="n"/>
      <c r="B16" s="56" t="n"/>
      <c r="C16" s="56" t="n"/>
      <c r="D16" s="55" t="n"/>
      <c r="E16" s="55" t="n"/>
      <c r="F16" s="55" t="n"/>
    </row>
    <row r="17">
      <c r="A17" s="56" t="n"/>
      <c r="B17" s="56" t="n"/>
      <c r="C17" s="56" t="n"/>
      <c r="D17" s="55" t="n"/>
      <c r="E17" s="55" t="n"/>
      <c r="F17" s="55" t="n"/>
    </row>
    <row r="18">
      <c r="A18" s="56" t="n"/>
      <c r="B18" s="56" t="n"/>
      <c r="C18" s="56" t="n"/>
      <c r="D18" s="55" t="n"/>
      <c r="E18" s="55" t="n"/>
      <c r="F18" s="55" t="n"/>
    </row>
    <row r="19">
      <c r="A19" s="56" t="n"/>
      <c r="B19" s="56" t="n"/>
      <c r="C19" s="56" t="n"/>
      <c r="D19" s="55" t="n"/>
      <c r="E19" s="55" t="n"/>
      <c r="F19" s="55" t="n"/>
    </row>
    <row r="20">
      <c r="A20" s="56" t="n"/>
      <c r="B20" s="56" t="n"/>
      <c r="C20" s="56" t="n"/>
      <c r="D20" s="55" t="n"/>
      <c r="E20" s="55" t="n"/>
      <c r="F20" s="55" t="n"/>
    </row>
    <row r="21">
      <c r="A21" s="56" t="n"/>
      <c r="B21" s="56" t="n"/>
      <c r="C21" s="56" t="n"/>
      <c r="D21" s="55" t="n"/>
      <c r="E21" s="55" t="n"/>
      <c r="F21" s="55" t="n"/>
    </row>
    <row r="22">
      <c r="A22" s="56" t="n"/>
      <c r="B22" s="56" t="n"/>
      <c r="C22" s="56" t="n"/>
      <c r="D22" s="55" t="n"/>
      <c r="E22" s="55" t="n"/>
      <c r="F22" s="55" t="n"/>
    </row>
    <row r="23">
      <c r="A23" s="56" t="n"/>
      <c r="B23" s="56" t="n"/>
      <c r="C23" s="56" t="n"/>
      <c r="D23" s="55" t="n"/>
      <c r="E23" s="55" t="n"/>
      <c r="F23" s="55" t="n"/>
    </row>
    <row r="24">
      <c r="A24" s="56" t="n"/>
      <c r="B24" s="56" t="n"/>
      <c r="C24" s="56" t="n"/>
      <c r="D24" s="55" t="n"/>
      <c r="E24" s="55" t="n"/>
      <c r="F24" s="55" t="n"/>
    </row>
    <row r="25">
      <c r="A25" s="56" t="n"/>
      <c r="B25" s="56" t="n"/>
      <c r="C25" s="56" t="n"/>
      <c r="D25" s="55" t="n"/>
      <c r="E25" s="55" t="n"/>
      <c r="F25" s="55" t="n"/>
    </row>
    <row r="26">
      <c r="A26" s="56" t="n"/>
      <c r="B26" s="56" t="n"/>
      <c r="C26" s="56" t="n"/>
      <c r="D26" s="55" t="n"/>
      <c r="E26" s="55" t="n"/>
      <c r="F26" s="55" t="n"/>
    </row>
    <row r="27">
      <c r="A27" s="56" t="n"/>
      <c r="B27" s="56" t="n"/>
      <c r="C27" s="56" t="n"/>
      <c r="D27" s="55" t="n"/>
      <c r="E27" s="55" t="n"/>
      <c r="F27" s="55" t="n"/>
    </row>
    <row r="28">
      <c r="A28" s="56" t="n"/>
      <c r="B28" s="56" t="n"/>
      <c r="C28" s="56" t="n"/>
      <c r="D28" s="55" t="n"/>
      <c r="E28" s="55" t="n"/>
      <c r="F28" s="55" t="n"/>
    </row>
    <row r="29">
      <c r="A29" s="56" t="n"/>
      <c r="B29" s="56" t="n"/>
      <c r="C29" s="56" t="n"/>
      <c r="D29" s="55" t="n"/>
      <c r="E29" s="55" t="n"/>
      <c r="F29" s="55" t="n"/>
    </row>
    <row r="30">
      <c r="A30" s="56" t="n"/>
      <c r="B30" s="56" t="n"/>
      <c r="C30" s="56" t="n"/>
      <c r="D30" s="55" t="n"/>
      <c r="E30" s="55" t="n"/>
      <c r="F30" s="55" t="n"/>
    </row>
    <row r="31">
      <c r="A31" s="56" t="n"/>
      <c r="B31" s="56" t="n"/>
      <c r="C31" s="56" t="n"/>
      <c r="D31" s="55" t="n"/>
      <c r="E31" s="55" t="n"/>
      <c r="F31" s="55" t="n"/>
    </row>
    <row r="32">
      <c r="A32" s="56" t="n"/>
      <c r="B32" s="56" t="n"/>
      <c r="C32" s="56" t="n"/>
      <c r="D32" s="55" t="n"/>
      <c r="E32" s="55" t="n"/>
      <c r="F32" s="55" t="n"/>
    </row>
    <row r="33">
      <c r="A33" s="56" t="n"/>
      <c r="B33" s="56" t="n"/>
      <c r="C33" s="56" t="n"/>
      <c r="D33" s="55" t="n"/>
      <c r="E33" s="55" t="n"/>
      <c r="F33" s="55" t="n"/>
    </row>
    <row r="34">
      <c r="A34" s="56" t="n"/>
      <c r="B34" s="56" t="n"/>
      <c r="C34" s="56" t="n"/>
      <c r="D34" s="55" t="n"/>
      <c r="E34" s="55" t="n"/>
      <c r="F34" s="55" t="n"/>
    </row>
    <row r="35">
      <c r="A35" s="56" t="n"/>
      <c r="B35" s="56" t="n"/>
      <c r="C35" s="56" t="n"/>
      <c r="D35" s="55" t="n"/>
      <c r="E35" s="55" t="n"/>
      <c r="F35" s="55" t="n"/>
    </row>
    <row r="36">
      <c r="A36" s="56" t="n"/>
      <c r="B36" s="56" t="n"/>
      <c r="C36" s="56" t="n"/>
      <c r="D36" s="55" t="n"/>
      <c r="E36" s="55" t="n"/>
      <c r="F36" s="55" t="n"/>
    </row>
    <row r="37">
      <c r="A37" s="56" t="n"/>
      <c r="B37" s="56" t="n"/>
      <c r="C37" s="56" t="n"/>
      <c r="D37" s="55" t="n"/>
      <c r="E37" s="55" t="n"/>
      <c r="F37" s="55" t="n"/>
    </row>
    <row r="38">
      <c r="A38" s="56" t="n"/>
      <c r="B38" s="56" t="n"/>
      <c r="C38" s="56" t="n"/>
      <c r="D38" s="55" t="n"/>
      <c r="E38" s="55" t="n"/>
      <c r="F38" s="55" t="n"/>
    </row>
    <row r="39">
      <c r="A39" s="56" t="n"/>
      <c r="B39" s="56" t="n"/>
      <c r="C39" s="56" t="n"/>
      <c r="D39" s="55" t="n"/>
      <c r="E39" s="55" t="n"/>
      <c r="F39" s="55" t="n"/>
    </row>
    <row r="40">
      <c r="A40" s="56" t="n"/>
      <c r="B40" s="56" t="n"/>
      <c r="C40" s="56" t="n"/>
      <c r="D40" s="55" t="n"/>
      <c r="E40" s="55" t="n"/>
      <c r="F40" s="5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2026-09-29T05:38:16Z</dcterms:created>
  <dcterms:modified xsi:type="dcterms:W3CDTF">2026-09-29T05:38:17Z</dcterms:modified>
</cp:coreProperties>
</file>