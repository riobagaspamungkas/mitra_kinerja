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_12_ELE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\ mmm\ yyyy"/>
  </numFmts>
  <fonts count="10">
    <font>
      <name val="Calibri"/>
      <family val="2"/>
      <color theme="1"/>
      <sz val="11"/>
      <scheme val="minor"/>
    </font>
    <font>
      <name val="Carlito"/>
      <b val="1"/>
      <color rgb="FFFFFFFF"/>
      <sz val="11"/>
    </font>
    <font>
      <name val="Carlito"/>
      <sz val="11"/>
    </font>
    <font>
      <name val="Carlito"/>
      <b val="1"/>
      <color rgb="FF17365D"/>
      <sz val="11"/>
    </font>
    <font>
      <name val="Carlito"/>
      <i val="1"/>
      <color rgb="FF7F6000"/>
      <sz val="11"/>
    </font>
    <font>
      <name val="Carlito"/>
      <b val="1"/>
      <color rgb="FFFFFFFF"/>
      <sz val="14"/>
    </font>
    <font>
      <name val="Carlito"/>
      <color rgb="FF1F1F1F"/>
      <sz val="11"/>
    </font>
    <font>
      <name val="Carlito"/>
      <b val="1"/>
      <color rgb="FF1F4E78"/>
      <sz val="11"/>
    </font>
    <font>
      <name val="Carlito"/>
      <b val="1"/>
      <color rgb="FF375623"/>
      <sz val="11"/>
    </font>
    <font>
      <name val="Carlito"/>
      <b val="1"/>
      <color rgb="FF9C0006"/>
      <sz val="11"/>
    </font>
  </fonts>
  <fills count="11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EDF5FB"/>
      </patternFill>
    </fill>
    <fill>
      <patternFill patternType="solid">
        <fgColor rgb="FFFFFBE6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E2F0D9"/>
      </patternFill>
    </fill>
    <fill>
      <patternFill patternType="solid">
        <fgColor rgb="FFF4CCCC"/>
      </patternFill>
    </fill>
  </fills>
  <borders count="17">
    <border>
      <left/>
      <right/>
      <top/>
      <bottom/>
      <diagonal/>
    </border>
    <border/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  <border>
      <top style="thin">
        <color rgb="FFB4C6E7"/>
      </top>
      <bottom style="thin">
        <color rgb="FFB4C6E7"/>
      </bottom>
    </border>
    <border>
      <right style="thin">
        <color rgb="FFB4C6E7"/>
      </right>
      <top style="thin">
        <color rgb="FFB4C6E7"/>
      </top>
      <bottom style="thin">
        <color rgb="FFB4C6E7"/>
      </bottom>
    </border>
    <border>
      <left style="thin">
        <color rgb="FFB4C6E7"/>
      </left>
      <right style="thin">
        <color rgb="FFB4C6E7"/>
      </right>
      <top style="thin">
        <color rgb="FF70AD47"/>
      </top>
      <bottom style="thin">
        <color rgb="FF70AD47"/>
      </bottom>
    </border>
    <border>
      <right style="thin">
        <color rgb="FFB4C6E7"/>
      </right>
      <top style="thin">
        <color rgb="FFB4C6E7"/>
      </top>
    </border>
    <border>
      <left style="thin">
        <color rgb="FFB4C6E7"/>
      </left>
      <bottom style="thin">
        <color rgb="FFB4C6E7"/>
      </bottom>
    </border>
    <border>
      <right style="thin">
        <color rgb="FFB4C6E7"/>
      </right>
      <bottom style="thin">
        <color rgb="FFB4C6E7"/>
      </bottom>
    </border>
    <border>
      <left/>
      <right/>
      <top style="thin">
        <color rgb="FFB4C6E7"/>
      </top>
      <bottom/>
      <diagonal/>
    </border>
    <border>
      <left/>
      <right style="thin">
        <color rgb="FFB4C6E7"/>
      </right>
      <top style="thin">
        <color rgb="FFB4C6E7"/>
      </top>
      <bottom/>
      <diagonal/>
    </border>
    <border>
      <left/>
      <right/>
      <top style="thin">
        <color rgb="FFB4C6E7"/>
      </top>
      <bottom style="thin">
        <color rgb="FFB4C6E7"/>
      </bottom>
      <diagonal/>
    </border>
    <border>
      <left/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B4C6E7"/>
      </left>
      <right/>
      <top/>
      <bottom/>
      <diagonal/>
    </border>
    <border>
      <left/>
      <right style="thin">
        <color rgb="FFB4C6E7"/>
      </right>
      <top/>
      <bottom/>
      <diagonal/>
    </border>
    <border>
      <left style="thin">
        <color rgb="FFB4C6E7"/>
      </left>
      <right/>
      <top/>
      <bottom style="thin">
        <color rgb="FFB4C6E7"/>
      </bottom>
      <diagonal/>
    </border>
    <border>
      <left/>
      <right style="thin">
        <color rgb="FFB4C6E7"/>
      </right>
      <top/>
      <bottom style="thin">
        <color rgb="FFB4C6E7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 wrapText="1"/>
    </xf>
    <xf numFmtId="0" fontId="1" fillId="4" borderId="2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2" pivotButton="0" quotePrefix="0" xfId="0"/>
    <xf numFmtId="0" fontId="3" fillId="5" borderId="2" applyAlignment="1" pivotButton="0" quotePrefix="0" xfId="0">
      <alignment vertical="center" wrapText="1"/>
    </xf>
    <xf numFmtId="0" fontId="2" fillId="0" borderId="2" applyAlignment="1" pivotButton="0" quotePrefix="0" xfId="0">
      <alignment vertical="center" wrapText="1"/>
    </xf>
    <xf numFmtId="0" fontId="2" fillId="6" borderId="2" applyAlignment="1" pivotButton="0" quotePrefix="0" xfId="0">
      <alignment vertical="center" wrapText="1"/>
    </xf>
    <xf numFmtId="165" fontId="2" fillId="6" borderId="2" applyAlignment="1" pivotButton="0" quotePrefix="0" xfId="0">
      <alignment vertical="center" wrapText="1"/>
    </xf>
    <xf numFmtId="165" fontId="2" fillId="0" borderId="2" applyAlignment="1" pivotButton="0" quotePrefix="0" xfId="0">
      <alignment vertical="center" wrapText="1"/>
    </xf>
    <xf numFmtId="0" fontId="4" fillId="7" borderId="1" applyAlignment="1" pivotButton="0" quotePrefix="0" xfId="0">
      <alignment vertical="center" wrapText="1"/>
    </xf>
    <xf numFmtId="0" fontId="5" fillId="4" borderId="2" applyAlignment="1" pivotButton="0" quotePrefix="0" xfId="0">
      <alignment horizontal="center" vertical="center" wrapText="1"/>
    </xf>
    <xf numFmtId="0" fontId="6" fillId="8" borderId="2" applyAlignment="1" pivotButton="0" quotePrefix="0" xfId="0">
      <alignment horizontal="center" vertical="top" wrapText="1"/>
    </xf>
    <xf numFmtId="0" fontId="7" fillId="8" borderId="2" applyAlignment="1" pivotButton="0" quotePrefix="0" xfId="0">
      <alignment vertical="top" wrapText="1"/>
    </xf>
    <xf numFmtId="0" fontId="6" fillId="8" borderId="2" applyAlignment="1" pivotButton="0" quotePrefix="0" xfId="0">
      <alignment vertical="top" wrapText="1"/>
    </xf>
    <xf numFmtId="0" fontId="8" fillId="9" borderId="2" applyAlignment="1" pivotButton="0" quotePrefix="0" xfId="0">
      <alignment horizontal="center" vertical="top" wrapText="1"/>
    </xf>
    <xf numFmtId="0" fontId="6" fillId="6" borderId="2" applyAlignment="1" pivotButton="0" quotePrefix="0" xfId="0">
      <alignment vertical="top" wrapText="1"/>
    </xf>
    <xf numFmtId="0" fontId="9" fillId="10" borderId="2" applyAlignment="1" pivotButton="0" quotePrefix="0" xfId="0">
      <alignment horizontal="center" vertical="top" wrapText="1"/>
    </xf>
    <xf numFmtId="0" fontId="6" fillId="8" borderId="5" applyAlignment="1" pivotButton="0" quotePrefix="0" xfId="0">
      <alignment horizontal="center" vertical="top" wrapText="1"/>
    </xf>
    <xf numFmtId="0" fontId="7" fillId="8" borderId="5" applyAlignment="1" pivotButton="0" quotePrefix="0" xfId="0">
      <alignment vertical="top" wrapText="1"/>
    </xf>
    <xf numFmtId="0" fontId="6" fillId="8" borderId="5" applyAlignment="1" pivotButton="0" quotePrefix="0" xfId="0">
      <alignment vertical="top" wrapText="1"/>
    </xf>
    <xf numFmtId="0" fontId="6" fillId="6" borderId="5" applyAlignment="1" pivotButton="0" quotePrefix="0" xfId="0">
      <alignment vertical="top" wrapText="1"/>
    </xf>
    <xf numFmtId="0" fontId="1" fillId="2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vertical="top" wrapText="1"/>
    </xf>
    <xf numFmtId="9" fontId="3" fillId="0" borderId="2" applyAlignment="1" pivotButton="0" quotePrefix="0" xfId="0">
      <alignment vertical="top" wrapText="1"/>
    </xf>
    <xf numFmtId="0" fontId="3" fillId="5" borderId="2" applyAlignment="1" pivotButton="0" quotePrefix="0" xfId="0">
      <alignment wrapText="1"/>
    </xf>
    <xf numFmtId="0" fontId="2" fillId="6" borderId="2" applyAlignment="1" pivotButton="0" quotePrefix="0" xfId="0">
      <alignment vertical="top" wrapText="1"/>
    </xf>
    <xf numFmtId="0" fontId="0" fillId="0" borderId="10" pivotButton="0" quotePrefix="0" xfId="0"/>
    <xf numFmtId="0" fontId="0" fillId="0" borderId="15" pivotButton="0" quotePrefix="0" xfId="0"/>
    <xf numFmtId="0" fontId="0" fillId="0" borderId="16" pivotButton="0" quotePrefix="0" xfId="0"/>
    <xf numFmtId="0" fontId="3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cols>
    <col width="16" customWidth="1" min="1" max="1"/>
    <col width="54.875" customWidth="1" min="2" max="2"/>
  </cols>
  <sheetData>
    <row r="1" ht="25.5" customHeight="1">
      <c r="A1" s="1" t="inlineStr">
        <is>
          <t>FINAL BASELINE V1.0 — MITRA KINERJA</t>
        </is>
      </c>
    </row>
    <row r="2" ht="25.5" customHeight="1">
      <c r="A2" s="2" t="inlineStr">
        <is>
          <t>P01 — PILOT UTAMA — Dewan Kerajinan Nasional Daerah Provinsi Kepulauan Riau</t>
        </is>
      </c>
    </row>
    <row r="3"/>
    <row r="4" ht="15" customHeight="1">
      <c r="A4" s="3" t="inlineStr">
        <is>
          <t>IDENTITAS NASKAH DAN KONTROL PEMERIKSAAN</t>
        </is>
      </c>
      <c r="B4" s="4" t="n"/>
      <c r="C4" s="4" t="n"/>
      <c r="D4" s="4" t="n"/>
      <c r="E4" s="4" t="n"/>
      <c r="F4" s="4" t="n"/>
      <c r="G4" s="4" t="n"/>
      <c r="H4" s="4" t="n"/>
      <c r="I4" s="5" t="n"/>
    </row>
    <row r="5" ht="15" customHeight="1">
      <c r="A5" s="6" t="inlineStr">
        <is>
          <t>Kode naskah</t>
        </is>
      </c>
      <c r="B5" s="7" t="inlineStr">
        <is>
          <t>[KODE NASKAH]</t>
        </is>
      </c>
      <c r="C5" s="5" t="n"/>
      <c r="D5" s="6" t="inlineStr">
        <is>
          <t>Status portofolio</t>
        </is>
      </c>
      <c r="E5" s="7" t="inlineStr">
        <is>
          <t>Pilot Utama</t>
        </is>
      </c>
      <c r="F5" s="5" t="n"/>
      <c r="G5" s="6" t="inlineStr">
        <is>
          <t>Nama pemeriksa</t>
        </is>
      </c>
      <c r="H5" s="8" t="inlineStr">
        <is>
          <t>[NAMA PEMERIKSA]</t>
        </is>
      </c>
      <c r="I5" s="5" t="n"/>
    </row>
    <row r="6" ht="15" customHeight="1">
      <c r="A6" s="6" t="inlineStr">
        <is>
          <t>Mitra</t>
        </is>
      </c>
      <c r="B6" s="7" t="inlineStr">
        <is>
          <t>[NAMA MITRA KERJA SAMA]</t>
        </is>
      </c>
      <c r="C6" s="4" t="n"/>
      <c r="D6" s="4" t="n"/>
      <c r="E6" s="4" t="n"/>
      <c r="F6" s="5" t="n"/>
      <c r="G6" s="6" t="inlineStr">
        <is>
          <t>Unit/Tim pemeriksa</t>
        </is>
      </c>
      <c r="H6" s="8" t="inlineStr">
        <is>
          <t>Pokja Data / pemeriksa naskah</t>
        </is>
      </c>
      <c r="I6" s="5" t="n"/>
    </row>
    <row r="7" ht="15" customHeight="1">
      <c r="A7" s="6" t="inlineStr">
        <is>
          <t>Jenis dokumen</t>
        </is>
      </c>
      <c r="B7" s="7" t="inlineStr">
        <is>
          <t>PKS</t>
        </is>
      </c>
      <c r="C7" s="5" t="n"/>
      <c r="D7" s="6" t="inlineStr">
        <is>
          <t>Nomor naskah</t>
        </is>
      </c>
      <c r="E7" s="8" t="inlineStr">
        <is>
          <t>Sesuai naskah/P2MA</t>
        </is>
      </c>
      <c r="F7" s="5" t="n"/>
      <c r="G7" s="6" t="inlineStr">
        <is>
          <t>Tanggal pemeriksaan</t>
        </is>
      </c>
      <c r="H7" s="9" t="inlineStr">
        <is>
          <t>2026-09-28</t>
        </is>
      </c>
      <c r="I7" s="5" t="n"/>
    </row>
    <row r="8" ht="15" customHeight="1">
      <c r="A8" s="6" t="inlineStr">
        <is>
          <t>Judul kerja sama</t>
        </is>
      </c>
      <c r="B8" s="7" t="inlineStr">
        <is>
          <t>[JUDUL KERJA SAMA]</t>
        </is>
      </c>
      <c r="C8" s="4" t="n"/>
      <c r="D8" s="4" t="n"/>
      <c r="E8" s="4" t="n"/>
      <c r="F8" s="5" t="n"/>
      <c r="G8" s="6" t="inlineStr">
        <is>
          <t>Cut-off baseline</t>
        </is>
      </c>
      <c r="H8" s="9" t="inlineStr">
        <is>
          <t>2026-08-28</t>
        </is>
      </c>
      <c r="I8" s="5" t="n"/>
    </row>
    <row r="9" ht="30" customHeight="1">
      <c r="A9" s="6" t="inlineStr">
        <is>
          <t>Tanggal mulai</t>
        </is>
      </c>
      <c r="B9" s="10" t="n">
        <v>45976</v>
      </c>
      <c r="C9" s="5" t="n"/>
      <c r="D9" s="6" t="inlineStr">
        <is>
          <t>Tanggal berakhir</t>
        </is>
      </c>
      <c r="E9" s="10" t="n">
        <v>47801</v>
      </c>
      <c r="F9" s="5" t="n"/>
      <c r="G9" s="6" t="inlineStr">
        <is>
          <t>Status pengisian</t>
        </is>
      </c>
      <c r="H9" s="7" t="inlineStr">
        <is>
          <t>DALAM PROSES</t>
        </is>
      </c>
      <c r="I9" s="5" t="n"/>
    </row>
    <row r="10" ht="31.5" customHeight="1">
      <c r="A10" s="11" t="inlineStr">
        <is>
          <t>FINAL BASELINE — Data awal berasal dari matriks scoring, naskah/P2MA, dan hasil pemeriksaan sampai cut-off 28 Agustus 2026. Status mencerminkan kondisi pada cut-off; perkembangan setelahnya dicatat melalui scorecard.</t>
        </is>
      </c>
    </row>
    <row r="11"/>
    <row r="12" ht="18" customHeight="1">
      <c r="A12" s="12" t="inlineStr">
        <is>
          <t>No</t>
        </is>
      </c>
      <c r="B12" s="12" t="inlineStr">
        <is>
          <t>Kelompok</t>
        </is>
      </c>
      <c r="C12" s="12" t="inlineStr">
        <is>
          <t>Elemen baseline</t>
        </is>
      </c>
      <c r="D12" s="12" t="inlineStr">
        <is>
          <t>Yang diperiksa</t>
        </is>
      </c>
      <c r="E12" s="12" t="inlineStr">
        <is>
          <t>Sumber/bukti minimum</t>
        </is>
      </c>
      <c r="F12" s="12" t="inlineStr">
        <is>
          <t>Status</t>
        </is>
      </c>
      <c r="G12" s="12" t="inlineStr">
        <is>
          <t>Fakta/hasil pemeriksaan</t>
        </is>
      </c>
      <c r="H12" s="12" t="inlineStr">
        <is>
          <t>Sumber/link bukti</t>
        </is>
      </c>
      <c r="I12" s="12" t="inlineStr">
        <is>
          <t>Catatan khusus (opsional)</t>
        </is>
      </c>
    </row>
    <row r="13" ht="69" customHeight="1">
      <c r="A13" s="13" t="n">
        <v>1</v>
      </c>
      <c r="B13" s="14" t="inlineStr">
        <is>
          <t>IDENTITAS</t>
        </is>
      </c>
      <c r="C13" s="15" t="inlineStr">
        <is>
          <t>Identitas naskah</t>
        </is>
      </c>
      <c r="D13" s="15" t="inlineStr">
        <is>
          <t>Jenis, nomor para pihak, judul, dan nama resmi mitra sesuai naskah.</t>
        </is>
      </c>
      <c r="E13" s="15" t="inlineStr">
        <is>
          <t>Naskah bertanda tangan; P2MA sebagai pembanding.</t>
        </is>
      </c>
      <c r="F13" s="16" t="inlineStr">
        <is>
          <t>BELUM DIISI</t>
        </is>
      </c>
      <c r="G13" s="17" t="inlineStr"/>
      <c r="H13" s="17" t="inlineStr"/>
      <c r="I13" s="17" t="inlineStr"/>
    </row>
    <row r="14" ht="61.5" customHeight="1">
      <c r="A14" s="13" t="n">
        <v>2</v>
      </c>
      <c r="B14" s="14" t="inlineStr">
        <is>
          <t>MASA BERLAKU</t>
        </is>
      </c>
      <c r="C14" s="15" t="inlineStr">
        <is>
          <t>Masa berlaku</t>
        </is>
      </c>
      <c r="D14" s="15" t="inlineStr">
        <is>
          <t>Tanggal efektif, durasi, dan tanggal berakhir sesuai klausul naskah.</t>
        </is>
      </c>
      <c r="E14" s="15" t="inlineStr">
        <is>
          <t>Klausul jangka waktu; halaman tanda tangan; P2MA.</t>
        </is>
      </c>
      <c r="F14" s="16" t="inlineStr">
        <is>
          <t>BELUM DIISI</t>
        </is>
      </c>
      <c r="G14" s="17" t="inlineStr"/>
      <c r="H14" s="17" t="inlineStr"/>
      <c r="I14" s="17" t="inlineStr"/>
    </row>
    <row r="15" ht="81" customHeight="1">
      <c r="A15" s="13" t="n">
        <v>3</v>
      </c>
      <c r="B15" s="14" t="inlineStr">
        <is>
          <t>SUBSTANSI</t>
        </is>
      </c>
      <c r="C15" s="15" t="inlineStr">
        <is>
          <t>Ruang lingkup</t>
        </is>
      </c>
      <c r="D15" s="15" t="inlineStr">
        <is>
          <t>Ruang kerja, kewajiban, atau kegiatan utama yang disepakati.</t>
        </is>
      </c>
      <c r="E15" s="15" t="inlineStr">
        <is>
          <t>Pasal ruang lingkup/hak-kewajiban; lampiran.</t>
        </is>
      </c>
      <c r="F15" s="16" t="inlineStr">
        <is>
          <t>BELUM DIISI</t>
        </is>
      </c>
      <c r="G15" s="17" t="inlineStr"/>
      <c r="H15" s="17" t="inlineStr"/>
      <c r="I15" s="17" t="inlineStr"/>
    </row>
    <row r="16" ht="61.5" customHeight="1">
      <c r="A16" s="13" t="n">
        <v>4</v>
      </c>
      <c r="B16" s="14" t="inlineStr">
        <is>
          <t>TATA KELOLA</t>
        </is>
      </c>
      <c r="C16" s="15" t="inlineStr">
        <is>
          <t>Status arsip</t>
        </is>
      </c>
      <c r="D16" s="15" t="inlineStr">
        <is>
          <t>Ketersediaan naskah lengkap pada lokasi arsip resmi dan dapat ditemukan kembali.</t>
        </is>
      </c>
      <c r="E16" s="15" t="inlineStr">
        <is>
          <t>Arsip resmi; register; folder organisasi.</t>
        </is>
      </c>
      <c r="F16" s="18" t="inlineStr">
        <is>
          <t>BELUM DIISI</t>
        </is>
      </c>
      <c r="G16" s="17" t="inlineStr"/>
      <c r="H16" s="17" t="inlineStr"/>
      <c r="I16" s="17" t="inlineStr"/>
    </row>
    <row r="17" ht="72" customHeight="1">
      <c r="A17" s="13" t="n">
        <v>5</v>
      </c>
      <c r="B17" s="14" t="inlineStr">
        <is>
          <t>TATA KELOLA</t>
        </is>
      </c>
      <c r="C17" s="15" t="inlineStr">
        <is>
          <t>Status P2MA</t>
        </is>
      </c>
      <c r="D17" s="15" t="inlineStr">
        <is>
          <t>Keberadaan entri dan kesesuaian metadata P2MA dengan naskah resmi.</t>
        </is>
      </c>
      <c r="E17" s="15" t="inlineStr">
        <is>
          <t>P2MA dan naskah bertanda tangan.</t>
        </is>
      </c>
      <c r="F17" s="16" t="inlineStr">
        <is>
          <t>BELUM DIISI</t>
        </is>
      </c>
      <c r="G17" s="17" t="inlineStr"/>
      <c r="H17" s="17" t="inlineStr"/>
      <c r="I17" s="17" t="inlineStr"/>
    </row>
    <row r="18" ht="61.5" customHeight="1">
      <c r="A18" s="13" t="n">
        <v>6</v>
      </c>
      <c r="B18" s="14" t="inlineStr">
        <is>
          <t>PENGAMPU</t>
        </is>
      </c>
      <c r="C18" s="15" t="inlineStr">
        <is>
          <t>Unit pengampu</t>
        </is>
      </c>
      <c r="D18" s="15" t="inlineStr">
        <is>
          <t>Unit internal yang bertanggung jawab atas substansi dan implementasi kerja sama.</t>
        </is>
      </c>
      <c r="E18" s="15" t="inlineStr">
        <is>
          <t>ND/SK/pembagian tugas; konfirmasi tertulis unit.</t>
        </is>
      </c>
      <c r="F18" s="18" t="inlineStr">
        <is>
          <t>BELUM DIISI</t>
        </is>
      </c>
      <c r="G18" s="17" t="inlineStr"/>
      <c r="H18" s="17" t="inlineStr"/>
      <c r="I18" s="17" t="inlineStr"/>
    </row>
    <row r="19" ht="61.5" customHeight="1">
      <c r="A19" s="13" t="n">
        <v>7</v>
      </c>
      <c r="B19" s="14" t="inlineStr">
        <is>
          <t>PIC</t>
        </is>
      </c>
      <c r="C19" s="15" t="inlineStr">
        <is>
          <t>PIC internal</t>
        </is>
      </c>
      <c r="D19" s="15" t="inlineStr">
        <is>
          <t>PIC utama dan cadangan yang aktif, lengkap dengan jabatan, kontak, dan dasar penetapan.</t>
        </is>
      </c>
      <c r="E19" s="15" t="inlineStr">
        <is>
          <t>ND/SK/daftar PIC; konfirmasi tertulis unit.</t>
        </is>
      </c>
      <c r="F19" s="18" t="inlineStr">
        <is>
          <t>BELUM DIISI</t>
        </is>
      </c>
      <c r="G19" s="17" t="inlineStr"/>
      <c r="H19" s="17" t="inlineStr"/>
      <c r="I19" s="17" t="inlineStr"/>
    </row>
    <row r="20" ht="61.5" customHeight="1">
      <c r="A20" s="13" t="n">
        <v>8</v>
      </c>
      <c r="B20" s="14" t="inlineStr">
        <is>
          <t>PIC</t>
        </is>
      </c>
      <c r="C20" s="15" t="inlineStr">
        <is>
          <t>PIC mitra</t>
        </is>
      </c>
      <c r="D20" s="15" t="inlineStr">
        <is>
          <t>Penghubung operasional pihak mitra yang telah dikonfirmasi.</t>
        </is>
      </c>
      <c r="E20" s="15" t="inlineStr">
        <is>
          <t>Surat/email/form konfirmasi resmi dari mitra.</t>
        </is>
      </c>
      <c r="F20" s="18" t="inlineStr">
        <is>
          <t>BELUM DIISI</t>
        </is>
      </c>
      <c r="G20" s="17" t="inlineStr"/>
      <c r="H20" s="17" t="inlineStr"/>
      <c r="I20" s="17" t="inlineStr"/>
    </row>
    <row r="21" ht="61.5" customHeight="1">
      <c r="A21" s="13" t="n">
        <v>9</v>
      </c>
      <c r="B21" s="14" t="inlineStr">
        <is>
          <t>TINDAK LANJUT</t>
        </is>
      </c>
      <c r="C21" s="15" t="inlineStr">
        <is>
          <t>Rencana tindak lanjut</t>
        </is>
      </c>
      <c r="D21" s="15" t="inlineStr">
        <is>
          <t>Dokumen atau komitmen operasional yang memuat kegiatan, periode, target, dan/atau PIC.</t>
        </is>
      </c>
      <c r="E21" s="15" t="inlineStr">
        <is>
          <t>Rencana aksi; matriks kerja; kalender; notula.</t>
        </is>
      </c>
      <c r="F21" s="18" t="inlineStr">
        <is>
          <t>BELUM DIISI</t>
        </is>
      </c>
      <c r="G21" s="17" t="inlineStr"/>
      <c r="H21" s="17" t="inlineStr"/>
      <c r="I21" s="17" t="inlineStr"/>
    </row>
    <row r="22" ht="61.5" customHeight="1">
      <c r="A22" s="19" t="n">
        <v>10</v>
      </c>
      <c r="B22" s="20" t="inlineStr">
        <is>
          <t>PELAKSANAAN</t>
        </is>
      </c>
      <c r="C22" s="21" t="inlineStr">
        <is>
          <t>Pelaksanaan dan hasil</t>
        </is>
      </c>
      <c r="D22" s="21" t="inlineStr">
        <is>
          <t>Kegiatan aktual, realisasi terhadap target jatuh tempo, serta output yang dihasilkan.</t>
        </is>
      </c>
      <c r="E22" s="21" t="inlineStr">
        <is>
          <t>Laporan; undangan; notula; daftar hadir; data hasil.</t>
        </is>
      </c>
      <c r="F22" s="18" t="inlineStr">
        <is>
          <t>BELUM DIISI</t>
        </is>
      </c>
      <c r="G22" s="22" t="inlineStr"/>
      <c r="H22" s="22" t="inlineStr"/>
      <c r="I22" s="22" t="inlineStr"/>
    </row>
    <row r="23" ht="61.5" customHeight="1">
      <c r="A23" s="13" t="n">
        <v>11</v>
      </c>
      <c r="B23" s="14" t="inlineStr">
        <is>
          <t>EVIDEN</t>
        </is>
      </c>
      <c r="C23" s="15" t="inlineStr">
        <is>
          <t>Eviden implementasi</t>
        </is>
      </c>
      <c r="D23" s="15" t="inlineStr">
        <is>
          <t>Bukti pelaksanaan/output, lokasi penyimpanan, dan tingkat keteraturannya.</t>
        </is>
      </c>
      <c r="E23" s="15" t="inlineStr">
        <is>
          <t>Folder resmi; indeks bukti; dokumen/data kegiatan.</t>
        </is>
      </c>
      <c r="F23" s="18" t="inlineStr">
        <is>
          <t>BELUM DIISI</t>
        </is>
      </c>
      <c r="G23" s="17" t="inlineStr"/>
      <c r="H23" s="17" t="inlineStr"/>
      <c r="I23" s="17" t="inlineStr"/>
    </row>
    <row r="24" ht="75" customHeight="1">
      <c r="A24" s="13" t="n">
        <v>12</v>
      </c>
      <c r="B24" s="14" t="inlineStr">
        <is>
          <t>HAMBATAN</t>
        </is>
      </c>
      <c r="C24" s="15" t="inlineStr">
        <is>
          <t>Hambatan/gap</t>
        </is>
      </c>
      <c r="D24" s="15" t="inlineStr">
        <is>
          <t>Kendala faktual atau kekosongan data yang memengaruhi implementasi dan sudah dikonfirmasi.</t>
        </is>
      </c>
      <c r="E24" s="15" t="inlineStr">
        <is>
          <t>Konfirmasi unit/PIC/mitra; notula; laporan; bukti keterlambatan.</t>
        </is>
      </c>
      <c r="F24" s="18" t="inlineStr">
        <is>
          <t>BELUM DIISI</t>
        </is>
      </c>
      <c r="G24" s="17" t="inlineStr"/>
      <c r="H24" s="17" t="inlineStr"/>
      <c r="I24" s="17" t="inlineStr"/>
    </row>
    <row r="25"/>
    <row r="26" ht="15" customHeight="1">
      <c r="A26" s="23" t="inlineStr">
        <is>
          <t>RINGKASAN FINAL BASELINE</t>
        </is>
      </c>
      <c r="B26" s="4" t="n"/>
      <c r="C26" s="4" t="n"/>
      <c r="D26" s="4" t="n"/>
      <c r="E26" s="4" t="n"/>
      <c r="F26" s="4" t="n"/>
      <c r="G26" s="4" t="n"/>
      <c r="H26" s="4" t="n"/>
      <c r="I26" s="5" t="n"/>
    </row>
    <row r="27"/>
    <row r="28" ht="30" customHeight="1">
      <c r="A28" s="3" t="inlineStr">
        <is>
          <t>STATUS ELEMEN</t>
        </is>
      </c>
      <c r="B28" s="3" t="inlineStr">
        <is>
          <t>JUMLAH</t>
        </is>
      </c>
      <c r="D28" s="3" t="inlineStr">
        <is>
          <t>INDIKATOR PENGISIAN</t>
        </is>
      </c>
      <c r="E28" s="3" t="inlineStr">
        <is>
          <t>HASIL</t>
        </is>
      </c>
      <c r="G28" s="3" t="inlineStr">
        <is>
          <t>RINGKASAN PEMERIKSA</t>
        </is>
      </c>
      <c r="H28" s="4" t="n"/>
      <c r="I28" s="5" t="n"/>
    </row>
    <row r="29" ht="28.5" customHeight="1">
      <c r="A29" s="24" t="inlineStr">
        <is>
          <t>Terverifikasi</t>
        </is>
      </c>
      <c r="B29" s="24">
        <f>COUNTIF(F13:F24,"TERVERIFIKASI")</f>
        <v/>
      </c>
      <c r="D29" s="24" t="inlineStr">
        <is>
          <t>Kelengkapan pemeriksaan</t>
        </is>
      </c>
      <c r="E29" s="25">
        <f>COUNTIFS(F13:F24,"&lt;&gt;",G13:G24,"&lt;&gt;",H13:H24,"&lt;&gt;")/12</f>
        <v/>
      </c>
      <c r="G29" s="26" t="inlineStr">
        <is>
          <t>Fakta utama</t>
        </is>
      </c>
      <c r="H29" s="27" t="inlineStr">
        <is>
          <t>Identitas naskah, masa berlaku, ruang lingkup, dan entri P2MA telah terverifikasi. Arsip khusus belum tersedia dan pada cut-off belum ada laporan pelaksanaan yang dapat dijadikan bukti hasil.</t>
        </is>
      </c>
      <c r="I29" s="28" t="n"/>
    </row>
    <row r="30" ht="28.5" customHeight="1">
      <c r="A30" s="24" t="inlineStr">
        <is>
          <t>Belum Terverifikasi</t>
        </is>
      </c>
      <c r="B30" s="24">
        <f>COUNTIF(F13:F24,"BELUM TERVERIFIKASI")</f>
        <v/>
      </c>
      <c r="D30" s="24" t="inlineStr">
        <is>
          <t>Proporsi status terverifikasi</t>
        </is>
      </c>
      <c r="E30" s="25">
        <f>IFERROR(B29/(12-B32),0)</f>
        <v/>
      </c>
      <c r="G30" s="26" t="n"/>
      <c r="H30" s="29" t="n"/>
      <c r="I30" s="30" t="n"/>
    </row>
    <row r="31" ht="28.5" customHeight="1">
      <c r="A31" s="24" t="inlineStr">
        <is>
          <t>Belum Tersedia</t>
        </is>
      </c>
      <c r="B31" s="24">
        <f>COUNTIF(F13:F24,"BELUM TERSEDIA")</f>
        <v/>
      </c>
      <c r="D31" s="24" t="inlineStr">
        <is>
          <t>Status pengisian baseline</t>
        </is>
      </c>
      <c r="E31" s="31">
        <f>IF(E29=0,"BELUM DIMULAI",IF(E29=1,"SELESAI DIISI","DALAM VERIFIKASI"))</f>
        <v/>
      </c>
      <c r="G31" s="26" t="inlineStr">
        <is>
          <t>Gap utama</t>
        </is>
      </c>
      <c r="H31" s="27" t="inlineStr">
        <is>
          <t>Unit pengampu, PIC internal/mitra, rencana tindak lanjut, eviden implementasi, dan hambatan belum memiliki dasar yang cukup. Kerja sama belum menunjukkan bukti operasional yang terstruktur pada cut-off.</t>
        </is>
      </c>
      <c r="I31" s="28" t="n"/>
    </row>
    <row r="32" ht="28.5" customHeight="1">
      <c r="A32" s="24" t="inlineStr">
        <is>
          <t>Tidak Relevan</t>
        </is>
      </c>
      <c r="B32" s="24">
        <f>COUNTIF(F13:F24,"TIDAK RELEVAN")</f>
        <v/>
      </c>
      <c r="G32" s="26" t="n"/>
      <c r="H32" s="29" t="n"/>
      <c r="I32" s="30" t="n"/>
    </row>
    <row r="33" ht="28.5" customHeight="1">
      <c r="A33" s="24" t="inlineStr">
        <is>
          <t>Belum Diisi</t>
        </is>
      </c>
      <c r="B33" s="24">
        <f>COUNTBLANK(F13:F24)</f>
        <v/>
      </c>
      <c r="G33" s="26" t="inlineStr">
        <is>
          <t>Catatan transisi</t>
        </is>
      </c>
      <c r="H33" s="27" t="inlineStr">
        <is>
          <t>Kondisi ini dikunci sebagai baseline. Penetapan pengampu/PIC, rencana aksi, pelaksanaan, dan eviden berikutnya dimutakhirkan melalui scorecard.</t>
        </is>
      </c>
      <c r="I33" s="28" t="n"/>
    </row>
    <row r="34" ht="28.5" customHeight="1">
      <c r="G34" s="26" t="n"/>
      <c r="H34" s="29" t="n"/>
      <c r="I34" s="30" t="n"/>
    </row>
    <row r="35"/>
    <row r="36" ht="28.5" customHeight="1">
      <c r="A36" s="11" t="inlineStr">
        <is>
          <t>Final baseline per 28 Agustus 2026. Baseline merupakan potret kondisi awal; pemutakhiran bukti, konfirmasi, dan progres setelah cut-off dilakukan melalui scorecard.</t>
        </is>
      </c>
    </row>
  </sheetData>
  <mergeCells count="23">
    <mergeCell ref="G28:I28"/>
    <mergeCell ref="B7:C7"/>
    <mergeCell ref="E5:F5"/>
    <mergeCell ref="H9:I9"/>
    <mergeCell ref="A26:I26"/>
    <mergeCell ref="A2:I2"/>
    <mergeCell ref="H6:I6"/>
    <mergeCell ref="B8:F8"/>
    <mergeCell ref="E9:F9"/>
    <mergeCell ref="A4:I4"/>
    <mergeCell ref="H33:I34"/>
    <mergeCell ref="A10:I10"/>
    <mergeCell ref="H7:I7"/>
    <mergeCell ref="B9:C9"/>
    <mergeCell ref="H29:I30"/>
    <mergeCell ref="B6:F6"/>
    <mergeCell ref="E7:F7"/>
    <mergeCell ref="B5:C5"/>
    <mergeCell ref="A36:I36"/>
    <mergeCell ref="A1:I1"/>
    <mergeCell ref="H31:I32"/>
    <mergeCell ref="H5:I5"/>
    <mergeCell ref="H8:I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2026-09-29T05:37:57Z</dcterms:created>
  <dcterms:modified xsi:type="dcterms:W3CDTF">2026-09-29T05:37:58Z</dcterms:modified>
</cp:coreProperties>
</file>