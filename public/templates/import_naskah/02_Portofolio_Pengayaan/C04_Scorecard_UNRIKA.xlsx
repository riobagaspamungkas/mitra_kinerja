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a187173b7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UNRIKA" sheetId="1" r:id="R12764d4a38b145c0"/>
    <x:sheet xmlns:r="http://schemas.openxmlformats.org/officeDocument/2006/relationships" name="IDENTITAS &amp; PIC" sheetId="2" r:id="Rf4ab6c488c754909"/>
    <x:sheet xmlns:r="http://schemas.openxmlformats.org/officeDocument/2006/relationships" name="PELAKSANAAN KEGIATAN" sheetId="3" r:id="Ra593f082ba84418b"/>
    <x:sheet xmlns:r="http://schemas.openxmlformats.org/officeDocument/2006/relationships" name="USULAN TINDAK LANJUT" sheetId="4" r:id="Rf4197806bb144707"/>
    <x:sheet xmlns:r="http://schemas.openxmlformats.org/officeDocument/2006/relationships" name="BASELINE UNRIKA" sheetId="5" r:id="R631b64c292704caf"/>
    <x:sheet xmlns:r="http://schemas.openxmlformats.org/officeDocument/2006/relationships" name="SCORECARD UNRIKA" sheetId="6" r:id="Reb502ce6fd7d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dd mmmm yyyy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FF2E1"/>
        </x:patternFill>
      </x:fill>
    </x:dxf>
    <x:dxf>
      <x:fill>
        <x:patternFill patternType="solid">
          <x:bgColor rgb="FFFDEBD0"/>
        </x:patternFill>
      </x:fill>
    </x:dxf>
    <x:dxf>
      <x:fill>
        <x:patternFill patternType="solid">
          <x:bgColor rgb="FFDFF2E1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146957164475b" /><Relationship Type="http://schemas.openxmlformats.org/officeDocument/2006/relationships/theme" Target="/xl/theme/theme1.xml" Id="R5bd8b42d0f8f4501" /><Relationship Type="http://schemas.openxmlformats.org/officeDocument/2006/relationships/sharedStrings" Target="/xl/sharedStrings.xml" Id="Rbb612420726e4e8d" /><Relationship Type="http://schemas.openxmlformats.org/officeDocument/2006/relationships/worksheet" Target="/xl/worksheets/sheet1.xml" Id="R12764d4a38b145c0" /><Relationship Type="http://schemas.openxmlformats.org/officeDocument/2006/relationships/worksheet" Target="/xl/worksheets/sheet2.xml" Id="Rf4ab6c488c754909" /><Relationship Type="http://schemas.openxmlformats.org/officeDocument/2006/relationships/worksheet" Target="/xl/worksheets/sheet3.xml" Id="Ra593f082ba84418b" /><Relationship Type="http://schemas.openxmlformats.org/officeDocument/2006/relationships/worksheet" Target="/xl/worksheets/sheet4.xml" Id="Rf4197806bb144707" /><Relationship Type="http://schemas.openxmlformats.org/officeDocument/2006/relationships/worksheet" Target="/xl/worksheets/sheet5.xml" Id="R631b64c292704caf" /><Relationship Type="http://schemas.openxmlformats.org/officeDocument/2006/relationships/worksheet" Target="/xl/worksheets/sheet6.xml" Id="Reb502ce6fd7d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UNRIKA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Prototype end-to-end: Data Stakeholder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C04</x:v>
      </x:c>
      <x:c r="D5" s="31" t="str">
        <x:v>PIC Mitra</x:v>
      </x:c>
      <x:c r="E5" s="32" t="str">
        <x:f>'IDENTITAS &amp; PIC'!C11</x:f>
        <x:v>Ajeng Handayani Purwaningrum, B.Ec., M.B.A</x:v>
      </x:c>
      <x:c r="G5" s="31" t="str">
        <x:v>Nilai Berjalan</x:v>
      </x:c>
      <x:c r="H5" s="35" t="n">
        <x:f>'SCORECARD UNRIKA'!B21</x:f>
        <x:v>12.5</x:v>
      </x:c>
    </x:row>
    <x:row r="6">
      <x:c r="A6" s="31" t="str">
        <x:v>Mitra</x:v>
      </x:c>
      <x:c r="B6" s="32" t="str">
        <x:f>'IDENTITAS &amp; PIC'!C5</x:f>
        <x:v>Universitas Riau Kepulauan (UNRIKA) </x:v>
      </x:c>
      <x:c r="D6" s="31" t="str">
        <x:v>Total Kegiatan</x:v>
      </x:c>
      <x:c r="E6" s="32" t="n">
        <x:f>COUNTIF('PELAKSANAAN KEGIATAN'!B7:B10,"?*")</x:f>
        <x:v>0</x:v>
      </x:c>
      <x:c r="G6" s="31" t="str">
        <x:v>Kelengkapan Scorecard</x:v>
      </x:c>
      <x:c r="H6" s="37" t="n">
        <x:f>'SCORECARD UNRIKA'!D21</x:f>
        <x:v>0.5</x:v>
      </x:c>
    </x:row>
    <x:row r="7">
      <x:c r="A7" s="31" t="str">
        <x:v>Jenis</x:v>
      </x:c>
      <x:c r="B7" s="32" t="str">
        <x:v>MoU</x:v>
      </x:c>
      <x:c r="D7" s="31" t="str">
        <x:v>Usulan Tindak Lanjut</x:v>
      </x:c>
      <x:c r="E7" s="32" t="n">
        <x:f>COUNTIF('USULAN TINDAK LANJUT'!B7:B10,"?*")</x:f>
        <x:v>0</x:v>
      </x:c>
      <x:c r="G7" s="31" t="str">
        <x:v>Kategori</x:v>
      </x:c>
      <x:c r="H7" s="39" t="str">
        <x:f>'SCORECARD UNRIKA'!F21</x:f>
        <x:v>BELUM LENGKAP</x:v>
      </x:c>
    </x:row>
    <x:row r="8">
      <x:c r="A8" s="31" t="str">
        <x:v>Judul</x:v>
      </x:c>
      <x:c r="B8" s="32" t="str">
        <x:v>Pelayanan Hukum dan Fasilitasi Tri Dharma Perguruan Tinggi</x:v>
      </x:c>
      <x:c r="D8" s="31" t="str">
        <x:v>Bukti Kegiatan</x:v>
      </x:c>
      <x:c r="E8" s="32" t="n">
        <x:f>COUNTIF('PELAKSANAAN KEGIATAN'!E7:E10,"?*")</x:f>
        <x:v>0</x:v>
      </x:c>
      <x:c r="G8" s="31" t="str">
        <x:v>Early Warning</x:v>
      </x:c>
      <x:c r="H8" s="39" t="str">
        <x:f>'SCORECARD UNRIKA'!B32</x:f>
        <x:v>V0 - DATA BELUM CUKUP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Stakeholder</x:v>
      </x:c>
      <x:c r="D11" s="49" t="str">
        <x:v>Catatan</x:v>
      </x:c>
    </x:row>
    <x:row r="12">
      <x:c r="A12" s="39" t="str">
        <x:v>PIC Mitra</x:v>
      </x:c>
      <x:c r="B12" s="32" t="str">
        <x:f>'BASELINE UNRIKA'!F20</x:f>
        <x:v>BELUM TERSEDIA</x:v>
      </x:c>
      <x:c r="C12" s="32" t="str">
        <x:f>'BASELINE UNRIKA'!J20</x:f>
        <x:v>PIC mitra: Ajeng Handayani Purwaningrum, B.Ec., M.B.A | Jabatan: Kepala Bagian Kerjasama  | Email: kerjasama@unrika.ac.id | Status: Tetap</x:v>
      </x:c>
      <x:c r="D12" s="32" t="str">
        <x:f>'BASELINE UNRIKA'!K20</x:f>
        <x:v>Pembaruan tersedia sebagai referensi; status baseline tidak berubah otomatis dan tetap memerlukan verifikasi.</x:v>
      </x:c>
    </x:row>
    <x:row r="13">
      <x:c r="A13" s="39" t="str">
        <x:v>Rencana Tindak Lanjut</x:v>
      </x:c>
      <x:c r="B13" s="32" t="str">
        <x:f>'BASELINE UNRIKA'!F21</x:f>
        <x:v>BELUM TERSEDIA</x:v>
      </x:c>
      <x:c r="C13" s="32" t="str">
        <x:f>'BASELINE UNRIKA'!J21</x:f>
        <x:v>Belum ada usulan tindak lanjut dari stakeholder</x:v>
      </x:c>
      <x:c r="D13" s="32" t="str">
        <x:f>'BASELINE UNRIKA'!K21</x:f>
        <x:v>Tidak ada pembaruan yang mengubah baseline.</x:v>
      </x:c>
    </x:row>
    <x:row r="14">
      <x:c r="A14" s="39" t="str">
        <x:v>Pelaksanaan &amp; Hasil</x:v>
      </x:c>
      <x:c r="B14" s="32" t="str">
        <x:f>'BASELINE UNRIKA'!F22</x:f>
        <x:v>TERVERIFIKASI</x:v>
      </x:c>
      <x:c r="C14" s="32" t="str">
        <x:f>'BASELINE UNRIKA'!J22</x:f>
        <x:v>Belum ada kegiatan yang diisi stakeholder</x:v>
      </x:c>
      <x:c r="D14" s="32" t="str">
        <x:f>'BASELINE UNRIKA'!K22</x:f>
        <x:v>Tidak ada pembaruan yang mengubah baseline.</x:v>
      </x:c>
    </x:row>
    <x:row r="15">
      <x:c r="A15" s="39" t="str">
        <x:v>Eviden Implementasi</x:v>
      </x:c>
      <x:c r="B15" s="32" t="str">
        <x:f>'BASELINE UNRIKA'!F23</x:f>
        <x:v>BELUM TERSEDIA</x:v>
      </x:c>
      <x:c r="C15" s="32" t="str">
        <x:f>'BASELINE UNRIKA'!J23</x:f>
        <x:v>Belum ada bukti kegiatan yang diisi stakeholder</x:v>
      </x:c>
      <x:c r="D15" s="32" t="str">
        <x:f>'BASELINE UNRIKA'!K23</x:f>
        <x:v>Tidak ada pembaruan yang mengubah baseline.</x:v>
      </x:c>
    </x:row>
    <x:row r="17">
      <x:c r="A17" s="53" t="str">
        <x:v>Catatan kendali: pembaruan dari stakeholder mengalir otomatis sebagai referensi, tetapi TIDAK otomatis mengubah status Baseline atau skor Scorecard. Verifikasi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VERIFIKASI TANGGAL: narasi Baseline menyebut 18 November 2025–17 November 2030, sedangkan nilai tanggal pada file sumber terstruktur menunjukkan 5 Desember 2025–4 Desember 2030. Workbook mempertahankan keduanya; verifikasi naskah final diperlukan sebelum penetapan final.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UNRIKA</x:v>
      </x:c>
      <x:c r="B1" s="5"/>
      <x:c r="C1" s="5"/>
      <x:c r="D1" s="5"/>
      <x:c r="E1" s="5"/>
      <x:c r="F1" s="5"/>
      <x:c r="G1" s="5"/>
    </x:row>
    <x:row r="2">
      <x:c r="A2" s="58" t="str">
        <x:v>Data mitra dipertahankan dari file Data Stakeholder. Sel kuning dapat diperbarui oleh mitra/PIC.</x:v>
      </x:c>
      <x:c r="B2" s="58"/>
      <x:c r="C2" s="58"/>
      <x:c r="D2" s="58"/>
      <x:c r="E2" s="58"/>
      <x:c r="F2" s="58"/>
      <x:c r="G2" s="58"/>
    </x:row>
    <x:row r="4" ht="22" customHeight="1">
      <x:c r="A4" s="18" t="str">
        <x:v>A. IDENTITAS KERJA SAMA</x:v>
      </x:c>
      <x:c r="B4" s="18"/>
      <x:c r="C4" s="18"/>
      <x:c r="D4" s="18"/>
      <x:c r="E4" s="18"/>
      <x:c r="F4" s="18"/>
      <x:c r="G4" s="18"/>
    </x:row>
    <x:row r="5">
      <x:c r="A5" s="31" t="str">
        <x:v>Nama Mitra</x:v>
      </x:c>
      <x:c r="B5" s="32"/>
      <x:c r="C5" s="63" t="str">
        <x:v>Universitas Riau Kepulauan (UNRIKA) </x:v>
      </x:c>
      <x:c r="D5" s="63"/>
      <x:c r="E5" s="63"/>
      <x:c r="F5" s="63"/>
      <x:c r="G5" s="63"/>
    </x:row>
    <x:row r="6">
      <x:c r="A6" s="31" t="str">
        <x:v>Nomor Nota Kesepahaman/Perjanjian Kerja Sama</x:v>
      </x:c>
      <x:c r="B6" s="32"/>
      <x:c r="C6" s="63"/>
      <x:c r="D6" s="63"/>
      <x:c r="E6" s="63"/>
      <x:c r="F6" s="63"/>
      <x:c r="G6" s="63"/>
    </x:row>
    <x:row r="7">
      <x:c r="A7" s="31" t="str">
        <x:v>Tanggal</x:v>
      </x:c>
      <x:c r="B7" s="32"/>
      <x:c r="C7" s="63"/>
      <x:c r="D7" s="63"/>
      <x:c r="E7" s="63"/>
      <x:c r="F7" s="63"/>
      <x:c r="G7" s="63"/>
    </x:row>
    <x:row r="8">
      <x:c r="A8" s="31" t="str">
        <x:v>Ruang Lingkup</x:v>
      </x:c>
      <x:c r="B8" s="32"/>
      <x:c r="C8" s="63"/>
      <x:c r="D8" s="63"/>
      <x:c r="E8" s="63"/>
      <x:c r="F8" s="63"/>
      <x:c r="G8" s="63"/>
    </x:row>
    <x:row r="10" ht="22" customHeight="1">
      <x:c r="A10" s="18" t="str">
        <x:v>B. PIC UTAMA</x:v>
      </x:c>
      <x:c r="B10" s="18"/>
      <x:c r="C10" s="18"/>
      <x:c r="D10" s="18"/>
      <x:c r="E10" s="18"/>
      <x:c r="F10" s="18"/>
      <x:c r="G10" s="18"/>
    </x:row>
    <x:row r="11">
      <x:c r="A11" s="31" t="str">
        <x:v>Nama Lengkap*</x:v>
      </x:c>
      <x:c r="B11" s="32"/>
      <x:c r="C11" s="63" t="str">
        <x:v>Ajeng Handayani Purwaningrum, B.Ec., M.B.A</x:v>
      </x:c>
      <x:c r="D11" s="32"/>
      <x:c r="E11" s="31" t="str">
        <x:v>Jabatan*</x:v>
      </x:c>
      <x:c r="F11" s="32"/>
      <x:c r="G11" s="63" t="str">
        <x:v>Kepala Bagian Kerjasama </x:v>
      </x:c>
    </x:row>
    <x:row r="12">
      <x:c r="A12" s="31" t="str">
        <x:v>Unit Kerja*</x:v>
      </x:c>
      <x:c r="B12" s="32"/>
      <x:c r="C12" s="63" t="str">
        <x:v>Kerjasama </x:v>
      </x:c>
      <x:c r="D12" s="32"/>
      <x:c r="E12" s="31" t="str">
        <x:v>No. HP/WA*</x:v>
      </x:c>
      <x:c r="F12" s="32"/>
      <x:c r="G12" s="63" t="n">
        <x:v>8969321528</x:v>
      </x:c>
    </x:row>
    <x:row r="13">
      <x:c r="A13" s="31" t="str">
        <x:v>Email Resmi*</x:v>
      </x:c>
      <x:c r="B13" s="32"/>
      <x:c r="C13" s="63" t="str">
        <x:v>kerjasama@unrika.ac.id</x:v>
      </x:c>
      <x:c r="D13" s="32"/>
      <x:c r="E13" s="31" t="str">
        <x:v>Status</x:v>
      </x:c>
      <x:c r="F13" s="32"/>
      <x:c r="G13" s="63" t="str">
        <x:v>Tetap</x:v>
      </x:c>
    </x:row>
    <x:row r="15" ht="22" customHeight="1">
      <x:c r="A15" s="18" t="str">
        <x:v>C. PIC CADANGAN</x:v>
      </x:c>
      <x:c r="B15" s="18"/>
      <x:c r="C15" s="18"/>
      <x:c r="D15" s="18"/>
      <x:c r="E15" s="18"/>
      <x:c r="F15" s="18"/>
      <x:c r="G15" s="18"/>
    </x:row>
    <x:row r="16">
      <x:c r="A16" s="31" t="str">
        <x:v>Nama Lengkap*</x:v>
      </x:c>
      <x:c r="B16" s="32"/>
      <x:c r="C16" s="63" t="str">
        <x:v>&lt;isi nama&gt;</x:v>
      </x:c>
      <x:c r="D16" s="32"/>
      <x:c r="E16" s="31" t="str">
        <x:v>Jabatan*</x:v>
      </x:c>
      <x:c r="F16" s="32"/>
      <x:c r="G16" s="63" t="str">
        <x:v>&lt;isi jabatan&gt;</x:v>
      </x:c>
    </x:row>
    <x:row r="17">
      <x:c r="A17" s="31" t="str">
        <x:v>Unit Kerja*</x:v>
      </x:c>
      <x:c r="B17" s="32"/>
      <x:c r="C17" s="63" t="str">
        <x:v>&lt;isi unit kerja&gt;</x:v>
      </x:c>
      <x:c r="D17" s="32"/>
      <x:c r="E17" s="31" t="str">
        <x:v>No. HP/WA*</x:v>
      </x:c>
      <x:c r="F17" s="32"/>
      <x:c r="G17" s="63" t="str">
        <x:v>&lt;isi nomor aktif&gt;</x:v>
      </x:c>
    </x:row>
    <x:row r="18">
      <x:c r="A18" s="31" t="str">
        <x:v>Email Resmi*</x:v>
      </x:c>
      <x:c r="B18" s="32"/>
      <x:c r="C18" s="63" t="str">
        <x:v>&lt;isi email&gt;</x:v>
      </x:c>
      <x:c r="D18" s="32"/>
      <x:c r="E18" s="31" t="str">
        <x:v>Status</x:v>
      </x:c>
      <x:c r="F18" s="32"/>
      <x:c r="G18" s="63" t="str">
        <x:v>Tetap</x:v>
      </x:c>
    </x:row>
    <x:row r="20" ht="22" customHeight="1">
      <x:c r="A20" s="18" t="str">
        <x:v>D. KONFIRMASI RAPAT PENGUATAN PIC</x:v>
      </x:c>
      <x:c r="B20" s="18"/>
      <x:c r="C20" s="18"/>
      <x:c r="D20" s="18"/>
      <x:c r="E20" s="18"/>
      <x:c r="F20" s="18"/>
      <x:c r="G20" s="18"/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 t="str">
        <x:v>&lt;isi nama peserta&gt;</x:v>
      </x:c>
    </x:row>
    <x:row r="22">
      <x:c r="A22" s="31" t="str">
        <x:v>Pertanyaan/Kebutuhan Awal</x:v>
      </x:c>
      <x:c r="B22" s="32"/>
      <x:c r="C22" s="63" t="str">
        <x:v>&lt;misal: penjelasan data, jadwal, atau pihak yang perlu dihubungi&gt;</x:v>
      </x:c>
      <x:c r="D22" s="32"/>
      <x:c r="E22" s="32"/>
      <x:c r="F22" s="32"/>
      <x:c r="G22" s="32"/>
    </x:row>
    <x:row r="24">
      <x:c r="A24" s="66" t="str">
        <x:v>Data kontak digunakan untuk koordinasi, monitoring, evaluasi, dan tindak lanjut pelaksanaan kerja sama.</x:v>
      </x:c>
      <x:c r="B24" s="66"/>
      <x:c r="C24" s="66"/>
      <x:c r="D24" s="66"/>
      <x:c r="E24" s="66"/>
      <x:c r="F24" s="66"/>
      <x:c r="G24" s="66"/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UNRIKA</x:v>
      </x:c>
      <x:c r="B1" s="5"/>
      <x:c r="C1" s="5"/>
      <x:c r="D1" s="5"/>
      <x:c r="E1" s="5"/>
      <x:c r="F1" s="5"/>
    </x:row>
    <x:row r="2">
      <x:c r="A2" s="58" t="str">
        <x:v>Khusus untuk mencatat pelaksanaan yang sudah terjadi atau masih berjalan. Data awal dipertahankan: belum ada isian stakeholder.</x:v>
      </x:c>
      <x:c r="B2" s="58"/>
      <x:c r="C2" s="58"/>
      <x:c r="D2" s="58"/>
      <x:c r="E2" s="58"/>
      <x:c r="F2" s="58"/>
    </x:row>
    <x:row r="4">
      <x:c r="A4" s="70" t="str">
        <x:v>Isi kegiatan utama. Jika belum ada kegiatan, tabel boleh kosong.</x:v>
      </x:c>
      <x:c r="B4" s="70"/>
      <x:c r="C4" s="70"/>
      <x:c r="D4" s="70"/>
      <x:c r="E4" s="70"/>
      <x:c r="F4" s="70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(nama file/tautan)</x:v>
      </x:c>
      <x:c r="F6" s="49" t="str">
        <x:v>Kendala/Catatan</x:v>
      </x:c>
    </x:row>
    <x:row r="7">
      <x:c r="A7" s="32" t="str">
        <x:f>IF(B7="","",ROW()-6)</x:f>
      </x:c>
      <x:c r="B7" s="63"/>
      <x:c r="C7" s="63"/>
      <x:c r="D7" s="63"/>
      <x:c r="E7" s="63"/>
      <x:c r="F7" s="63"/>
    </x:row>
    <x:row r="8">
      <x:c r="A8" s="32" t="str">
        <x:f>IF(B8="","",ROW()-6)</x:f>
      </x:c>
      <x:c r="B8" s="63"/>
      <x:c r="C8" s="63"/>
      <x:c r="D8" s="63"/>
      <x:c r="E8" s="63"/>
      <x:c r="F8" s="63"/>
    </x:row>
    <x:row r="9">
      <x:c r="A9" s="32" t="str">
        <x:f>IF(B9="","",ROW()-6)</x:f>
      </x:c>
      <x:c r="B9" s="63"/>
      <x:c r="C9" s="63"/>
      <x:c r="D9" s="63"/>
      <x:c r="E9" s="63"/>
      <x:c r="F9" s="63"/>
    </x:row>
    <x:row r="10">
      <x:c r="A10" s="32" t="str">
        <x:f>IF(B10="","",ROW()-6)</x:f>
      </x:c>
      <x:c r="B10" s="63"/>
      <x:c r="C10" s="63"/>
      <x:c r="D10" s="63"/>
      <x:c r="E10" s="63"/>
      <x:c r="F10" s="63"/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UNRIKA</x:v>
      </x:c>
      <x:c r="B1" s="5"/>
      <x:c r="C1" s="5"/>
      <x:c r="D1" s="5"/>
      <x:c r="E1" s="5"/>
      <x:c r="F1" s="5"/>
    </x:row>
    <x:row r="2">
      <x:c r="A2" s="58" t="str">
        <x:v>Mencatat rencana ke depan, terpisah dari kegiatan yang sudah/sedang dilaksanakan. Data awal dipertahankan: belum ada isian stakeholder.</x:v>
      </x:c>
      <x:c r="B2" s="58"/>
      <x:c r="C2" s="58"/>
      <x:c r="D2" s="58"/>
      <x:c r="E2" s="58"/>
      <x:c r="F2" s="58"/>
    </x:row>
    <x:row r="4">
      <x:c r="A4" s="70" t="str">
        <x:v>Cukup isi usulan prioritas. Kolom bantuan dan pihak yang dilibatkan bersifat opsional.</x:v>
      </x:c>
      <x:c r="B4" s="70"/>
      <x:c r="C4" s="70"/>
      <x:c r="D4" s="70"/>
      <x:c r="E4" s="70"/>
      <x:c r="F4" s="70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</x:v>
      </x:c>
      <x:c r="F6" s="49" t="str">
        <x:v>Pihak yang Perlu Dilibatkan</x:v>
      </x:c>
    </x:row>
    <x:row r="7">
      <x:c r="A7" s="32" t="str">
        <x:f>IF(B7="","",ROW()-6)</x:f>
      </x:c>
      <x:c r="B7" s="63"/>
      <x:c r="C7" s="63"/>
      <x:c r="D7" s="63"/>
      <x:c r="E7" s="63"/>
      <x:c r="F7" s="63"/>
    </x:row>
    <x:row r="8">
      <x:c r="A8" s="32" t="str">
        <x:f>IF(B8="","",ROW()-6)</x:f>
      </x:c>
      <x:c r="B8" s="63"/>
      <x:c r="C8" s="63"/>
      <x:c r="D8" s="63"/>
      <x:c r="E8" s="63"/>
      <x:c r="F8" s="63"/>
    </x:row>
    <x:row r="9">
      <x:c r="A9" s="32" t="str">
        <x:f>IF(B9="","",ROW()-6)</x:f>
      </x:c>
      <x:c r="B9" s="63"/>
      <x:c r="C9" s="63"/>
      <x:c r="D9" s="63"/>
      <x:c r="E9" s="63"/>
      <x:c r="F9" s="63"/>
    </x:row>
    <x:row r="10">
      <x:c r="A10" s="32" t="str">
        <x:f>IF(B10="","",ROW()-6)</x:f>
      </x:c>
      <x:c r="B10" s="63"/>
      <x:c r="C10" s="63"/>
      <x:c r="D10" s="63"/>
      <x:c r="E10" s="63"/>
      <x:c r="F10" s="63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BASELINE V.0 TERINTEGRASI — MITRA KINERJA — UNRIKA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8" t="str">
        <x:v>Kolom A–I mempertahankan data baseline terakhir. Kolom J–K menarik pembaruan stakeholder secara otomatis tanpa mengubah status baseline.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C04</x:v>
      </x:c>
      <x:c r="C5" s="32"/>
      <x:c r="D5" s="31" t="str">
        <x:v>Status portofolio</x:v>
      </x:c>
      <x:c r="E5" s="32" t="str">
        <x:v>Cadangan</x:v>
      </x:c>
      <x:c r="F5" s="32"/>
      <x:c r="G5" s="31" t="str">
        <x:v>Nama pemeriksa</x:v>
      </x:c>
      <x:c r="H5" s="32" t="str">
        <x:v>SIMULASI AWAL — belum diverifikasi petugas</x:v>
      </x:c>
      <x:c r="I5" s="32"/>
      <x:c r="J5" s="32"/>
      <x:c r="K5" s="32"/>
    </x:row>
    <x:row r="6">
      <x:c r="A6" s="31" t="str">
        <x:v>Mitra</x:v>
      </x:c>
      <x:c r="B6" s="32" t="str">
        <x:v>Universitas Riau Kepulauan</x:v>
      </x:c>
      <x:c r="C6" s="32"/>
      <x:c r="D6" s="31"/>
      <x:c r="E6" s="32"/>
      <x:c r="F6" s="32"/>
      <x:c r="G6" s="31" t="str">
        <x:v>Unit/Tim pemeriksa</x:v>
      </x:c>
      <x:c r="H6" s="32" t="str">
        <x:v>Pokja Data / pemeriksa naskah (simulasi)</x:v>
      </x:c>
      <x:c r="I6" s="32"/>
      <x:c r="J6" s="32"/>
      <x:c r="K6" s="32"/>
    </x:row>
    <x:row r="7">
      <x:c r="A7" s="31" t="str">
        <x:v>Jenis awal</x:v>
      </x:c>
      <x:c r="B7" s="32" t="str">
        <x:v>MoU</x:v>
      </x:c>
      <x:c r="C7" s="32"/>
      <x:c r="D7" s="31" t="str">
        <x:v>Nomor naskah awal</x:v>
      </x:c>
      <x:c r="E7" s="32" t="str">
        <x:v>BELUM TERVERIFIKASI</x:v>
      </x:c>
      <x:c r="F7" s="32"/>
      <x:c r="G7" s="31" t="str">
        <x:v>Tanggal pemeriksaan</x:v>
      </x:c>
      <x:c r="H7" s="75" t="n">
        <x:v>46262</x:v>
      </x:c>
      <x:c r="I7" s="32"/>
      <x:c r="J7" s="32"/>
      <x:c r="K7" s="32"/>
    </x:row>
    <x:row r="8">
      <x:c r="A8" s="31" t="str">
        <x:v>Judul awal</x:v>
      </x:c>
      <x:c r="B8" s="32" t="str">
        <x:v>Pelayanan Hukum dan Fasilitasi Tri Dharma Perguruan Tinggi</x:v>
      </x:c>
      <x:c r="C8" s="32"/>
      <x:c r="D8" s="31"/>
      <x:c r="E8" s="32"/>
      <x:c r="F8" s="32"/>
      <x:c r="G8" s="31" t="str">
        <x:v>Cut-off baseline</x:v>
      </x:c>
      <x:c r="H8" s="75" t="n">
        <x:v>46262</x:v>
      </x:c>
      <x:c r="I8" s="32"/>
      <x:c r="J8" s="32"/>
      <x:c r="K8" s="32"/>
    </x:row>
    <x:row r="9">
      <x:c r="A9" s="31" t="str">
        <x:v>Tanggal mulai awal</x:v>
      </x:c>
      <x:c r="B9" s="75" t="n">
        <x:v>45996</x:v>
      </x:c>
      <x:c r="C9" s="32"/>
      <x:c r="D9" s="31" t="str">
        <x:v>Tanggal berakhir awal</x:v>
      </x:c>
      <x:c r="E9" s="75" t="n">
        <x:v>47821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stakeholder (otomatis)</x:v>
      </x:c>
      <x:c r="K12" s="49" t="str">
        <x:v>Catatan integrasi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TERVERIFIKASI</x:v>
      </x:c>
      <x:c r="G13" s="32" t="str">
        <x:v>Jenis, mitra, judul, nomor narahubung serta halaman tanda tangan dapat dicocokkan dengan hasil pencarian/naskah P2MA. Jenis, mitra, dan judul sesuai hasil pencarian P2MA.</x:v>
      </x:c>
      <x:c r="H13" s="32" t="str">
        <x:v>https://p2ma.kemenkum.go.id/uploads/kerjasama/naskah/1778057000.pdf</x:v>
      </x:c>
      <x:c r="I13" s="32" t="str">
        <x:v>Jenis, mitra, judul, nomor narahubung serta halaman tanda tangan dapat dicocokkan dengan hasil pencarian/naskah P2MA.</x:v>
      </x:c>
      <x:c r="J13" s="63" t="str">
        <x:f>'IDENTITAS &amp; PIC'!C5</x:f>
        <x:v>Universitas Riau Kepulauan (UNRIKA) 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P2MA publik menampilkan status Berlangsung, mulai 18 November 2025 dan berakhir 17 November 2030; tanggal sesuai data awal.</x:v>
      </x:c>
      <x:c r="H14" s="32" t="str">
        <x:v>https://p2ma.kemenkum.go.id/kdn/pencarian?tipe=1&amp;keyword=Universitas%20Riau%20Kepulauan</x:v>
      </x:c>
      <x:c r="I14" s="32" t="str">
        <x:v>Tanggal sesuai antara data awal dan P2MA publik.</x:v>
      </x:c>
      <x:c r="J14" s="63" t="str">
        <x:v>Tidak ada pembaruan periode dari stakeholder.</x:v>
      </x:c>
      <x:c r="K14" s="63" t="str">
        <x:f>IF(OR(LEFT(J14,9)="Belum ada",LEFT(J14,9)="Tidak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 pendidikan dan pengajaran; penelitian dan pengembangan hukum; pengabdian kepada masyarakat; MBKM; fasilitasi dan penguatan KI; pengembangan kompetensi SDM; asistensi JDIH; serta kegiatan lain yang disepakati.</x:v>
      </x:c>
      <x:c r="H15" s="32" t="str">
        <x:v>https://p2ma.kemenkum.go.id/uploads/kerjasama/naskah/1778057000.pdf</x:v>
      </x:c>
      <x:c r="I15" s="32" t="str">
        <x:v>Ruang lingkup merupakan komitmen dalam naskah, bukan bukti bahwa kegiatan telah dilaksanakan.</x:v>
      </x:c>
      <x:c r="J15" s="63" t="str">
        <x:f>IF('IDENTITAS &amp; PIC'!C8="","Belum ada isian ruang lingkup dari stakeholder",'IDENTITAS &amp; PIC'!C8)</x:f>
        <x:v>Belum ada isian ruang lingkup dari stakeholder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TERVERIFIKASI</x:v>
      </x:c>
      <x:c r="G16" s="32" t="str">
        <x:v>Salinan naskah dapat dibuka melalui P2MA. Lokasi arsip resmi internal, register, kelengkapan halaman, dan kemudahan temu kembali sudah dilakukan pemeriksaan.</x:v>
      </x:c>
      <x:c r="H16" s="32" t="str">
        <x:v>Naskah P2MA; arsip internal sudah di Arsiparis</x:v>
      </x:c>
      <x:c r="I16" s="32" t="str">
        <x:v>Minta lokasi folder/register resmi kepada tata usaha atau unit pengampu.</x:v>
      </x:c>
      <x:c r="J16" s="63" t="str">
        <x:v>Tidak ada pembaruan arsip dari stakeholder.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TERVERIFIKASI</x:v>
      </x:c>
      <x:c r="G17" s="32" t="str">
        <x:v>Entri publik P2MA ditemukan dengan status Berlangsung dan naskah PDF dapat dibuka. Dua hasil ditemukan; entri Fasilitasi Tri Dharma dan Pelayanan Hukum dipilih berdasarkan judul/PDF.</x:v>
      </x:c>
      <x:c r="H17" s="32" t="str">
        <x:v>https://p2ma.kemenkum.go.id/kdn/pencarian?tipe=1&amp;keyword=Universitas%20Riau%20Kepulauan</x:v>
      </x:c>
      <x:c r="I17" s="32" t="str">
        <x:v>Pemeriksaan publik dilakukan pada 28 Agustus 2026.</x:v>
      </x:c>
      <x:c r="J17" s="63" t="str">
        <x:v>Tidak ada pembaruan P2MA dari stakeholder.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BELUM TERSEDIA</x:v>
      </x:c>
      <x:c r="G18" s="32" t="str">
        <x:v>Naskah dan P2MA publik belum cukup untuk menetapkan unit internal yang bertanggung jawab atas implementasi kerja sama.</x:v>
      </x:c>
      <x:c r="H18" s="32" t="str">
        <x:v>Naskah/P2MA publik; ND, SK, pembagian tugas, atau konfirmasi unit belum diperoleh.</x:v>
      </x:c>
      <x:c r="I18" s="32" t="str">
        <x:v>Konfirmasi kepada pimpinan unit yang mengampu substansi kerja sama.</x:v>
      </x:c>
      <x:c r="J18" s="63" t="str">
        <x:v>Tidak ada data unit pengampu internal pada formulir mitra.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penetapan.</x:v>
      </x:c>
      <x:c r="E19" s="32" t="str">
        <x:v>ND/SK/daftar PIC; konfirmasi tertulis unit.</x:v>
      </x:c>
      <x:c r="F19" s="32" t="str">
        <x:v>BELUM TERSEDIA</x:v>
      </x:c>
      <x:c r="G19" s="32" t="str">
        <x:v>PIC internal utama dan cadangan belum dapat dipastikan dari sumber publik yang diperiksa.</x:v>
      </x:c>
      <x:c r="H19" s="32" t="str">
        <x:v>Daftar PIC, ND/SK, dan konfirmasi tertulis unit belum diperoleh.</x:v>
      </x:c>
      <x:c r="I19" s="32" t="str">
        <x:v>Penandatangan atau operator P2MA tidak otomatis menjadi PIC internal.</x:v>
      </x:c>
      <x:c r="J19" s="63" t="str">
        <x:v>Tidak ada data PIC internal pada formulir mitra.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TERSEDIA</x:v>
      </x:c>
      <x:c r="G20" s="32" t="str">
        <x:v>PIC operasional pihak mitra belum dikonfirmasi melalui surat, email resmi, atau formulir penunjukan.</x:v>
      </x:c>
      <x:c r="H20" s="32" t="str">
        <x:v>Surat/email/formulir penunjukan PIC mitra belum diperoleh.</x:v>
      </x:c>
      <x:c r="I20" s="32" t="str">
        <x:v>Penandatangan atau koresponden dalam naskah tidak otomatis menjadi PIC operasional.</x:v>
      </x:c>
      <x:c r="J20" s="63" t="str">
        <x:f>IF('IDENTITAS &amp; PIC'!C11="","Belum ada PIC mitra yang diisi","PIC mitra: "&amp;'IDENTITAS &amp; PIC'!C11&amp;" | Jabatan: "&amp;'IDENTITAS &amp; PIC'!G11&amp;" | Email: "&amp;'IDENTITAS &amp; PIC'!C13&amp;" | Status: "&amp;'IDENTITAS &amp; PIC'!G13)</x:f>
        <x:v>PIC mitra: Ajeng Handayani Purwaningrum, B.Ec., M.B.A | Jabatan: Kepala Bagian Kerjasama  | Email: kerjasama@unrika.ac.id | Status: Tetap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dan/atau PIC.</x:v>
      </x:c>
      <x:c r="E21" s="32" t="str">
        <x:v>Rencana aksi; matriks kerja; kalender; notula.</x:v>
      </x:c>
      <x:c r="F21" s="32" t="str">
        <x:v>BELUM TERSEDIA</x:v>
      </x:c>
      <x:c r="G21" s="32" t="str">
        <x:v>Ruang lingkup naskah tersedia, tetapi belum ditemukan rencana aksi atau komitmen operasional yang memuat kegiatan, periode, target, dan PIC.</x:v>
      </x:c>
      <x:c r="H21" s="32" t="str">
        <x:v>Rencana aksi, matriks kerja, kalender, atau notula belum diperoleh.</x:v>
      </x:c>
      <x:c r="I21" s="32" t="str">
        <x:v>Ruang lingkup umum dalam MoU/PKS tidak otomatis menjadi rencana tindak lanjut.</x:v>
      </x:c>
      <x:c r="J21" s="63" t="str">
        <x:f>IF(COUNTIF('USULAN TINDAK LANJUT'!B7:B10,"?*")=0,"Belum ada usulan tindak lanjut dari stakeholder","Jumlah usulan: "&amp;COUNTIF('USULAN TINDAK LANJUT'!B7:B10,"?*")&amp;" | Prioritas pertama: "&amp;'USULAN TINDAK LANJUT'!B7&amp;" | Target: "&amp;'USULAN TINDAK LANJUT'!C7)</x:f>
        <x:v>Belum ada usulan tindak lanjut dari stakeholder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dihasilkan.</x:v>
      </x:c>
      <x:c r="E22" s="32" t="str">
        <x:v>Laporan; undangan; notula; daftar hadir; data hasil.</x:v>
      </x:c>
      <x:c r="F22" s="32" t="str">
        <x:v>TERVERIFIKASI</x:v>
      </x:c>
      <x:c r="G22" s="32" t="str">
        <x:v>Status Berlangsung pada P2MA belum membuktikan kegiatan atau output. Laporan pelaksanaan dapat dilihat pada tautan sumber.</x:v>
      </x:c>
      <x:c r="H22" s="32" t="str">
        <x:v>https://docs.google.com/document/d/1RfqY5bMz02A74Q6n_h5H4p5K49gJs-wt/edit?usp=sharing&amp;ouid=105903537206162602132&amp;rtpof=true&amp;sd=truee</x:v>
      </x:c>
      <x:c r="I22" s="32" t="str"/>
      <x:c r="J22" s="63" t="str">
        <x:f>IF(COUNTIF('PELAKSANAAN KEGIATAN'!B7:B10,"?*")=0,"Belum ada kegiatan yang diisi stakeholder","Jumlah kegiatan: "&amp;COUNTIF('PELAKSANAAN KEGIATAN'!B7:B10,"?*")&amp;" | Kegiatan pertama: "&amp;'PELAKSANAAN KEGIATAN'!B7&amp;" | Status: "&amp;'PELAKSANAAN KEGIATAN'!C7)</x:f>
        <x:v>Belum ada kegiatan yang diisi stakeholder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Naskah dan entri P2MA tersedia, tetapi folder resmi, indeks, serta bukti implementasi belum diperiksa.</x:v>
      </x:c>
      <x:c r="H23" s="32" t="str">
        <x:v>Folder eviden, indeks bukti, dan dokumen/data kegiatan belum diperoleh.</x:v>
      </x:c>
      <x:c r="I23" s="32" t="str">
        <x:v>Belum terdapat Kegiatan bersama</x:v>
      </x:c>
      <x:c r="J23" s="63" t="str">
        <x:f>IF(COUNTIF('PELAKSANAAN KEGIATAN'!E7:E10,"?*")=0,"Belum ada bukti kegiatan yang diisi stakeholder","Jumlah kegiatan dengan bukti: "&amp;COUNTIF('PELAKSANAAN KEGIATAN'!E7:E10,"?*")&amp;" | Bukti pertama: "&amp;'PELAKSANAAN KEGIATAN'!E7)</x:f>
        <x:v>Belum ada bukti kegiatan yang diisi stakeholder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dikonfirmasi.</x:v>
      </x:c>
      <x:c r="E24" s="32" t="str">
        <x:v>Konfirmasi unit/PIC/mitra; notula; laporan; bukti keterlambatan.</x:v>
      </x:c>
      <x:c r="F24" s="32" t="str">
        <x:v>BELUM TERSEDIA</x:v>
      </x:c>
      <x:c r="G24" s="32" t="str">
        <x:v>Hambatan operasional belum dikonfirmasi. Gap verifikasi sementara mencakup arsip internal, unit pengampu, PIC, rencana tindak lanjut, pelaksanaan, dan eviden. Tanggal mulai dan berakhir berbeda antara data awal dan P2MA publik.</x:v>
      </x:c>
      <x:c r="H24" s="32" t="str">
        <x:v>Penelusuran publik P2MA; konfirmasi unit/PIC/mitra belum dilakukan.</x:v>
      </x:c>
      <x:c r="I24" s="32" t="str">
        <x:v>Belum terdapat Kegiatan bersama</x:v>
      </x:c>
      <x:c r="J24" s="63" t="str">
        <x:f>IF(COUNTIF('PELAKSANAAN KEGIATAN'!F7:F10,"?*")=0,"Belum ada kendala/catatan dari stakeholder","Kendala/catatan pertama: "&amp;'PELAKSANAAN KEGIATAN'!F7)</x:f>
        <x:v>Belum ada kendala/catatan dari stakeholder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7" ht="22" customHeight="1">
      <x:c r="A27" s="18" t="str">
        <x:v>RINGKASAN BASELINE V.0</x:v>
      </x:c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9">
      <x:c r="A29" s="49" t="str">
        <x:v>Status Elemen</x:v>
      </x:c>
      <x:c r="B29" s="49" t="str">
        <x:v>Jumlah</x:v>
      </x:c>
      <x:c r="C29" s="49"/>
      <x:c r="D29" s="49" t="str">
        <x:v>Indikator</x:v>
      </x:c>
      <x:c r="E29" s="49" t="str">
        <x:v>Hasil</x:v>
      </x:c>
    </x:row>
    <x:row r="30">
      <x:c r="A30" s="32" t="str">
        <x:v>Terverifikasi</x:v>
      </x:c>
      <x:c r="B30" s="32" t="n">
        <x:f>COUNTIF(F13:F24,"TERVERIFIKASI")</x:f>
        <x:v>6</x:v>
      </x:c>
      <x:c r="C30" s="32"/>
      <x:c r="D30" s="32" t="str">
        <x:v>Kelengkapan pemeriksaan</x:v>
      </x:c>
      <x:c r="E30" s="37" t="n">
        <x:f>1-B34/12</x:f>
        <x:v>1</x:v>
      </x:c>
    </x:row>
    <x:row r="31">
      <x:c r="A31" s="32" t="str">
        <x:v>Belum Terverifikasi</x:v>
      </x:c>
      <x:c r="B31" s="32" t="n">
        <x:f>COUNTIF(F13:F24,"BELUM TERVERIFIKASI")</x:f>
        <x:v>0</x:v>
      </x:c>
      <x:c r="C31" s="32"/>
      <x:c r="D31" s="32" t="str">
        <x:v>Proporsi status terverifikasi</x:v>
      </x:c>
      <x:c r="E31" s="37" t="n">
        <x:f>B30/12</x:f>
        <x:v>0.5</x:v>
      </x:c>
    </x:row>
    <x:row r="32">
      <x:c r="A32" s="32" t="str">
        <x:v>Belum Tersedia</x:v>
      </x:c>
      <x:c r="B32" s="32" t="n">
        <x:f>COUNTIF(F13:F24,"BELUM TERSEDIA")</x:f>
        <x:v>6</x:v>
      </x:c>
      <x:c r="C32" s="32"/>
      <x:c r="D32" s="32" t="str">
        <x:v>Status pengisian baseline</x:v>
      </x:c>
      <x:c r="E32" s="32" t="str">
        <x:v>SELESAI DIISI</x:v>
      </x:c>
    </x:row>
    <x:row r="33">
      <x:c r="A33" s="32" t="str">
        <x:v>Tidak Relevan</x:v>
      </x:c>
      <x:c r="B33" s="32" t="n">
        <x:f>COUNTIF(F13:F24,"TIDAK RELEVAN")</x:f>
        <x:v>0</x:v>
      </x:c>
      <x:c r="C33" s="32"/>
      <x:c r="D33" s="32"/>
      <x:c r="E33" s="32"/>
    </x:row>
    <x:row r="34">
      <x:c r="A34" s="32" t="str">
        <x:v>Belum Diisi</x:v>
      </x:c>
      <x:c r="B34" s="32" t="n">
        <x:f>COUNTBLANK(F13:F24)</x:f>
        <x:v>0</x:v>
      </x:c>
      <x:c r="C34" s="32"/>
      <x:c r="D34" s="32"/>
      <x:c r="E34" s="32"/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UNRIKA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8" t="str">
        <x:v>Terhubung dengan Baseline UNRIKA. Referensi otomatis berubah saat data stakeholder diperbarui, namun status bukti dan skor tetap dikendalikan pemeriksa.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5" ht="22" customHeight="1">
      <x:c r="A5" s="18" t="str">
        <x:v>A. IDENTITAS DAN KONTROL</x:v>
      </x:c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31" t="str">
        <x:v>Kode</x:v>
      </x:c>
      <x:c r="B6" s="32" t="str">
        <x:v>C04</x:v>
      </x:c>
      <x:c r="C6" s="31" t="str">
        <x:v>Portofolio</x:v>
      </x:c>
      <x:c r="D6" s="32" t="str">
        <x:v>Cadangan</x:v>
      </x:c>
      <x:c r="E6" s="31" t="str">
        <x:v>Cut-off</x:v>
      </x:c>
      <x:c r="F6" s="75" t="n">
        <x:v>46262</x:v>
      </x:c>
      <x:c r="G6" s="31" t="str">
        <x:v>Pemeriksa</x:v>
      </x:c>
      <x:c r="H6" s="32"/>
      <x:c r="I6" s="31"/>
      <x:c r="J6" s="32"/>
    </x:row>
    <x:row r="7">
      <x:c r="A7" s="31" t="str">
        <x:v>Mitra</x:v>
      </x:c>
      <x:c r="B7" s="32" t="str">
        <x:v>Universitas Riau Kepulauan</x:v>
      </x:c>
      <x:c r="C7" s="31"/>
      <x:c r="D7" s="32"/>
      <x:c r="E7" s="31"/>
      <x:c r="F7" s="32"/>
      <x:c r="G7" s="31" t="str">
        <x:v>Jenis</x:v>
      </x:c>
      <x:c r="H7" s="32" t="str">
        <x:v>MoU</x:v>
      </x:c>
      <x:c r="I7" s="31" t="str">
        <x:v>Sumber baseline</x:v>
      </x:c>
      <x:c r="J7" s="32" t="str">
        <x:v>BASELINE UNRIKA</x:v>
      </x:c>
    </x:row>
    <x:row r="8">
      <x:c r="A8" s="31" t="str">
        <x:v>Judul</x:v>
      </x:c>
      <x:c r="B8" s="32" t="str">
        <x:v>Pelayanan Hukum dan Fasilitasi Tri Dharma Perguruan Tinggi</x:v>
      </x:c>
      <x:c r="C8" s="31"/>
      <x:c r="D8" s="32"/>
      <x:c r="E8" s="31"/>
      <x:c r="F8" s="32"/>
      <x:c r="G8" s="31"/>
      <x:c r="H8" s="32"/>
      <x:c r="I8" s="31"/>
      <x:c r="J8" s="32"/>
    </x:row>
    <x:row r="9">
      <x:c r="A9" s="31" t="str">
        <x:v>Mulai</x:v>
      </x:c>
      <x:c r="B9" s="75" t="n">
        <x:v>45996</x:v>
      </x:c>
      <x:c r="C9" s="86" t="str">
        <x:v>Berakhir</x:v>
      </x:c>
      <x:c r="D9" s="75" t="n">
        <x:v>47821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1559</x:v>
      </x:c>
      <x:c r="I9" s="31" t="str">
        <x:v>Tanggal review</x:v>
      </x:c>
      <x:c r="J9" s="75" t="n">
        <x:v>46276</x:v>
      </x:c>
    </x:row>
    <x:row r="11" ht="22" customHeight="1">
      <x:c r="A11" s="18" t="str">
        <x:v>B. PENILAIAN INTI — ENAM INDIKATOR</x:v>
      </x:c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terintegrasi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</x:v>
      </x:c>
      <x:c r="C13" s="32" t="n">
        <x:v>15</x:v>
      </x:c>
      <x:c r="D13" s="32" t="str">
        <x:f>"Identitas "&amp;'BASELINE UNRIKA'!F13&amp;"; arsip "&amp;'BASELINE UNRIKA'!F16&amp;"; P2MA "&amp;'BASELINE UNRIKA'!F17&amp;"; PIC internal "&amp;'BASELINE UNRIKA'!F19&amp;"; PIC mitra "&amp;'BASELINE UNRIKA'!F20&amp;". Update stakeholder: "&amp;'BASELINE UNRIKA'!J20</x:f>
        <x:v>Identitas TERVERIFIKASI; arsip TERVERIFIKASI; P2MA TERVERIFIKASI; PIC internal BELUM TERSEDIA; PIC mitra BELUM TERSEDIA. Update stakeholder: PIC mitra: Ajeng Handayani Purwaningrum, B.Ec., M.B.A | Jabatan: Kepala Bagian Kerjasama  | Email: kerjasama@unrika.ac.id | Status: Tetap</x:v>
      </x:c>
      <x:c r="E13" s="63" t="str">
        <x:v>BUKTI MEMADAI</x:v>
      </x:c>
      <x:c r="F13" s="63" t="str">
        <x:v>Baseline baris 13–20: naskah/metadata dasar dapat ditelusuri. Status identitas=TERVERIFIKASI, arsip=TERVERIFIKASI, P2MA=TERVERIFIKASI, PIC internal=BELUM TERSEDIA, PIC mitra=BELUM TERSEDIA.</x:v>
      </x:c>
      <x:c r="G13" s="63" t="n">
        <x:v>1</x:v>
      </x:c>
      <x:c r="H13" s="63" t="str">
        <x:v>Sesuai skor 1: naskah tersedia, tetapi tata kelola operasional masih terbatas; PIC dua pihak dan/atau bukti penetapan/konfirmasi belum memadai untuk skor yang lebih tinggi.</x:v>
      </x:c>
      <x:c r="I13" s="32" t="n">
        <x:f>IF(AND(E13="BUKTI MEMADAI",G13&lt;&gt;""),G13/4*C13,"")</x:f>
        <x:v>3.75</x:v>
      </x:c>
      <x:c r="J13" s="32" t="str">
        <x:f>IF(E13="BELUM DITELAAH","PERIKSA BUKTI",IF(E13="BUKTI MEMADAI",IF(G13="","ISI SKOR",IF(F13="","TULIS TEMUAN/BUKTI",IF(H13="","TULIS ALASAN","OK"))),IF(OR(E13="BUKTI BELUM MEMADAI",E13="BELUM DAPAT DINILAI"),IF(G13&lt;&gt;"","HAPUS SKOR","BELUM DIISI"),"PERIKSA STATUS")))</x:f>
        <x:v>OK</x:v>
      </x:c>
    </x:row>
    <x:row r="14">
      <x:c r="A14" s="32" t="str">
        <x:v>I2</x:v>
      </x:c>
      <x:c r="B14" s="32" t="str">
        <x:v>Kejelasan tindak lanjut</x:v>
      </x:c>
      <x:c r="C14" s="32" t="n">
        <x:v>20</x:v>
      </x:c>
      <x:c r="D14" s="32" t="str">
        <x:f>"Rencana tindak lanjut "&amp;'BASELINE UNRIKA'!F21&amp;". "&amp;'BASELINE UNRIKA'!J21</x:f>
        <x:v>Rencana tindak lanjut BELUM TERSEDIA. Belum ada usulan tindak lanjut dari stakeholder</x:v>
      </x:c>
      <x:c r="E14" s="63" t="str">
        <x:v>BUKTI BELUM MEMADAI</x:v>
      </x:c>
      <x:c r="F14" s="63" t="str">
        <x:v>Baseline baris 21 — Rencana tindak lanjut: BELUM TERSEDIA. Ruang lingkup naskah tersedia, tetapi belum ditemukan rencana aksi atau komitmen operasional yang memuat kegiatan, periode, target, dan PIC.</x:v>
      </x:c>
      <x:c r="G14" s="63"/>
      <x:c r="H14" s="63" t="str">
        <x:v>Belum diberi skor karena informasi 'belum ditemukan/belum tersedia' pada baseline belum selalu membuktikan secara memadai bahwa tindak lanjut memang tidak ada.</x:v>
      </x:c>
      <x:c r="I14" s="32" t="str">
        <x:f>IF(AND(E14="BUKTI MEMADAI",G14&lt;&gt;""),G14/4*C14,"")</x:f>
      </x:c>
      <x:c r="J14" s="32" t="str">
        <x:f>IF(E14="BELUM DITELAAH","PERIKSA BUKTI",IF(E14="BUKTI MEMADAI",IF(G14="","ISI SKOR",IF(F14="","TULIS TEMUAN/BUKTI",IF(H14="","TULIS ALASAN","OK"))),IF(OR(E14="BUKTI BELUM MEMADAI",E14="BELUM DAPAT DINILAI"),IF(G14&lt;&gt;"","HAPUS SKOR","BELUM DIISI"),"PERIKSA STATUS")))</x:f>
        <x:v>BELUM DIISI</x:v>
      </x:c>
    </x:row>
    <x:row r="15">
      <x:c r="A15" s="32" t="str">
        <x:v>I3</x:v>
      </x:c>
      <x:c r="B15" s="32" t="str">
        <x:v>Realisasi kegiatan terhadap rencana</x:v>
      </x:c>
      <x:c r="C15" s="32" t="n">
        <x:v>20</x:v>
      </x:c>
      <x:c r="D15" s="32" t="str">
        <x:f>"Pelaksanaan/hasil "&amp;'BASELINE UNRIKA'!F22&amp;". "&amp;'BASELINE UNRIKA'!J22</x:f>
        <x:v>Pelaksanaan/hasil TERVERIFIKASI. Belum ada kegiatan yang diisi stakeholder</x:v>
      </x:c>
      <x:c r="E15" s="63" t="str">
        <x:v>BUKTI MEMADAI</x:v>
      </x:c>
      <x:c r="F15" s="63" t="str">
        <x:v>Baseline baris 22 — Pelaksanaan dan hasil: TERVERIFIKASI. Tersedia satu tautan laporan pelaksanaan; belum tersedia rencana/target tertulis sebagai pembanding realisasi.</x:v>
      </x:c>
      <x:c r="G15" s="63" t="n">
        <x:v>1</x:v>
      </x:c>
      <x:c r="H15" s="63" t="str">
        <x:v>Sesuai skor 1: terdapat kegiatan yang dapat ditelusuri, tetapi belum tersedia rencana/target tertulis sebagai pembanding realisasi; diperlakukan sebagai kegiatan ad hoc.</x:v>
      </x:c>
      <x:c r="I15" s="32" t="n">
        <x:f>IF(AND(E15="BUKTI MEMADAI",G15&lt;&gt;""),G15/4*C15,"")</x:f>
        <x:v>5</x:v>
      </x:c>
      <x:c r="J15" s="32" t="str">
        <x:f>IF(E15="BELUM DITELAAH","PERIKSA BUKTI",IF(E15="BUKTI MEMADAI",IF(G15="","ISI SKOR",IF(F15="","TULIS TEMUAN/BUKTI",IF(H15="","TULIS ALASAN","OK"))),IF(OR(E15="BUKTI BELUM MEMADAI",E15="BELUM DAPAT DINILAI"),IF(G15&lt;&gt;"","HAPUS SKOR","BELUM DIISI"),"PERIKSA STATUS")))</x:f>
        <x:v>OK</x:v>
      </x:c>
    </x:row>
    <x:row r="16">
      <x:c r="A16" s="32" t="str">
        <x:v>I4</x:v>
      </x:c>
      <x:c r="B16" s="32" t="str">
        <x:v>Kelengkapan dan konsolidasi eviden</x:v>
      </x:c>
      <x:c r="C16" s="32" t="n">
        <x:v>15</x:v>
      </x:c>
      <x:c r="D16" s="32" t="str">
        <x:f>"Eviden implementasi "&amp;'BASELINE UNRIKA'!F23&amp;". "&amp;'BASELINE UNRIKA'!J23</x:f>
        <x:v>Eviden implementasi BELUM TERSEDIA. Belum ada bukti kegiatan yang diisi stakeholder</x:v>
      </x:c>
      <x:c r="E16" s="63" t="str">
        <x:v>BUKTI MEMADAI</x:v>
      </x:c>
      <x:c r="F16" s="63" t="str">
        <x:v>Baseline baris 22–23: tersedia satu tautan laporan pelaksanaan pada unsur pelaksanaan/hasil. Folder resmi, indeks bukti, dan konsolidasi eviden belum terverifikasi.</x:v>
      </x:c>
      <x:c r="G16" s="63" t="n">
        <x:v>1</x:v>
      </x:c>
      <x:c r="H16" s="63" t="str">
        <x:v>Sesuai skor 1: eviden yang dapat ditelusuri masih sangat terbatas; folder resmi, indeks, dan konsolidasi eviden belum tersedia.</x:v>
      </x:c>
      <x:c r="I16" s="32" t="n">
        <x:f>IF(AND(E16="BUKTI MEMADAI",G16&lt;&gt;""),G16/4*C16,"")</x:f>
        <x:v>3.75</x:v>
      </x:c>
      <x:c r="J16" s="32" t="str">
        <x:f>IF(E16="BELUM DITELAAH","PERIKSA BUKTI",IF(E16="BUKTI MEMADAI",IF(G16="","ISI SKOR",IF(F16="","TULIS TEMUAN/BUKTI",IF(H16="","TULIS ALASAN","OK"))),IF(OR(E16="BUKTI BELUM MEMADAI",E16="BELUM DAPAT DINILAI"),IF(G16&lt;&gt;"","HAPUS SKOR","BELUM DIISI"),"PERIKSA STATUS")))</x:f>
        <x:v>OK</x:v>
      </x:c>
    </x:row>
    <x:row r="17">
      <x:c r="A17" s="32" t="str">
        <x:v>I5</x:v>
      </x:c>
      <x:c r="B17" s="32" t="str">
        <x:v>Kontribusi terhadap kebutuhan kinerja organisasi</x:v>
      </x:c>
      <x:c r="C17" s="32" t="n">
        <x:v>20</x:v>
      </x:c>
      <x:c r="D17" s="32" t="str">
        <x:f>"Pelaksanaan/hasil "&amp;'BASELINE UNRIKA'!F22&amp;". "&amp;'BASELINE UNRIKA'!J22</x:f>
        <x:v>Pelaksanaan/hasil TERVERIFIKASI. Belum ada kegiatan yang diisi stakeholder</x:v>
      </x:c>
      <x:c r="E17" s="63" t="str">
        <x:v>BUKTI BELUM MEMADAI</x:v>
      </x:c>
      <x:c r="F17" s="63" t="str">
        <x:v>Baseline baris 22 — Pelaksanaan dan hasil: TERVERIFIKASI. Target, output, hasil, dan data manfaat terukur belum tersedia secara lengkap.</x:v>
      </x:c>
      <x:c r="G17" s="63"/>
      <x:c r="H17" s="63" t="str">
        <x:v>Belum diberi skor karena output/hasil belum dapat dibandingkan dengan target organisasi dan data manfaat belum memadai.</x:v>
      </x:c>
      <x:c r="I17" s="32" t="str">
        <x:f>IF(AND(E17="BUKTI MEMADAI",G17&lt;&gt;""),G17/4*C17,"")</x:f>
      </x:c>
      <x:c r="J17" s="32" t="str">
        <x:f>IF(E17="BELUM DITELAAH","PERIKSA BUKTI",IF(E17="BUKTI MEMADAI",IF(G17="","ISI SKOR",IF(F17="","TULIS TEMUAN/BUKTI",IF(H17="","TULIS ALASAN","OK"))),IF(OR(E17="BUKTI BELUM MEMADAI",E17="BELUM DAPAT DINILAI"),IF(G17&lt;&gt;"","HAPUS SKOR","BELUM DIISI"),"PERIKSA STATUS")))</x:f>
        <x:v>BELUM DIISI</x:v>
      </x:c>
    </x:row>
    <x:row r="18">
      <x:c r="A18" s="32" t="str">
        <x:v>I6</x:v>
      </x:c>
      <x:c r="B18" s="32" t="str">
        <x:v>Keberlanjutan dan risiko</x:v>
      </x:c>
      <x:c r="C18" s="32" t="n">
        <x:v>10</x:v>
      </x:c>
      <x:c r="D18" s="32" t="str">
        <x:f>"Masa berlaku "&amp;'BASELINE UNRIKA'!F14&amp;"; PIC internal "&amp;'BASELINE UNRIKA'!F19&amp;"; PIC mitra "&amp;'BASELINE UNRIKA'!F20&amp;"; hambatan/gap "&amp;'BASELINE UNRIKA'!F24&amp;". "&amp;'BASELINE UNRIKA'!J24</x:f>
        <x:v>Masa berlaku TERVERIFIKASI; PIC internal BELUM TERSEDIA; PIC mitra BELUM TERSEDIA; hambatan/gap BELUM TERSEDIA. Belum ada kendala/catatan dari stakeholder</x:v>
      </x:c>
      <x:c r="E18" s="63" t="str">
        <x:v>BUKTI BELUM MEMADAI</x:v>
      </x:c>
      <x:c r="F18" s="63" t="str">
        <x:v>Masa berlaku TERVERIFIKASI. PIC internal BELUM TERSEDIA; PIC mitra BELUM TERSEDIA; rencana tindak lanjut BELUM TERSEDIA; hambatan/gap BELUM TERSEDIA.</x:v>
      </x:c>
      <x:c r="G18" s="63"/>
      <x:c r="H18" s="63" t="str">
        <x:v>Belum diberi skor karena risiko, dampak, mitigasi, pemantauan, dan keputusan keberlanjutan belum dinilai dengan bukti yang memadai.</x:v>
      </x:c>
      <x:c r="I18" s="32" t="str">
        <x:f>IF(AND(E18="BUKTI MEMADAI",G18&lt;&gt;""),G18/4*C18,"")</x:f>
      </x:c>
      <x:c r="J18" s="32" t="str">
        <x:f>IF(E18="BELUM DITELAAH","PERIKSA BUKTI",IF(E18="BUKTI MEMADAI",IF(G18="","ISI SKOR",IF(F18="","TULIS TEMUAN/BUKTI",IF(H18="","TULIS ALASAN","OK"))),IF(OR(E18="BUKTI BELUM MEMADAI",E18="BELUM DAPAT DINILAI"),IF(G18&lt;&gt;"","HAPUS SKOR","BELUM DIISI"),"PERIKSA STATUS")))</x:f>
        <x:v>BELUM DIISI</x:v>
      </x:c>
    </x:row>
    <x:row r="20" ht="22" customHeight="1">
      <x:c r="A20" s="18" t="str">
        <x:v>C. RINGKASAN NILAI DAN VALIDASI</x:v>
      </x:c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32" t="str">
        <x:v>Nilai berjalan</x:v>
      </x:c>
      <x:c r="B21" s="35" t="n">
        <x:f>SUM(I13:I18)</x:f>
        <x:v>12.5</x:v>
      </x:c>
      <x:c r="C21" s="32" t="str">
        <x:v>Kelengkapan</x:v>
      </x:c>
      <x:c r="D21" s="37" t="n">
        <x:f>COUNT(G13:G18)/6</x:f>
        <x:v>0.5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BELUM LENGKAP</x:v>
      </x:c>
      <x:c r="G21" s="32" t="str">
        <x:v>Status Scorecard</x:v>
      </x:c>
      <x:c r="H21" s="32" t="str">
        <x:f>IF(D21&lt;1,"BELUM LENGKAP",IF(B22="DISETUJUI","FINAL/TERVALIDASI","SIAP DIVALIDASI"))</x:f>
        <x:v>BELUM LENGKAP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5" ht="22" customHeight="1">
      <x:c r="A25" s="18" t="str">
        <x:v>D. EARLY WARNING — TERPISAH DARI NILAI SCORECARD</x:v>
      </x:c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UNRIKA'!G14</x:f>
        <x:v>P2MA publik menampilkan status Berlangsung, mulai 18 November 2025 dan berakhir 17 November 2030; tanggal sesuai data awal.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IF(COUNTIF('PELAKSANAAN KEGIATAN'!B7:B10,"?*")=0,"BELUM DIPERIKSA","ADA DATA KEGIATAN BARU")</x:f>
        <x:v>BELUM DIPERIKSA</x:v>
      </x:c>
      <x:c r="D28" s="32" t="str">
        <x:f>IF(C28="BELUM DIPERIKSA","V0 - DATA BELUM CUKUP","V0 - DATA BELUM CUKUP")</x:f>
        <x:v>V0 - DATA BELUM CUKUP</x:v>
      </x:c>
      <x:c r="E28" s="32" t="str">
        <x:f>'BASELINE UNRIKA'!J22</x:f>
        <x:v>Belum ada kegiatan yang diisi stakeholder</x:v>
      </x:c>
      <x:c r="F28" s="63"/>
      <x:c r="G28" s="63"/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DATA</x:v>
      </x:c>
    </x:row>
    <x:row r="29">
      <x:c r="A29" s="32" t="n">
        <x:v>3</x:v>
      </x:c>
      <x:c r="B29" s="32" t="str">
        <x:v>Data/eviden</x:v>
      </x:c>
      <x:c r="C29" s="32" t="str">
        <x:f>IF(COUNTIF('PELAKSANAAN KEGIATAN'!E7:E10,"?*")=0,"BELUM DIPERIKSA","ADA BUKTI BARU - PERLU VERIFIKASI")</x:f>
        <x:v>BELUM DIPERIKSA</x:v>
      </x:c>
      <x:c r="D29" s="32" t="str">
        <x:f>"V0 - DATA BELUM CUKUP"</x:f>
        <x:v>V0 - DATA BELUM CUKUP</x:v>
      </x:c>
      <x:c r="E29" s="32" t="str">
        <x:f>'BASELINE UNRIKA'!J23</x:f>
        <x:v>Belum ada bukti kegiatan yang diisi stakeholder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IF('IDENTITAS &amp; PIC'!C11="","BELUM DIPERIKSA",IF('BASELINE UNRIKA'!F19="TERVERIFIKASI","PIC DUA PIHAK TERSEDIA","PIC MITRA TERSEDIA; INTERNAL BELUM TERVERIFIKASI"))</x:f>
        <x:v>PIC MITRA TERSEDIA; INTERNAL BELUM TERVERIFIKASI</x:v>
      </x:c>
      <x:c r="D30" s="32" t="str">
        <x:f>IF(C30="PIC DUA PIHAK TERSEDIA","E0 - HIJAU","V0 - DATA BELUM CUKUP")</x:f>
        <x:v>V0 - DATA BELUM CUKUP</x:v>
      </x:c>
      <x:c r="E30" s="32" t="str">
        <x:f>'BASELINE UNRIKA'!J20</x:f>
        <x:v>PIC mitra: Ajeng Handayani Purwaningrum, B.Ec., M.B.A | Jabatan: Kepala Bagian Kerjasama  | Email: kerjasama@unrika.ac.id | Status: Tetap</x:v>
      </x:c>
      <x:c r="F30" s="63"/>
      <x:c r="G30" s="63"/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DATA</x:v>
      </x:c>
    </x:row>
    <x:row r="32">
      <x:c r="A32" s="32" t="str">
        <x:v>Warning tertinggi</x:v>
      </x:c>
      <x:c r="B32" s="32" t="str">
        <x:f>IF(COUNTIF(D27:D30,"E3 - MERAH")&gt;0,"E3 - MERAH",IF(COUNTIF(D27:D30,"E2 - JINGGA")&gt;0,"E2 - JINGGA",IF(COUNTIF(D27:D30,"E1 - KUNING")&gt;0,"E1 - KUNING",IF(COUNTIF(D27:D30,"V0 - DATA BELUM CUKUP")&gt;0,"V0 - DATA BELUM CUKUP","E0 - HIJAU"))))</x:f>
        <x:v>V0 - DATA BELUM CUKUP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LENGKAPI DATA</x:v>
      </x:c>
    </x:row>
    <x:row r="35" ht="22" customHeight="1">
      <x:c r="A35" s="18" t="str">
        <x:v>E. UJI KEBUTUHAN INTERVENSI PIMPINAN</x:v>
      </x:c>
      <x:c r="B35" s="18"/>
      <x:c r="C35" s="18"/>
      <x:c r="D35" s="18"/>
      <x:c r="E35" s="18"/>
      <x:c r="F35" s="18"/>
      <x:c r="G35" s="18"/>
      <x:c r="H35" s="18"/>
      <x:c r="I35" s="18"/>
      <x:c r="J35" s="18"/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</x:row>
    <x:row r="40">
      <x:c r="A40" s="32" t="n">
        <x:v>4</x:v>
      </x:c>
      <x:c r="B40" s="32" t="str">
        <x:v>Komitmen utama mitra belum dipenuhi dan menghambat pelaksanaan</x:v>
      </x:c>
      <x:c r="C40" s="63" t="str">
        <x:v>BELUM DIPASTIKAN</x:v>
      </x:c>
      <x:c r="D40" s="63"/>
    </x:row>
    <x:row r="41">
      <x:c r="A41" s="32" t="n">
        <x:v>5</x:v>
      </x:c>
      <x:c r="B41" s="32" t="str">
        <x:v>Terdapat risiko penting yang membutuhkan perhatian/keputusan pimpinan</x:v>
      </x:c>
      <x:c r="C41" s="63" t="str">
        <x:v>BELUM DIPASTIKAN</x:v>
      </x:c>
      <x:c r="D41" s="63"/>
    </x:row>
    <x:row r="43">
      <x:c r="A43" s="32" t="str">
        <x:v>Hasil uji</x:v>
      </x:c>
      <x:c r="B43" s="32" t="str">
        <x:f>IF(COUNTIF(C37:C41,"BELUM DIPASTIKAN")&gt;0,"LENGKAPI UJI INTERVENSI",IF(COUNTIF(C37:C41,"YA")&gt;0,"PERLU INTERVENSI PIMPINAN","DITANGANI PIC/UNIT"))</x:f>
        <x:v>LENGKAPI UJI INTERVENSI</x:v>
      </x:c>
    </x:row>
    <x:row r="44">
      <x:c r="A44" s="32" t="str">
        <x:v>Upaya yang sudah dilakukan</x:v>
      </x:c>
      <x:c r="B44" s="63"/>
    </x:row>
    <x:row r="45">
      <x:c r="A45" s="32" t="str">
        <x:v>Keputusan spesifik yang diminta</x:v>
      </x:c>
      <x:c r="B45" s="63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</x:row>
    <x:row r="48">
      <x:c r="A48" s="53" t="str">
        <x:v>Pengingat: nilai, early warning, dan kebutuhan intervensi pimpinan adalah tiga keluaran berbeda. Pembaruan stakeholder bukan validasi otomatis.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