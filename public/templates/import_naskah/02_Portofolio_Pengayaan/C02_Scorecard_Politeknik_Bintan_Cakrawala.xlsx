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1dd8c300774c22" /></Relationships>
</file>

<file path=xl/workbook.xml><?xml version="1.0" encoding="utf-8"?>
<x:workbook xmlns:x="http://schemas.openxmlformats.org/spreadsheetml/2006/main">
  <x:sheets>
    <x:sheet xmlns:r="http://schemas.openxmlformats.org/officeDocument/2006/relationships" name="RINGKASAN PBC" sheetId="1" r:id="Racd5d6943b224ced"/>
    <x:sheet xmlns:r="http://schemas.openxmlformats.org/officeDocument/2006/relationships" name="IDENTITAS &amp; PIC" sheetId="2" r:id="Rd7f91c7ce9234761"/>
    <x:sheet xmlns:r="http://schemas.openxmlformats.org/officeDocument/2006/relationships" name="PELAKSANAAN KEGIATAN" sheetId="3" r:id="R57e4de27521c4052"/>
    <x:sheet xmlns:r="http://schemas.openxmlformats.org/officeDocument/2006/relationships" name="USULAN TINDAK LANJUT" sheetId="4" r:id="Rd6f8056542dd4146"/>
    <x:sheet xmlns:r="http://schemas.openxmlformats.org/officeDocument/2006/relationships" name="BASELINE PBC" sheetId="5" r:id="Re1985642f34841b7"/>
    <x:sheet xmlns:r="http://schemas.openxmlformats.org/officeDocument/2006/relationships" name="SCORECARD PBC" sheetId="6" r:id="Rd30b2cc5c4b644e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dd mmmm yyyy"/>
    <x:numFmt numFmtId="203" formatCode="@"/>
    <x:numFmt numFmtId="204" formatCode="0"/>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0" fillId="6" borderId="0" xfId="0" applyNumberFormat="1" applyFont="1" applyFill="1" applyBorder="1" applyAlignment="1">
      <x:alignment vertical="top" wrapText="1"/>
    </x:xf>
    <x:xf numFmtId="204" fontId="0" fillId="6" borderId="0" xfId="0" applyNumberFormat="1" applyFont="1" applyFill="1" applyBorder="1" applyAlignment="1">
      <x:alignment vertical="top" wrapText="1"/>
    </x:xf>
    <x:xf numFmtId="203" fontId="0" fillId="0" borderId="0" xfId="0" applyNumberFormat="1" applyFont="1" applyFill="1" applyBorder="1"/>
    <x:xf numFmtId="203" fontId="3" fillId="4" borderId="0" xfId="0" applyNumberFormat="1" applyFont="1" applyFill="1" applyBorder="1" applyAlignment="1">
      <x:alignment vertical="center"/>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8fb02261874987" /><Relationship Type="http://schemas.openxmlformats.org/officeDocument/2006/relationships/theme" Target="/xl/theme/theme1.xml" Id="R3299c3cbe00c451e" /><Relationship Type="http://schemas.openxmlformats.org/officeDocument/2006/relationships/sharedStrings" Target="/xl/sharedStrings.xml" Id="R121f7988f27e4de5" /><Relationship Type="http://schemas.openxmlformats.org/officeDocument/2006/relationships/worksheet" Target="/xl/worksheets/sheet1.xml" Id="Racd5d6943b224ced" /><Relationship Type="http://schemas.openxmlformats.org/officeDocument/2006/relationships/worksheet" Target="/xl/worksheets/sheet2.xml" Id="Rd7f91c7ce9234761" /><Relationship Type="http://schemas.openxmlformats.org/officeDocument/2006/relationships/worksheet" Target="/xl/worksheets/sheet3.xml" Id="R57e4de27521c4052" /><Relationship Type="http://schemas.openxmlformats.org/officeDocument/2006/relationships/worksheet" Target="/xl/worksheets/sheet4.xml" Id="Rd6f8056542dd4146" /><Relationship Type="http://schemas.openxmlformats.org/officeDocument/2006/relationships/worksheet" Target="/xl/worksheets/sheet5.xml" Id="Re1985642f34841b7" /><Relationship Type="http://schemas.openxmlformats.org/officeDocument/2006/relationships/worksheet" Target="/xl/worksheets/sheet6.xml" Id="Rd30b2cc5c4b644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POLITEKNIK BINTAN CAKRAWALA</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C01</x:v>
      </x:c>
      <x:c r="D5" s="31" t="str">
        <x:v>PIC Mitra</x:v>
      </x:c>
      <x:c r="E5" s="32" t="str">
        <x:f>IF(OR('IDENTITAS &amp; PIC'!C11="",LEFT('IDENTITAS &amp; PIC'!C11,1)="&lt;"),"Belum tersedia",'IDENTITAS &amp; PIC'!C11)</x:f>
        <x:v>Indah Andesta, S.Par., M.Sc</x:v>
      </x:c>
      <x:c r="G5" s="31" t="str">
        <x:v>Nilai Berjalan</x:v>
      </x:c>
      <x:c r="H5" s="35" t="n">
        <x:f>'SCORECARD PBC'!B21</x:f>
        <x:v>3.75</x:v>
      </x:c>
    </x:row>
    <x:row r="6">
      <x:c r="A6" s="31" t="str">
        <x:v>Mitra</x:v>
      </x:c>
      <x:c r="B6" s="32" t="str">
        <x:f>'IDENTITAS &amp; PIC'!C5</x:f>
        <x:v>Politeknik Bintan Cakrawala</x:v>
      </x:c>
      <x:c r="D6" s="31" t="str">
        <x:v>Total Kegiatan</x:v>
      </x:c>
      <x:c r="E6" s="32" t="n">
        <x:f>COUNTA('PELAKSANAAN KEGIATAN'!B7:B10)</x:f>
        <x:v>2</x:v>
      </x:c>
      <x:c r="F6"/>
      <x:c r="G6" s="31" t="str">
        <x:v>Kelengkapan Scorecard</x:v>
      </x:c>
      <x:c r="H6" s="37" t="n">
        <x:f>'SCORECARD PBC'!D21</x:f>
        <x:v>0.16666666666666666</x:v>
      </x:c>
    </x:row>
    <x:row r="7">
      <x:c r="A7" s="31" t="str">
        <x:v>Jenis</x:v>
      </x:c>
      <x:c r="B7" s="32" t="str">
        <x:v>MoU</x:v>
      </x:c>
      <x:c r="D7" s="31" t="str">
        <x:v>Usulan Tindak Lanjut</x:v>
      </x:c>
      <x:c r="E7" s="32" t="n">
        <x:f>COUNTA('USULAN TINDAK LANJUT'!B7:B10)</x:f>
        <x:v>3</x:v>
      </x:c>
      <x:c r="G7" s="31" t="str">
        <x:v>Kategori</x:v>
      </x:c>
      <x:c r="H7" s="39" t="str">
        <x:f>'SCORECARD PBC'!F21</x:f>
        <x:v>BELUM LENGKAP</x:v>
      </x:c>
    </x:row>
    <x:row r="8">
      <x:c r="A8" s="31" t="str">
        <x:v>Judul</x:v>
      </x:c>
      <x:c r="B8" s="32" t="str">
        <x:v>Fasilitasi Tri Dharma Perguruan Tinggi dan Pelayanan Hukum</x:v>
      </x:c>
      <x:c r="D8" s="31" t="str">
        <x:v>Keterangan Bukti</x:v>
      </x:c>
      <x:c r="E8" s="32" t="n">
        <x:f>COUNTA('PELAKSANAAN KEGIATAN'!E7:E10)</x:f>
        <x:v>2</x:v>
      </x:c>
      <x:c r="G8" s="31" t="str">
        <x:v>Early Warning</x:v>
      </x:c>
      <x:c r="H8" s="39" t="str">
        <x:f>'SCORECARD PBC'!B32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PBC'!F20</x:f>
        <x:v>BELUM TERVERIFIKASI</x:v>
      </x:c>
      <x:c r="C12" s="32" t="str">
        <x:f>'BASELINE PBC'!J20</x:f>
        <x:v>PIC mitra: Indah Andesta, S.Par., M.Sc | Jabatan: Kepala P3M &amp; Pustaka | Email: indah@pbc.ac.id | Status: Tetap | PIC cadangan: Henricus Yayan Setyanto. S.TP.. M.S.. M.T.P</x:v>
      </x:c>
      <x:c r="D12" s="32" t="str">
        <x:f>'BASELINE PBC'!K20</x:f>
        <x:v>Pembaruan tersedia sebagai referensi; status baseline tidak berubah otomatis dan tetap memerlukan verifikasi.</x:v>
      </x:c>
    </x:row>
    <x:row r="13">
      <x:c r="A13" s="39" t="str">
        <x:v>Rencana Tindak Lanjut</x:v>
      </x:c>
      <x:c r="B13" s="32" t="str">
        <x:f>'BASELINE PBC'!F21</x:f>
        <x:v>BELUM TERVERIFIKASI</x:v>
      </x:c>
      <x:c r="C13" s="32" t="str">
        <x:f>'BASELINE PBC'!J21</x:f>
        <x:v>Jumlah usulan: 3 | Prioritas pertama: Sosialisasi dan Klinik Pengajuan Paten Sederhana | Target: Desember 2026</x:v>
      </x:c>
      <x:c r="D13" s="32" t="str">
        <x:f>'BASELINE PBC'!K21</x:f>
        <x:v>Pembaruan tersedia sebagai referensi; status baseline tidak berubah otomatis dan tetap memerlukan verifikasi.</x:v>
      </x:c>
    </x:row>
    <x:row r="14">
      <x:c r="A14" s="39" t="str">
        <x:v>Pelaksanaan &amp; Hasil</x:v>
      </x:c>
      <x:c r="B14" s="32" t="str">
        <x:f>'BASELINE PBC'!F22</x:f>
        <x:v>TERVERIFIKASI</x:v>
      </x:c>
      <x:c r="C14" s="32" t="str">
        <x:f>'BASELINE PBC'!J22</x:f>
        <x:v>Jumlah kegiatan terdata: 2 | Kegiatan pertama: Keterlibatan dalam pencatatan 2 HKI Cipta dalam kegiatan pangayoman Kanwil Kepulauan Riau | Status: Sudah Dilaksanakan</x:v>
      </x:c>
      <x:c r="D14" s="32" t="str">
        <x:f>'BASELINE PBC'!K22</x:f>
        <x:v>Pembaruan tersedia sebagai referensi; status baseline tidak berubah otomatis dan tetap memerlukan verifikasi.</x:v>
      </x:c>
    </x:row>
    <x:row r="15">
      <x:c r="A15" s="39" t="str">
        <x:v>Eviden Implementasi</x:v>
      </x:c>
      <x:c r="B15" s="32" t="str">
        <x:f>'BASELINE PBC'!F23</x:f>
        <x:v>TERVERIFIKASI</x:v>
      </x:c>
      <x:c r="C15" s="32" t="str">
        <x:f>'BASELINE PBC'!J23</x:f>
        <x:v>Jumlah kegiatan dengan keterangan bukti: 2 | Bukti pertama: https://drive.google.com/drive/folders/19Rr0mz0pC43dVCLqL1n9mv07fy_G5Xhe?usp=sharing</x:v>
      </x:c>
      <x:c r="D15" s="32" t="str">
        <x:f>'BASELINE PBC'!K23</x:f>
        <x:v>Pembaruan tersedia sebagai referensi; status baseline tidak berubah otomatis dan tetap memerlukan verifikasi.</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PBC: formulir stakeholder sudah memuat PIC utama/cadangan, 2 kegiatan, 2 tautan bukti, dan 3 usulan tindak lanjut. Data tersebut mengalir otomatis sebagai pembaruan terintegrasi. Status Baseline dan skor Scorecard tidak berubah otomatis sampai bukti diverifikasi dan penilaian divalidasi.</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POLITEKNIK BINTAN CAKRAWALA</x:v>
      </x:c>
      <x:c r="B1" s="5"/>
      <x:c r="C1" s="5"/>
      <x:c r="D1" s="5"/>
      <x:c r="E1" s="5"/>
      <x:c r="F1" s="5"/>
      <x:c r="G1" s="5"/>
      <x:c r="H1"/>
    </x:row>
    <x:row r="2">
      <x:c r="A2" s="58" t="str">
        <x:v>Data identitas dan PIC berasal dari formulir stakeholder Politeknik Bintan Cakrawala. Pembaruan menjadi referensi otomatis pada Baseline dan Scorecard, tetapi tetap memerlukan verifikasi.</x:v>
      </x:c>
      <x:c r="B2" s="58"/>
      <x:c r="C2" s="58"/>
      <x:c r="D2" s="58"/>
      <x:c r="E2" s="58"/>
      <x:c r="F2" s="58"/>
      <x:c r="G2" s="58"/>
      <x:c r="H2"/>
    </x:row>
    <x:row r="3">
      <x:c r="A3"/>
      <x:c r="B3"/>
      <x:c r="C3"/>
      <x:c r="D3"/>
      <x:c r="E3"/>
      <x:c r="F3"/>
      <x:c r="G3"/>
      <x:c r="H3"/>
    </x:row>
    <x:row r="4" ht="22" customHeight="1">
      <x:c r="A4" s="18" t="str">
        <x:v>A. IDENTITAS KERJA SAMA</x:v>
      </x:c>
      <x:c r="B4" s="18"/>
      <x:c r="C4" s="18"/>
      <x:c r="D4" s="18"/>
      <x:c r="E4" s="18"/>
      <x:c r="F4" s="18"/>
      <x:c r="G4" s="18"/>
      <x:c r="H4"/>
    </x:row>
    <x:row r="5">
      <x:c r="A5" s="31" t="str">
        <x:v>Nama Mitra</x:v>
      </x:c>
      <x:c r="B5" s="32"/>
      <x:c r="C5" s="63" t="str">
        <x:v>Politeknik Bintan Cakrawala</x:v>
      </x:c>
      <x:c r="D5" s="63"/>
      <x:c r="E5" s="63"/>
      <x:c r="F5" s="63"/>
      <x:c r="G5" s="63"/>
      <x:c r="H5"/>
    </x:row>
    <x:row r="6">
      <x:c r="A6" s="31" t="str">
        <x:v>Nomor Nota Kesepahaman/Perjanjian Kerja Sama</x:v>
      </x:c>
      <x:c r="B6" s="32"/>
      <x:c r="C6" s="63" t="str">
        <x:v>002/MoU-PBC/III/2025</x:v>
      </x:c>
      <x:c r="D6" s="63"/>
      <x:c r="E6" s="63"/>
      <x:c r="F6" s="63"/>
      <x:c r="G6" s="63"/>
      <x:c r="H6"/>
    </x:row>
    <x:row r="7">
      <x:c r="A7" s="31" t="str">
        <x:v>Tanggal</x:v>
      </x:c>
      <x:c r="B7" s="32"/>
      <x:c r="C7" s="96" t="str">
        <x:v> 19 Maret 2025</x:v>
      </x:c>
      <x:c r="D7" s="63"/>
      <x:c r="E7" s="63"/>
      <x:c r="F7" s="63"/>
      <x:c r="G7" s="63"/>
      <x:c r="H7"/>
    </x:row>
    <x:row r="8">
      <x:c r="A8" s="31" t="str">
        <x:v>Ruang Lingkup</x:v>
      </x:c>
      <x:c r="B8" s="32"/>
      <x:c r="C8" s="63" t="str">
        <x:v>a. pendidikan dan pengajaran;
b. penelitian dan pengembangan hukum;
c. pengabdian kepada masyarakat;
d. pelaksanaan merdeka belajar kampus merdeka;
e. fasilitasi pendaftaran kekayaan intelektual dan penguatan sentra kekayaan intelektual;
f. peningkatan dan pengembangan kompetensi sumber daya manusia;
g. asistensi pengembangan jaringan dokumentasi dan informasi hukum; dan
h. kegiatan lain yang disepakati PARA PIHAK sesuai tujuan Nota Kesepahaman in</x:v>
      </x:c>
      <x:c r="D8" s="63"/>
      <x:c r="E8" s="63"/>
      <x:c r="F8" s="63"/>
      <x:c r="G8" s="63"/>
      <x:c r="H8"/>
    </x:row>
    <x:row r="9">
      <x:c r="A9"/>
      <x:c r="B9"/>
      <x:c r="C9"/>
      <x:c r="D9"/>
      <x:c r="E9"/>
      <x:c r="F9"/>
      <x:c r="G9"/>
      <x:c r="H9"/>
    </x:row>
    <x:row r="10" ht="22" customHeight="1">
      <x:c r="A10" s="18" t="str">
        <x:v>B. PIC UTAMA</x:v>
      </x:c>
      <x:c r="B10" s="18"/>
      <x:c r="C10" s="18"/>
      <x:c r="D10" s="18"/>
      <x:c r="E10" s="18"/>
      <x:c r="F10" s="18"/>
      <x:c r="G10" s="18"/>
      <x:c r="H10"/>
    </x:row>
    <x:row r="11">
      <x:c r="A11" s="31" t="str">
        <x:v>Nama Lengkap*</x:v>
      </x:c>
      <x:c r="B11" s="32"/>
      <x:c r="C11" s="63" t="str">
        <x:v>Indah Andesta, S.Par., M.Sc</x:v>
      </x:c>
      <x:c r="D11" s="32"/>
      <x:c r="E11" s="31" t="str">
        <x:v>Jabatan*</x:v>
      </x:c>
      <x:c r="F11" s="32"/>
      <x:c r="G11" s="63" t="str">
        <x:v>Kepala P3M &amp; Pustaka</x:v>
      </x:c>
      <x:c r="H11"/>
    </x:row>
    <x:row r="12">
      <x:c r="A12" s="31" t="str">
        <x:v>Unit Kerja*</x:v>
      </x:c>
      <x:c r="B12" s="32"/>
      <x:c r="C12" s="63" t="str">
        <x:v>Politeknik Bintan Cakrawala</x:v>
      </x:c>
      <x:c r="D12" s="32"/>
      <x:c r="E12" s="31" t="str">
        <x:v>No. HP/WA*</x:v>
      </x:c>
      <x:c r="F12" s="32"/>
      <x:c r="G12" s="98" t="n">
        <x:v>81218937041</x:v>
      </x:c>
      <x:c r="H12"/>
    </x:row>
    <x:row r="13">
      <x:c r="A13" s="31" t="str">
        <x:v>Email Resmi*</x:v>
      </x:c>
      <x:c r="B13" s="32"/>
      <x:c r="C13" s="63" t="str">
        <x:v>indah@pbc.ac.id </x:v>
      </x:c>
      <x:c r="D13" s="32"/>
      <x:c r="E13" s="31" t="str">
        <x:v>Status</x:v>
      </x:c>
      <x:c r="F13" s="32"/>
      <x:c r="G13" s="98" t="str">
        <x:v>Tetap</x:v>
      </x:c>
      <x:c r="H13"/>
    </x:row>
    <x:row r="14">
      <x:c r="A14"/>
      <x:c r="B14"/>
      <x:c r="C14"/>
      <x:c r="D14"/>
      <x:c r="E14"/>
      <x:c r="F14"/>
      <x:c r="G14" s="100"/>
      <x:c r="H14"/>
    </x:row>
    <x:row r="15" ht="22" customHeight="1">
      <x:c r="A15" s="18" t="str">
        <x:v>C. PIC CADANGAN</x:v>
      </x:c>
      <x:c r="B15" s="18"/>
      <x:c r="C15" s="18"/>
      <x:c r="D15" s="18"/>
      <x:c r="E15" s="18"/>
      <x:c r="F15" s="18"/>
      <x:c r="G15" s="101"/>
      <x:c r="H15"/>
    </x:row>
    <x:row r="16">
      <x:c r="A16" s="31" t="str">
        <x:v>Nama Lengkap*</x:v>
      </x:c>
      <x:c r="B16" s="32"/>
      <x:c r="C16" s="63" t="str">
        <x:v>Henricus Yayan Setyanto. S.TP.. M.S.. M.T.P</x:v>
      </x:c>
      <x:c r="D16" s="32"/>
      <x:c r="E16" s="31" t="str">
        <x:v>Jabatan*</x:v>
      </x:c>
      <x:c r="F16" s="32"/>
      <x:c r="G16" s="98" t="str">
        <x:v>Wakil Direktur </x:v>
      </x:c>
      <x:c r="H16"/>
    </x:row>
    <x:row r="17">
      <x:c r="A17" s="31" t="str">
        <x:v>Unit Kerja*</x:v>
      </x:c>
      <x:c r="B17" s="32"/>
      <x:c r="C17" s="63" t="str">
        <x:v>Politeknik Bintan Cakrawala</x:v>
      </x:c>
      <x:c r="D17" s="32"/>
      <x:c r="E17" s="31" t="str">
        <x:v>No. HP/WA*</x:v>
      </x:c>
      <x:c r="F17" s="32"/>
      <x:c r="G17" s="98" t="n">
        <x:v>82133204606</x:v>
      </x:c>
      <x:c r="H17"/>
    </x:row>
    <x:row r="18">
      <x:c r="A18" s="31" t="str">
        <x:v>Email Resmi*</x:v>
      </x:c>
      <x:c r="B18" s="32"/>
      <x:c r="C18" s="63" t="str">
        <x:v>Henricus@pbc.ac.id </x:v>
      </x:c>
      <x:c r="D18" s="32"/>
      <x:c r="E18" s="31" t="str">
        <x:v>Status</x:v>
      </x:c>
      <x:c r="F18" s="32"/>
      <x:c r="G18" s="63" t="str">
        <x:v>Tetap</x:v>
      </x:c>
      <x:c r="H18"/>
    </x:row>
    <x:row r="19">
      <x:c r="A19"/>
      <x:c r="B19"/>
      <x:c r="C19"/>
      <x:c r="D19"/>
      <x:c r="E19"/>
      <x:c r="F19"/>
      <x:c r="G19"/>
      <x:c r="H19"/>
    </x:row>
    <x:row r="20" ht="22" customHeight="1">
      <x:c r="A20" s="18" t="str">
        <x:v>D. KONFIRMASI RAPAT PENGUATAN PIC</x:v>
      </x:c>
      <x:c r="B20" s="18"/>
      <x:c r="C20" s="18"/>
      <x:c r="D20" s="18"/>
      <x:c r="E20" s="18"/>
      <x:c r="F20" s="18"/>
      <x:c r="G20" s="18"/>
      <x:c r="H20"/>
    </x:row>
    <x:row r="21">
      <x:c r="A21" s="31" t="str">
        <x:v>Kesediaan Hadir*</x:v>
      </x:c>
      <x:c r="B21" s="32"/>
      <x:c r="C21" s="63" t="str">
        <x:v>Hadir</x:v>
      </x:c>
      <x:c r="D21" s="32"/>
      <x:c r="E21" s="31" t="str">
        <x:v>Nama Peserta*</x:v>
      </x:c>
      <x:c r="F21" s="32"/>
      <x:c r="G21" s="63" t="str">
        <x:v>Henricus Yayan Setyanto. S.TP.. M.S.. M.T.P        </x:v>
      </x:c>
      <x:c r="H21"/>
    </x:row>
    <x:row r="22">
      <x:c r="A22" s="31" t="str">
        <x:v>Pertanyaan/Kebutuhan Awal</x:v>
      </x:c>
      <x:c r="B22" s="32"/>
      <x:c r="C22" s="63" t="str">
        <x:v>1. Pihak yang dapat dihubungi untuk pengurusan paten sederhana 
2. Pihak yang dapat dihubungi untuk design industri 
3. Apakah Kanwil menyediakan konsultasi awal untuk menilai kelayakan suatu invensi sebelum diajukan sebagai Paten Sederhana?
4. Apakah tersedia pendampingan penyusunan dokumen/deskripsi dan klaim Paten Sederhana?</x:v>
      </x:c>
      <x:c r="D22" s="32"/>
      <x:c r="E22" s="32"/>
      <x:c r="F22" s="32"/>
      <x:c r="G22" s="32"/>
      <x:c r="H22"/>
    </x:row>
    <x:row r="23">
      <x:c r="A23"/>
      <x:c r="B23"/>
      <x:c r="C23"/>
      <x:c r="D23"/>
      <x:c r="E23"/>
      <x:c r="F23"/>
      <x:c r="G23"/>
      <x:c r="H23"/>
    </x:row>
    <x:row r="24">
      <x:c r="A24" s="66" t="str">
        <x:v>Data kontak digunakan untuk koordinasi, monitoring, evaluasi, dan tindak lanjut pelaksanaan kerja sama.</x:v>
      </x:c>
      <x:c r="B24" s="66"/>
      <x:c r="C24" s="66"/>
      <x:c r="D24" s="66"/>
      <x:c r="E24" s="66"/>
      <x:c r="F24" s="66"/>
      <x:c r="G24" s="66"/>
      <x:c r="H24"/>
    </x:row>
    <x:row r="25">
      <x:c r="A25"/>
      <x:c r="B25"/>
      <x:c r="C25"/>
      <x:c r="D25"/>
      <x:c r="E25"/>
      <x:c r="F25"/>
      <x:c r="G25"/>
      <x:c r="H25"/>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POLITEKNIK BINTAN CAKRAWALA</x:v>
      </x:c>
      <x:c r="B1" s="5"/>
      <x:c r="C1" s="5"/>
      <x:c r="D1" s="5"/>
      <x:c r="E1" s="5"/>
      <x:c r="F1" s="5"/>
    </x:row>
    <x:row r="2">
      <x:c r="A2" s="58" t="str">
        <x:v>Data kegiatan berasal dari formulir stakeholder Politeknik Bintan Cakrawala dan menjadi referensi otomatis; bukti tetap perlu dibuka dan diverifikasi sebelum memengaruhi skor.</x:v>
      </x:c>
      <x:c r="B2" s="58"/>
      <x:c r="C2" s="58"/>
      <x:c r="D2" s="58"/>
      <x:c r="E2" s="58"/>
      <x:c r="F2" s="58"/>
    </x:row>
    <x:row r="3">
      <x:c r="A3"/>
      <x:c r="B3"/>
      <x:c r="C3"/>
      <x:c r="D3"/>
      <x:c r="E3"/>
      <x:c r="F3"/>
    </x:row>
    <x:row r="4">
      <x:c r="A4" s="70" t="str">
        <x:v>Isi hanya kegiatan utama. Jika belum ada kegiatan, sheet ini boleh dikosongkan. Kolom tanpa tanda * bersifat opsional.</x:v>
      </x:c>
      <x:c r="B4" s="70"/>
      <x:c r="C4" s="70"/>
      <x:c r="D4" s="70"/>
      <x:c r="E4" s="70"/>
      <x:c r="F4" s="70"/>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t="n">
        <x:v>1</x:v>
      </x:c>
      <x:c r="B7" s="63" t="str">
        <x:v>Keterlibatan dalam pencatatan 2 HKI Cipta dalam kegiatan pangayoman Kanwil Kepulauan Riau</x:v>
      </x:c>
      <x:c r="C7" s="63" t="str">
        <x:v>Sudah Dilaksanakan</x:v>
      </x:c>
      <x:c r="D7" s="63" t="str">
        <x:v>Telah tercatat 2 HKI Cipta Dosen PBC terkait 2 booklet:
1. Resep rahasia emak
2. Video kelulut serenity Gudem Bee Farm</x:v>
      </x:c>
      <x:c r="E7" s="63" t="str">
        <x:v>https://drive.google.com/drive/folders/19Rr0mz0pC43dVCLqL1n9mv07fy_G5Xhe?usp=sharing</x:v>
      </x:c>
      <x:c r="F7" s="63"/>
    </x:row>
    <x:row r="8">
      <x:c r="A8" s="32" t="n">
        <x:v>2</x:v>
      </x:c>
      <x:c r="B8" s="63" t="str">
        <x:v>Pendaftaran HKI Paten untuk merk Logo PBC </x:v>
      </x:c>
      <x:c r="C8" s="63" t="str">
        <x:v>Sedang Berjalan</x:v>
      </x:c>
      <x:c r="D8" s="63" t="str">
        <x:v>1. Kanwil Provinsi Kepri bagian Merk membantu dalam pemeriksaan draft merk paten 
2. Telah mendaftarkan merk paten logo PBC melalui Centra KI PBC</x:v>
      </x:c>
      <x:c r="E8" s="63" t="str">
        <x:v>https://drive.google.com/drive/folders/1ihNSu3a0sfGKrFOpQLdHy4q7EQrbdc3V?usp=sharing</x:v>
      </x:c>
      <x:c r="F8" s="63" t="str">
        <x:v>Dalam tahap proses review </x:v>
      </x:c>
    </x:row>
    <x:row r="9">
      <x:c r="A9" s="32"/>
      <x:c r="B9" s="63"/>
      <x:c r="C9" s="63"/>
      <x:c r="D9" s="63" t="str">
        <x:v>  </x:v>
      </x:c>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POLITEKNIK BINTAN CAKRAWALA</x:v>
      </x:c>
      <x:c r="B1" s="5"/>
      <x:c r="C1" s="5"/>
      <x:c r="D1" s="5"/>
      <x:c r="E1" s="5"/>
      <x:c r="F1" s="5"/>
    </x:row>
    <x:row r="2">
      <x:c r="A2" s="58" t="str">
        <x:v>Usulan tindak lanjut berasal dari formulir stakeholder Politeknik Bintan Cakrawala dan menjadi referensi otomatis; status Baseline dan skor tidak berubah tanpa verifikasi.</x:v>
      </x:c>
      <x:c r="B2" s="58"/>
      <x:c r="C2" s="58"/>
      <x:c r="D2" s="58"/>
      <x:c r="E2" s="58"/>
      <x:c r="F2" s="58"/>
    </x:row>
    <x:row r="3">
      <x:c r="A3"/>
      <x:c r="B3"/>
      <x:c r="C3"/>
      <x:c r="D3"/>
      <x:c r="E3"/>
      <x:c r="F3"/>
    </x:row>
    <x:row r="4">
      <x:c r="A4" s="70" t="str">
        <x:v>Cukup isi usulan prioritas. Kolom E–F opsional: bantuan = data/narasumber/surat/fasilitasi; pihak = unit atau instansi yang perlu diajak berkoordinasi.</x:v>
      </x:c>
      <x:c r="B4" s="70"/>
      <x:c r="C4" s="70"/>
      <x:c r="D4" s="70"/>
      <x:c r="E4" s="70"/>
      <x:c r="F4" s="70"/>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t="n">
        <x:v>1</x:v>
      </x:c>
      <x:c r="B7" s="63" t="str">
        <x:v>Sosialisasi dan Klinik Pengajuan Paten Sederhana</x:v>
      </x:c>
      <x:c r="C7" s="63" t="str">
        <x:v>Desember 2026</x:v>
      </x:c>
      <x:c r="D7" s="63" t="str">
        <x:v>1. Dosen mengerti bagaimana untuk mengajukan paten sederhana,
2. Produk-produk yang dapat diakui sebagai paten sederhana, 
</x:v>
      </x:c>
      <x:c r="E7" s="63" t="str">
        <x:v>Narasumber terkait Paten Sederhana </x:v>
      </x:c>
      <x:c r="F7" s="63" t="str">
        <x:v>Kanwil Kemenkum Kepri + Sentra KI PBC + Dosen PBC</x:v>
      </x:c>
    </x:row>
    <x:row r="8">
      <x:c r="A8" s="32" t="n">
        <x:v>2</x:v>
      </x:c>
      <x:c r="B8" s="63" t="str">
        <x:v>Penguatan Kapasitas Pengelola Sentra KI PBC</x:v>
      </x:c>
      <x:c r="C8" s="63" t="str">
        <x:v>Oktober 2026</x:v>
      </x:c>
      <x:c r="D8" s="63" t="str">
        <x:v>Meningkatnya kemampuan tim Sentra KI dalam memberikan layanan informasi, identifikasi, pendampingan, dan administrasi KI</x:v>
      </x:c>
      <x:c r="E8" s="63" t="str">
        <x:v>Narasumber, pelatihan, dan pendampingan pengelola</x:v>
      </x:c>
      <x:c r="F8" s="63" t="str">
        <x:v>Kanwil Kemenkum Kepri + Sentra KI PBC</x:v>
      </x:c>
    </x:row>
    <x:row r="9">
      <x:c r="A9" s="32" t="n">
        <x:v>3</x:v>
      </x:c>
      <x:c r="B9" s="63" t="str">
        <x:v>Kanwil Kemenkum Kepri + Sentra KI PBC</x:v>
      </x:c>
      <x:c r="C9" s="63" t="str">
        <x:v>Desember 2026</x:v>
      </x:c>
      <x:c r="D9" s="63" t="str">
        <x:v>Terbangunnya budaya perlindungan KI yang terintegrasi dalam kegiatan pendidikan, penelitian, dan PkM</x:v>
      </x:c>
      <x:c r="E9" s="63" t="str">
        <x:v>Pendampingan program dan materi KI</x:v>
      </x:c>
      <x:c r="F9" s="63" t="str">
        <x:v>Kanwil Kemenkum Kepri + Pimpinan/P3M PBC</x:v>
      </x:c>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POLITEKNIK BINTAN CAKRAWALA</x:v>
      </x:c>
      <x:c r="B1" s="5"/>
      <x:c r="C1" s="5"/>
      <x:c r="D1" s="5"/>
      <x:c r="E1" s="5"/>
      <x:c r="F1" s="5"/>
      <x:c r="G1" s="5"/>
      <x:c r="H1" s="5"/>
      <x:c r="I1" s="5"/>
      <x:c r="J1" s="5"/>
      <x:c r="K1" s="5"/>
    </x:row>
    <x:row r="2">
      <x:c r="A2" s="58" t="str">
        <x:v>C01 — CADANGAN — Politeknik Bintan Cakrawala</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C01</x:v>
      </x:c>
      <x:c r="C5" s="32"/>
      <x:c r="D5" s="31" t="str">
        <x:v>Status portofolio</x:v>
      </x:c>
      <x:c r="E5" s="32" t="str">
        <x:v>Cadangan</x:v>
      </x:c>
      <x:c r="F5" s="32"/>
      <x:c r="G5" s="31" t="str">
        <x:v>Nama pemeriksa</x:v>
      </x:c>
      <x:c r="H5" s="32" t="str">
        <x:v>SIMULASI AWAL — belum diverifikasi petugas</x:v>
      </x:c>
      <x:c r="I5" s="32"/>
      <x:c r="J5" s="32"/>
      <x:c r="K5" s="32"/>
    </x:row>
    <x:row r="6">
      <x:c r="A6" s="31" t="str">
        <x:v>Mitra</x:v>
      </x:c>
      <x:c r="B6" s="32" t="str">
        <x:v>Politeknik Bintan Cakrawala</x:v>
      </x:c>
      <x:c r="C6" s="32"/>
      <x:c r="D6" s="31"/>
      <x:c r="E6" s="32"/>
      <x:c r="F6" s="32"/>
      <x:c r="G6" s="31" t="str">
        <x:v>Unit/Tim pemeriksa</x:v>
      </x:c>
      <x:c r="H6" s="32" t="str">
        <x:v>Pokja Data / pemeriksa naskah (simulasi)</x:v>
      </x:c>
      <x:c r="I6" s="32"/>
      <x:c r="J6" s="32"/>
      <x:c r="K6" s="32"/>
    </x:row>
    <x:row r="7">
      <x:c r="A7" s="31" t="str">
        <x:v>Jenis awal</x:v>
      </x:c>
      <x:c r="B7" s="32" t="str">
        <x:v>MoU</x:v>
      </x:c>
      <x:c r="C7" s="32"/>
      <x:c r="D7" s="31" t="str">
        <x:v>Nomor naskah awal</x:v>
      </x:c>
      <x:c r="E7" s="32" t="str">
        <x:v>BELUM TERVERIFIKASI</x:v>
      </x:c>
      <x:c r="F7" s="32"/>
      <x:c r="G7" s="31" t="str">
        <x:v>Tanggal pemeriksaan</x:v>
      </x:c>
      <x:c r="H7" s="75" t="n">
        <x:v>46262</x:v>
      </x:c>
      <x:c r="I7" s="32"/>
      <x:c r="J7" s="32"/>
      <x:c r="K7" s="32"/>
    </x:row>
    <x:row r="8">
      <x:c r="A8" s="31" t="str">
        <x:v>Judul awal</x:v>
      </x:c>
      <x:c r="B8" s="32" t="str">
        <x:v>Fasilitasi Tri Dharma Perguruan Tinggi dan Pelayanan Hukum</x:v>
      </x:c>
      <x:c r="C8" s="32"/>
      <x:c r="D8" s="31"/>
      <x:c r="E8" s="32"/>
      <x:c r="F8" s="32"/>
      <x:c r="G8" s="31" t="str">
        <x:v>Cut-off baseline</x:v>
      </x:c>
      <x:c r="H8" s="75" t="n">
        <x:v>46262</x:v>
      </x:c>
      <x:c r="I8" s="32"/>
      <x:c r="J8" s="32"/>
      <x:c r="K8" s="32"/>
    </x:row>
    <x:row r="9">
      <x:c r="A9" s="31" t="str">
        <x:v>Tanggal mulai awal</x:v>
      </x:c>
      <x:c r="B9" s="75" t="n">
        <x:v>45735</x:v>
      </x:c>
      <x:c r="C9" s="32"/>
      <x:c r="D9" s="31" t="str">
        <x:v>Tanggal berakhir awal</x:v>
      </x:c>
      <x:c r="E9" s="75" t="n">
        <x:v>47560</x:v>
      </x:c>
      <x:c r="F9" s="32"/>
      <x:c r="G9" s="31" t="str">
        <x:v>Status pengisian</x:v>
      </x:c>
      <x:c r="H9" s="32" t="str">
        <x:v>SELESAI DIISI</x:v>
      </x:c>
      <x:c r="I9" s="32"/>
      <x:c r="J9" s="32"/>
      <x:c r="K9" s="32"/>
    </x:row>
    <x:row r="10">
      <x:c r="A10" t="str">
        <x:v>SIMULASI — Data awal berasal dari matriks scoring dan penelusuran publik P2MA per 28 Agustus 2026. Isian ini belum merupakan verifikasi resmi; nomor naskah, arsip internal, PIC, pelaksanaan, eviden, dan hambatan tetap harus dikonfirmasi.</x:v>
      </x:c>
      <x:c r="B10"/>
      <x:c r="C10"/>
      <x:c r="D10"/>
      <x:c r="E10"/>
      <x:c r="F10"/>
      <x:c r="G10"/>
      <x:c r="H10"/>
      <x:c r="I10"/>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TERVERIFIKASI</x:v>
      </x:c>
      <x:c r="G13" s="32" t="str">
        <x:v>Jenis, mitra, dan judul dapat dicocokkan dengan hasil pencarian/naskah P2MA. Pencarian menghasilkan dua entri; naskah dipilih berdasarkan judul dan tautan PDF yang sesuai. Nomor para pihak belum dicocokkan lengkap.</x:v>
      </x:c>
      <x:c r="H13" s="32" t="str">
        <x:v>https://p2ma.kemenkum.go.id/uploads/kerjasama/naskah/1758074830.pdf</x:v>
      </x:c>
      <x:c r="I13" s="32" t="str">
        <x:v>Salin seluruh nomor para pihak dan periksa halaman tanda tangan sebelum status diubah menjadi TERVERIFIKASI.</x:v>
      </x:c>
      <x:c r="J13" s="63" t="str">
        <x:f>'IDENTITAS &amp; PIC'!C5</x:f>
        <x:v>Politeknik Bintan Cakrawala</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TERVERIFIKASI</x:v>
      </x:c>
      <x:c r="G14" s="32" t="str">
        <x:v>P2MA publik menampilkan status Berlangsung, mulai 19 Maret 2025 dan berakhir 18 Maret 2030; tanggal sesuai data awal.</x:v>
      </x:c>
      <x:c r="H14" s="32" t="str">
        <x:v>https://p2ma.kemenkum.go.id/kdn/pencarian?tipe=1&amp;keyword=Politeknik%20Bintan%20Cakrawala</x:v>
      </x:c>
      <x:c r="I14" s="32" t="str">
        <x:v>Tanggal sesuai antara data awal dan P2MA publik; tetap periksa klausul naskah final.</x:v>
      </x:c>
      <x:c r="J14" s="96" t="str">
        <x:f>'IDENTITAS &amp; PIC'!C7</x:f>
        <x:v> 19 Maret 2025</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pendidikan dan pengajaran; penelitian dan pengembangan hukum; pengabdian kepada masyarakat; MBKM; fasilitasi dan penguatan KI; pengembangan kompetensi SDM; asistensi JDIH; serta kegiatan lain yang disepakati.</x:v>
      </x:c>
      <x:c r="H15" s="32" t="str">
        <x:v>https://p2ma.kemenkum.go.id/uploads/kerjasama/naskah/1758074830.pdf</x:v>
      </x:c>
      <x:c r="I15" s="32" t="str">
        <x:v>Ruang lingkup merupakan komitmen dalam naskah, bukan bukti bahwa kegiatan telah dilaksanakan.</x:v>
      </x:c>
      <x:c r="J15" s="63" t="str">
        <x:f>IF('IDENTITAS &amp; PIC'!C8="","Belum ada pembaruan ruang lingkup",'IDENTITAS &amp; PIC'!C8)</x:f>
        <x:v>a. pendidikan dan pengajaran;
b. penelitian dan pengembangan hukum;
c. pengabdian kepada masyarakat;
d. pelaksanaan merdeka belajar kampus merdeka;
e. fasilitasi pendaftaran kekayaan intelektual dan penguatan sentra kekayaan intelektual;
f. peningkatan dan pengembangan kompetensi sumber daya manusia;
g. asistensi pengembangan jaringan dokumentasi dan informasi hukum; dan
h. kegiatan lain yang disepakati PARA PIHAK sesuai tujuan Nota Kesepahaman in</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TERVERIFIKASI</x:v>
      </x:c>
      <x:c r="G16" s="32" t="str">
        <x:v>Salinan naskah dapat dibuka melalui P2MA. Lokasi arsip resmi internal, register, kelengkapan halaman, dan kemudahan temu kembali belum diperiksa.</x:v>
      </x:c>
      <x:c r="H16" s="32" t="str">
        <x:v>Naskah P2MA pada baris 5; arsip internal belum diperiksa.</x:v>
      </x:c>
      <x:c r="I16" s="32" t="str">
        <x:v>Minta lokasi folder/register resmi kepada tata usaha atau unit pengampu.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Dua hasil ditemukan; entri Fasilitasi Tri Dharma dan Pelayanan Hukum dipilih berdasarkan judul/PDF.</x:v>
      </x:c>
      <x:c r="H17" s="32" t="str">
        <x:v>https://p2ma.kemenkum.go.id/kdn/pencarian?tipe=1&amp;keyword=Politeknik%20Bintan%20Cakrawala</x:v>
      </x:c>
      <x:c r="I17" s="32" t="str">
        <x:v>Pemeriksaan publik dilakukan pada 28 Agustus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TERVERIFIKASI</x:v>
      </x:c>
      <x:c r="G18" s="32" t="str">
        <x:v>Naskah dan P2MA publik belum cukup untuk menetapkan unit internal yang bertanggung jawab atas implementasi kerja sama.</x:v>
      </x:c>
      <x:c r="H18" s="32" t="str">
        <x:v>Naskah/P2MA publik; ND, SK, pembagian tugas, atau konfirmasi unit belum diperoleh.</x:v>
      </x:c>
      <x:c r="I18" s="32" t="str">
        <x:v>Konfirmasi kepada pimpinan unit yang mengampu substansi kerja sama.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BELUM TERVERIFIKASI</x:v>
      </x:c>
      <x:c r="G19" s="32" t="str">
        <x:v>PIC internal utama dan cadangan belum dapat dipastikan dari sumber publik yang diperiksa.</x:v>
      </x:c>
      <x:c r="H19" s="32" t="str">
        <x:v>Daftar PIC, ND/SK, dan konfirmasi tertulis unit belum diperoleh.</x:v>
      </x:c>
      <x:c r="I19" s="32" t="str">
        <x:v>Penandatangan atau operator P2MA tidak otomatis menjadi PIC internal.</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TERVERIFIKASI</x:v>
      </x:c>
      <x:c r="G20" s="32" t="str">
        <x:v>PIC operasional pihak mitra belum dikonfirmasi melalui surat, email resmi, atau formulir penunjukan.</x:v>
      </x:c>
      <x:c r="H20" s="32" t="str">
        <x:v>Surat/email/formulir penunjukan PIC mitra belum diperoleh.</x:v>
      </x:c>
      <x:c r="I20" s="32" t="str">
        <x:v>Penandatangan atau koresponden dalam naskah tidak otomatis menjadi PIC operasional.</x:v>
      </x:c>
      <x:c r="J20" s="63" t="str">
        <x:f>IF(OR('IDENTITAS &amp; PIC'!C11="",LEFT('IDENTITAS &amp; PIC'!C11,1)="&lt;"),"Belum ada PIC mitra yang diisi","PIC mitra: "&amp;'IDENTITAS &amp; PIC'!C11&amp;" | Jabatan: "&amp;'IDENTITAS &amp; PIC'!G11&amp;" | Email: "&amp;TRIM('IDENTITAS &amp; PIC'!C13)&amp;" | Status: "&amp;'IDENTITAS &amp; PIC'!G13&amp;" | PIC cadangan: "&amp;'IDENTITAS &amp; PIC'!C16)</x:f>
        <x:v>PIC mitra: Indah Andesta, S.Par., M.Sc | Jabatan: Kepala P3M &amp; Pustaka | Email: indah@pbc.ac.id | Status: Tetap | PIC cadangan: Henricus Yayan Setyanto. S.TP.. M.S.. M.T.P</x:v>
      </x:c>
      <x:c r="K20" s="63" t="str">
        <x:f>IF(OR(LEFT(J20,9)="Belum ada",LEFT(J20,9)="Tidak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TERVERIFIKASI</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IF(COUNTA('USULAN TINDAK LANJUT'!B7:B10)=0,"Belum ada usulan tindak lanjut terisi","Jumlah usulan: "&amp;COUNTA('USULAN TINDAK LANJUT'!B7:B10)&amp;" | Prioritas pertama: "&amp;'USULAN TINDAK LANJUT'!B7&amp;" | Target: "&amp;'USULAN TINDAK LANJUT'!C7)</x:f>
        <x:v>Jumlah usulan: 3 | Prioritas pertama: Sosialisasi dan Klinik Pengajuan Paten Sederhana | Target: Desember 2026</x:v>
      </x:c>
      <x:c r="K21" s="63" t="str">
        <x:f>IF(OR(LEFT(J21,9)="Belum ada",LEFT(J21,9)="Tidak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TERVERIFIKASI</x:v>
      </x:c>
      <x:c r="G22" s="32" t="str">
        <x:v>Status Berlangsung pada P2MA belum membuktikan kegiatan atau output. Laporan pelaksanaan dan data hasil belum diperiksa.</x:v>
      </x:c>
      <x:c r="H22" s="32" t="str">
        <x:v>Laporan, undangan, notula, daftar hadir, dan data hasil belum diperoleh.</x:v>
      </x:c>
      <x:c r="I22" s="32" t="str">
        <x:v>Konfirmasi kegiatan aktual kepada unit pengampu serta PIC internal dan mitra.</x:v>
      </x:c>
      <x:c r="J22" s="63" t="str">
        <x:f>IF(COUNTA('PELAKSANAAN KEGIATAN'!B7:B10)=0,"Belum ada kegiatan pada sheet pelaksanaan","Jumlah kegiatan terdata: "&amp;COUNTA('PELAKSANAAN KEGIATAN'!B7:B10)&amp;" | Kegiatan pertama: "&amp;'PELAKSANAAN KEGIATAN'!B7&amp;" | Status: "&amp;'PELAKSANAAN KEGIATAN'!C7)</x:f>
        <x:v>Jumlah kegiatan terdata: 2 | Kegiatan pertama: Keterlibatan dalam pencatatan 2 HKI Cipta dalam kegiatan pangayoman Kanwil Kepulauan Riau | Status: Sudah Dilaksanakan</x:v>
      </x:c>
      <x:c r="K22" s="63" t="str">
        <x:f>IF(OR(LEFT(J22,9)="Belum ada",LEFT(J22,9)="Tidak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TERVERIFIKASI</x:v>
      </x:c>
      <x:c r="G23" s="32" t="str">
        <x:v>Naskah dan entri P2MA tersedia, tetapi folder resmi, indeks, serta bukti implementasi belum diperiksa.</x:v>
      </x:c>
      <x:c r="H23" s="32" t="str">
        <x:v>Folder eviden, indeks bukti, dan dokumen/data kegiatan belum diperoleh.</x:v>
      </x:c>
      <x:c r="I23" s="32" t="str">
        <x:v>Naskah kerja sama bukan eviden pelaksanaan.</x:v>
      </x:c>
      <x:c r="J23" s="63" t="str">
        <x:f>IF(COUNTA('PELAKSANAAN KEGIATAN'!E7:E10)=0,"Belum ada keterangan bukti pada sheet pelaksanaan","Jumlah kegiatan dengan keterangan bukti: "&amp;COUNTA('PELAKSANAAN KEGIATAN'!E7:E10)&amp;" | Bukti pertama: "&amp;'PELAKSANAAN KEGIATAN'!E7)</x:f>
        <x:v>Jumlah kegiatan dengan keterangan bukti: 2 | Bukti pertama: https://drive.google.com/drive/folders/19Rr0mz0pC43dVCLqL1n9mv07fy_G5Xhe?usp=sharing</x:v>
      </x:c>
      <x:c r="K23" s="63" t="str">
        <x:f>IF(OR(LEFT(J23,9)="Belum ada",LEFT(J23,9)="Tidak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BELUM TERVERIFIKASI</x:v>
      </x:c>
      <x:c r="G24" s="32" t="str">
        <x:v>Hambatan operasional belum dikonfirmasi. Gap verifikasi sementara mencakup arsip internal, unit pengampu, PIC, rencana tindak lanjut, pelaksanaan, dan eviden. Nomor para pihak masih perlu ditranskripsikan dari naskah.</x:v>
      </x:c>
      <x:c r="H24" s="32" t="str">
        <x:v>Penelusuran publik P2MA; konfirmasi unit/PIC/mitra belum dilakukan.</x:v>
      </x:c>
      <x:c r="I24" s="32" t="str">
        <x:v>Pisahkan gap data verifikasi dari hambatan pelaksanaan yang benar-benar dialami.</x:v>
      </x:c>
      <x:c r="J24" s="63" t="str">
        <x:f>IF(COUNTA('PELAKSANAAN KEGIATAN'!F7:F10)=0,"Belum ada kendala/catatan pada sheet pelaksanaan","Kendala/catatan pertama: "&amp;'PELAKSANAAN KEGIATAN'!F7)</x:f>
        <x:v>Kendala/catatan pertama: </x:v>
      </x:c>
      <x:c r="K24" s="63" t="str">
        <x:f>IF(OR(LEFT(J24,9)="Belum ada",LEFT(J24,9)="Tidak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COUNTIF(F13:F24,"TERVERIFIKASI")</x:f>
        <x:v>8</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3 dari 12 elemen telah dapat diverifikasi pada tahap pemeriksaan meja; elemen lain masih memerlukan bukti internal atau konfirmasi.</x:v>
      </x:c>
      <x:c r="I29"/>
    </x:row>
    <x:row r="30">
      <x:c r="A30" s="32" t="str">
        <x:v>Belum Terverifikasi</x:v>
      </x:c>
      <x:c r="B30" s="32" t="n">
        <x:f>COUNTIF(F13:F24,"BELUM TERVERIFIKASI")</x:f>
        <x:v>4</x:v>
      </x:c>
      <x:c r="C30" s="32"/>
      <x:c r="D30" s="32" t="str">
        <x:v>Proporsi status terverifikasi</x:v>
      </x:c>
      <x:c r="E30" s="37" t="n">
        <x:f>IF((12-B32)=0,0,B29/(12-B32))</x:f>
        <x:v>0.6666666666666666</x:v>
      </x:c>
      <x:c r="F30"/>
      <x:c r="G30"/>
      <x:c r="H30"/>
      <x:c r="I30"/>
    </x:row>
    <x:row r="31">
      <x:c r="A31" s="32" t="str">
        <x:v>Belum Tersedia</x:v>
      </x:c>
      <x:c r="B31" s="32" t="n">
        <x:f>COUNTIF(F13:F24,"BELUM TERSEDIA")</x:f>
        <x:v>0</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Nomor para pihak masih perlu ditranskripsikan dari naskah.</x:v>
      </x:c>
      <x:c r="I31"/>
    </x:row>
    <x:row r="32">
      <x:c r="A32" s="32" t="str">
        <x:v>Tidak Relevan</x:v>
      </x:c>
      <x:c r="B32" s="32" t="n">
        <x:f>COUNTIF(F13:F24,"TIDAK RELEVAN")</x:f>
        <x:v>0</x:v>
      </x:c>
      <x:c r="C32" s="32"/>
      <x:c r="D32" s="32"/>
      <x:c r="E32" s="32"/>
      <x:c r="F32"/>
      <x:c r="G32"/>
      <x:c r="H32"/>
      <x:c r="I32"/>
    </x:row>
    <x:row r="33">
      <x:c r="A33" s="32" t="str">
        <x:v>Belum Diisi</x:v>
      </x:c>
      <x:c r="B33" s="32" t="n">
        <x:f>COUNTBLANK(F13:F24)</x:f>
        <x:v>0</x:v>
      </x:c>
      <x:c r="C33" s="32"/>
      <x:c r="D33" s="32"/>
      <x:c r="E33" s="32"/>
      <x:c r="F33"/>
      <x:c r="G33" t="str">
        <x:v>Catatan transisi</x:v>
      </x:c>
      <x:c r="H33" t="str">
        <x:v>Gunakan hasil ini sebagai daftar pertanyaan untuk unit pengampu dan forum PIC. Jangan menghitung Scorecard efektivitas sebelum gap prioritas diverifikasi.</x:v>
      </x:c>
      <x:c r="I33"/>
    </x:row>
    <x:row r="34">
      <x:c r="A34" s="32"/>
      <x:c r="B34" s="32"/>
      <x:c r="C34" s="32"/>
      <x:c r="D34" s="32"/>
      <x:c r="E34" s="32"/>
      <x:c r="F34"/>
      <x:c r="G34"/>
      <x:c r="H34"/>
      <x:c r="I34"/>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x:c r="C36"/>
      <x:c r="D36"/>
      <x:c r="E36"/>
      <x:c r="F36"/>
      <x:c r="G36"/>
      <x:c r="H36"/>
      <x:c r="I36"/>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POLITEKNIK BINTAN CAKRAWALA</x:v>
      </x:c>
      <x:c r="B1" s="5" t="str">
        <x:v>SCORECARD EFEKTIVITAS MITRA KINERJA V1.1 — C01</x:v>
      </x:c>
      <x:c r="C1" s="5" t="str">
        <x:v>SCORECARD EFEKTIVITAS MITRA KINERJA V1.1 — C01</x:v>
      </x:c>
      <x:c r="D1" s="5" t="str">
        <x:v>SCORECARD EFEKTIVITAS MITRA KINERJA V1.1 — C01</x:v>
      </x:c>
      <x:c r="E1" s="5" t="str">
        <x:v>SCORECARD EFEKTIVITAS MITRA KINERJA V1.1 — C01</x:v>
      </x:c>
      <x:c r="F1" s="5" t="str">
        <x:v>SCORECARD EFEKTIVITAS MITRA KINERJA V1.1 — C01</x:v>
      </x:c>
      <x:c r="G1" s="5" t="str">
        <x:v>SCORECARD EFEKTIVITAS MITRA KINERJA V1.1 — C01</x:v>
      </x:c>
      <x:c r="H1" s="5" t="str">
        <x:v>SCORECARD EFEKTIVITAS MITRA KINERJA V1.1 — C01</x:v>
      </x:c>
      <x:c r="I1" s="5" t="str">
        <x:v>SCORECARD EFEKTIVITAS MITRA KINERJA V1.1 — C01</x:v>
      </x:c>
      <x:c r="J1" s="5" t="str">
        <x:v>SCORECARD EFEKTIVITAS MITRA KINERJA V1.1 — C01</x:v>
      </x:c>
    </x:row>
    <x:row r="2">
      <x:c r="A2" s="58" t="str">
        <x:v>CADANGAN — Politeknik Bintan Cakrawala</x:v>
      </x:c>
      <x:c r="B2" s="58" t="str">
        <x:v>CADANGAN — Politeknik Bintan Cakrawala</x:v>
      </x:c>
      <x:c r="C2" s="58" t="str">
        <x:v>CADANGAN — Politeknik Bintan Cakrawala</x:v>
      </x:c>
      <x:c r="D2" s="58" t="str">
        <x:v>CADANGAN — Politeknik Bintan Cakrawala</x:v>
      </x:c>
      <x:c r="E2" s="58" t="str">
        <x:v>CADANGAN — Politeknik Bintan Cakrawala</x:v>
      </x:c>
      <x:c r="F2" s="58" t="str">
        <x:v>CADANGAN — Politeknik Bintan Cakrawala</x:v>
      </x:c>
      <x:c r="G2" s="58" t="str">
        <x:v>CADANGAN — Politeknik Bintan Cakrawala</x:v>
      </x:c>
      <x:c r="H2" s="58" t="str">
        <x:v>CADANGAN — Politeknik Bintan Cakrawala</x:v>
      </x:c>
      <x:c r="I2" s="58" t="str">
        <x:v>CADANGAN — Politeknik Bintan Cakrawala</x:v>
      </x:c>
      <x:c r="J2" s="58" t="str">
        <x:v>CADANGAN — Politeknik Bintan Cakrawala</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C01</x:v>
      </x:c>
      <x:c r="C6" s="31" t="str">
        <x:v>Portofolio</x:v>
      </x:c>
      <x:c r="D6" s="32" t="str">
        <x:v>Cadangan</x:v>
      </x:c>
      <x:c r="E6" s="31" t="str">
        <x:v>Cut-off</x:v>
      </x:c>
      <x:c r="F6" s="75" t="n">
        <x:v>46262</x:v>
      </x:c>
      <x:c r="G6" s="31" t="str">
        <x:v>Pemeriksa</x:v>
      </x:c>
      <x:c r="H6" s="32"/>
      <x:c r="I6" s="31"/>
      <x:c r="J6" s="32"/>
    </x:row>
    <x:row r="7">
      <x:c r="A7" s="31" t="str">
        <x:v>Mitra</x:v>
      </x:c>
      <x:c r="B7" s="32" t="str">
        <x:v>Politeknik Bintan Cakrawala</x:v>
      </x:c>
      <x:c r="C7" s="31"/>
      <x:c r="D7" s="32"/>
      <x:c r="E7" s="31"/>
      <x:c r="F7" s="32"/>
      <x:c r="G7" s="31" t="str">
        <x:v>Jenis</x:v>
      </x:c>
      <x:c r="H7" s="32" t="str">
        <x:v>MoU</x:v>
      </x:c>
      <x:c r="I7" s="31" t="str">
        <x:v>Sumber baseline</x:v>
      </x:c>
      <x:c r="J7" s="32" t="str">
        <x:v>BASELINE PBC (terintegrasi)</x:v>
      </x:c>
    </x:row>
    <x:row r="8">
      <x:c r="A8" s="31" t="str">
        <x:v>Judul</x:v>
      </x:c>
      <x:c r="B8" s="32" t="str">
        <x:v>Fasilitasi Tri Dharma Perguruan Tinggi dan Pelayanan Hukum</x:v>
      </x:c>
      <x:c r="C8" s="31" t="str">
        <x:v>Fasilitasi Tri Dharma Perguruan Tinggi dan Pelayanan Hukum</x:v>
      </x:c>
      <x:c r="D8" s="32" t="str">
        <x:v>Fasilitasi Tri Dharma Perguruan Tinggi dan Pelayanan Hukum</x:v>
      </x:c>
      <x:c r="E8" s="31" t="str">
        <x:v>Fasilitasi Tri Dharma Perguruan Tinggi dan Pelayanan Hukum</x:v>
      </x:c>
      <x:c r="F8" s="32" t="str">
        <x:v>Fasilitasi Tri Dharma Perguruan Tinggi dan Pelayanan Hukum</x:v>
      </x:c>
      <x:c r="G8" s="31" t="str">
        <x:v>Fasilitasi Tri Dharma Perguruan Tinggi dan Pelayanan Hukum</x:v>
      </x:c>
      <x:c r="H8" s="32" t="str">
        <x:v>Fasilitasi Tri Dharma Perguruan Tinggi dan Pelayanan Hukum</x:v>
      </x:c>
      <x:c r="I8" s="31" t="str">
        <x:v>Fasilitasi Tri Dharma Perguruan Tinggi dan Pelayanan Hukum</x:v>
      </x:c>
      <x:c r="J8" s="32" t="str">
        <x:v>Fasilitasi Tri Dharma Perguruan Tinggi dan Pelayanan Hukum</x:v>
      </x:c>
    </x:row>
    <x:row r="9">
      <x:c r="A9" s="31" t="str">
        <x:v>Mulai</x:v>
      </x:c>
      <x:c r="B9" s="75" t="n">
        <x:v>45735</x:v>
      </x:c>
      <x:c r="C9" s="86" t="str">
        <x:v>Berakhir</x:v>
      </x:c>
      <x:c r="D9" s="75" t="n">
        <x:v>47560</x:v>
      </x:c>
      <x:c r="E9" s="31" t="str">
        <x:v>Status tanggal</x:v>
      </x:c>
      <x:c r="F9" s="32" t="str">
        <x:v>TERVERIFIKASI</x:v>
      </x:c>
      <x:c r="G9" s="31" t="str">
        <x:v>Sisa hari</x:v>
      </x:c>
      <x:c r="H9" s="32" t="n">
        <x:f>IF(OR(D9="",F9&lt;&gt;"TERVERIFIKASI"),"",D9-F6)</x:f>
        <x:v>1298</x:v>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PBC'!F13&amp;"; arsip "&amp;'BASELINE PBC'!F16&amp;"; P2MA "&amp;'BASELINE PBC'!F17&amp;"; PIC internal "&amp;'BASELINE PBC'!F19&amp;"; PIC mitra "&amp;'BASELINE PBC'!F20&amp;". Update terintegrasi: "&amp;'BASELINE PBC'!J20</x:f>
        <x:v>Identitas TERVERIFIKASI; arsip TERVERIFIKASI; P2MA TERVERIFIKASI; PIC internal BELUM TERVERIFIKASI; PIC mitra BELUM TERVERIFIKASI. Update terintegrasi: PIC mitra: Indah Andesta, S.Par., M.Sc | Jabatan: Kepala P3M &amp; Pustaka | Email: indah@pbc.ac.id | Status: Tetap | PIC cadangan: Henricus Yayan Setyanto. S.TP.. M.S.. M.T.P</x:v>
      </x:c>
      <x:c r="E13" s="63" t="str">
        <x:v>BUKTI MEMADAI</x:v>
      </x:c>
      <x:c r="F13" s="63" t="str">
        <x:v>Baseline baris 13–20: naskah/metadata dasar dapat ditelusuri. Status identitas=TERVERIFIKASI, arsip=TERVERIFIKASI, P2MA=TERVERIFIKASI, PIC internal=BELUM TERVERIFIKASI, PIC mitra=BELUM TERVERIFIKASI. Terdapat inkonsistensi pada baseline: status terstruktur pada Status arsip, Unit pengampu, Pelaksanaan dan hasil, Eviden implementasi belum sepenuhnya didukung narasi/sumber bukti; untuk Scorecard digunakan pendekatan konservatif.</x:v>
      </x:c>
      <x:c r="G13" s="63" t="n">
        <x:v>1</x:v>
      </x:c>
      <x:c r="H13" s="63" t="str">
        <x:v>Sesuai skor 1: naskah tersedia, tetapi tata kelola operasional masih terbatas; PIC dua pihak dan/atau bukti penetapan/konfirmasi belum memadai untuk skor yang lebih tinggi.</x:v>
      </x:c>
      <x:c r="I13" s="32" t="n">
        <x:f>IF(AND(E13="BUKTI MEMADAI",COUNT(G13)&gt;0),G13/4*C13,"")</x:f>
        <x:v>3.75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PBC'!F21&amp;". "&amp;'BASELINE PBC'!J21</x:f>
        <x:v>Rencana tindak lanjut BELUM TERVERIFIKASI. Jumlah usulan: 3 | Prioritas pertama: Sosialisasi dan Klinik Pengajuan Paten Sederhana | Target: Desember 2026</x:v>
      </x:c>
      <x:c r="E14" s="63" t="str">
        <x:v>BUKTI BELUM MEMADAI</x:v>
      </x:c>
      <x:c r="F14" s="63" t="str">
        <x:v>Baseline baris 21 — Rencana tindak lanjut: BELUM TERVERIFIKASI.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PBC'!F22&amp;". "&amp;'BASELINE PBC'!J22</x:f>
        <x:v>Pelaksanaan/hasil TERVERIFIKASI. Jumlah kegiatan terdata: 2 | Kegiatan pertama: Keterlibatan dalam pencatatan 2 HKI Cipta dalam kegiatan pangayoman Kanwil Kepulauan Riau | Status: Sudah Dilaksanakan</x:v>
      </x:c>
      <x:c r="E15" s="63" t="str">
        <x:v>BUKTI BELUM MEMADAI</x:v>
      </x:c>
      <x:c r="F15" s="63" t="str">
        <x:v>Baseline baris 22 — Pelaksanaan dan hasil: TERVERIFIKASI. Status Berlangsung pada P2MA belum membuktikan kegiatan atau output. Laporan pelaksanaan dan data hasil belum diperiksa.</x:v>
      </x:c>
      <x:c r="G15" s="63"/>
      <x:c r="H15" s="63" t="str">
        <x:v>Belum diberi skor karena target yang jatuh tempo dan bukti realisasi belum tersedia atau belum cukup terverifikasi.</x:v>
      </x:c>
      <x:c r="I15" s="32" t="str">
        <x:f>IF(AND(E15="BUKTI MEMADAI",COUNT(G15)&gt;0),G15/4*C15,"")</x:f>
      </x:c>
      <x:c r="J15" s="32" t="str">
        <x:f>IF(E15="BELUM DITELAAH","PERIKSA BUKTI",IF(E15="BUKTI MEMADAI",IF(COUNT(G15)=0,"ISI SKOR",IF(F15="","TULIS TEMUAN/BUKTI",IF(H15="","TULIS ALASAN","OK"))),IF(OR(E15="BUKTI BELUM MEMADAI",E15="BELUM DAPAT DINILAI"),IF(COUNT(G15)&gt;0,"HAPUS SKOR","BELUM DIISI"),"PERIKSA STATUS")))</x:f>
        <x:v>BELUM DIISI</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PBC'!F23&amp;". "&amp;'BASELINE PBC'!J23</x:f>
        <x:v>Eviden implementasi TERVERIFIKASI. Jumlah kegiatan dengan keterangan bukti: 2 | Bukti pertama: https://drive.google.com/drive/folders/19Rr0mz0pC43dVCLqL1n9mv07fy_G5Xhe?usp=sharing</x:v>
      </x:c>
      <x:c r="E16" s="63" t="str">
        <x:v>BUKTI BELUM MEMADAI</x:v>
      </x:c>
      <x:c r="F16" s="63" t="str">
        <x:v>Baseline baris 23 — Eviden implementasi: TERVERIFIKASI. Naskah dan entri P2MA tersedia, tetapi folder resmi, indeks, serta bukti implementasi belum diperiksa.</x:v>
      </x:c>
      <x:c r="G16" s="63"/>
      <x:c r="H16" s="63" t="str">
        <x:v>Belum diberi skor karena kelengkapan, konteks, lokasi, indeks, dan keterlacakan eviden belum memadai untuk menentukan skor.</x:v>
      </x:c>
      <x:c r="I16" s="32" t="str">
        <x:f>IF(AND(E16="BUKTI MEMADAI",COUNT(G16)&gt;0),G16/4*C16,"")</x:f>
      </x:c>
      <x:c r="J16" s="32" t="str">
        <x:f>IF(E16="BELUM DITELAAH","PERIKSA BUKTI",IF(E16="BUKTI MEMADAI",IF(COUNT(G16)=0,"ISI SKOR",IF(F16="","TULIS TEMUAN/BUKTI",IF(H16="","TULIS ALASAN","OK"))),IF(OR(E16="BUKTI BELUM MEMADAI",E16="BELUM DAPAT DINILAI"),IF(COUNT(G16)&gt;0,"HAPUS SKOR","BELUM DIISI"),"PERIKSA STATUS")))</x:f>
        <x:v>BELUM DIISI</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PBC'!F22&amp;". "&amp;'BASELINE PBC'!J22</x:f>
        <x:v>Pelaksanaan/hasil TERVERIFIKASI. Jumlah kegiatan terdata: 2 | Kegiatan pertama: Keterlibatan dalam pencatatan 2 HKI Cipta dalam kegiatan pangayoman Kanwil Kepulauan Riau | Status: Sudah Dilaksanakan</x:v>
      </x:c>
      <x:c r="E17" s="63" t="str">
        <x:v>BUKTI BELUM MEMADAI</x:v>
      </x:c>
      <x:c r="F17" s="63" t="str">
        <x:v>Baseline baris 22 — Pelaksanaan dan hasil: TERVERIFIKASI. Status Berlangsung pada P2MA belum membuktikan kegiatan atau output. Laporan pelaksanaan dan data hasil belum diperiksa. Target, output, hasil, dan data manfaat terukur belum tersedia secara lengkap.</x:v>
      </x:c>
      <x:c r="G17" s="63"/>
      <x:c r="H17" s="63" t="str">
        <x:v>Belum diberi skor karena output/hasil belum dapat dibandingkan dengan target organisasi dan data manfaat belum memadai.</x:v>
      </x:c>
      <x:c r="I17" s="32" t="str">
        <x:f>IF(AND(E17="BUKTI MEMADAI",COUNT(G17)&gt;0),G17/4*C17,"")</x:f>
      </x:c>
      <x:c r="J17" s="32" t="str">
        <x:f>IF(E17="BELUM DITELAAH","PERIKSA BUKTI",IF(E17="BUKTI MEMADAI",IF(COUNT(G17)=0,"ISI SKOR",IF(F17="","TULIS TEMUAN/BUKTI",IF(H17="","TULIS ALASAN","OK"))),IF(OR(E17="BUKTI BELUM MEMADAI",E17="BELUM DAPAT DINILAI"),IF(COUNT(G17)&gt;0,"HAPUS SKOR","BELUM DIISI"),"PERIKSA STATUS")))</x:f>
        <x:v>BELUM DIISI</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PBC'!F14&amp;"; PIC internal "&amp;'BASELINE PBC'!F19&amp;"; PIC mitra "&amp;'BASELINE PBC'!F20&amp;"; hambatan/gap "&amp;'BASELINE PBC'!F24&amp;". "&amp;'BASELINE PBC'!J24</x:f>
        <x:v>Masa berlaku TERVERIFIKASI; PIC internal BELUM TERVERIFIKASI; PIC mitra BELUM TERVERIFIKASI; hambatan/gap BELUM TERVERIFIKASI. Kendala/catatan pertama: </x:v>
      </x:c>
      <x:c r="E18" s="63" t="str">
        <x:v>BUKTI BELUM MEMADAI</x:v>
      </x:c>
      <x:c r="F18" s="63" t="str">
        <x:v>Masa berlaku TERVERIFIKASI. PIC internal BELUM TERVERIFIKASI; PIC mitra BELUM TERVERIFIKASI; rencana tindak lanjut BELUM TERVERIFIKASI; hambatan/gap BELUM TERVERIFIKASI. Hambatan operasional belum dikonfirmasi. Gap verifikasi sementara mencakup arsip internal, unit pengampu, PIC, rencana tindak lanjut, pelaksanaan, dan eviden. Nomor para pihak masih perlu ditranskripsikan dari naskah.</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3.75</x:v>
      </x:c>
      <x:c r="C21" s="32" t="str">
        <x:v>Kelengkapan</x:v>
      </x:c>
      <x:c r="D21" s="37" t="n">
        <x:f>COUNT(G13:G18)/6</x:f>
        <x:v>0.16666666666666666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&gt; H-180</x:v>
      </x:c>
      <x:c r="D27" s="32" t="str">
        <x:f>IF(C27="BELUM DAPAT DIPASTIKAN","V0 - DATA BELUM CUKUP",IF(OR(C27="SUDAH BERAKHIR",C27="H-30"),"E3 - MERAH",IF(C27="H-90","E2 - JINGGA",IF(C27="H-180","E1 - KUNING","E0 - HIJAU"))))</x:f>
        <x:v>E0 - HIJAU</x:v>
      </x:c>
      <x:c r="E27" s="32" t="str">
        <x:f>'BASELINE PBC'!G14</x:f>
        <x:v>P2MA publik menampilkan status Berlangsung, mulai 19 Maret 2025 dan berakhir 18 Maret 2030; tanggal sesuai data awal.</x:v>
      </x:c>
      <x:c r="F27" s="63"/>
      <x:c r="G27" s="63"/>
      <x:c r="H27" s="63"/>
      <x:c r="I27" s="63" t="str">
        <x:v>BELUM MULAI</x:v>
      </x:c>
      <x:c r="J27" s="32" t="str">
        <x:f>IF(D27="V0 - DATA BELUM CUKUP","LENGKAPI DATA",IF(OR(D27="E1 - KUNING",D27="E2 - JINGGA",D27="E3 - MERAH"),IF(OR(F27="",G27="",H27=""),"LENGKAPI TINDAKAN","OK"),"OK"))</x:f>
        <x:v>OK</x:v>
      </x:c>
    </x:row>
    <x:row r="28">
      <x:c r="A28" s="32" t="n">
        <x:v>2</x:v>
      </x:c>
      <x:c r="B28" s="32" t="str">
        <x:v>Aktivitas/tenggat</x:v>
      </x:c>
      <x:c r="C28" s="32" t="str">
        <x:f>IF(COUNTA('PELAKSANAAN KEGIATAN'!B7:B10)=0,"BELUM DIPERIKSA","ADA DATA KEGIATAN - PERLU VERIFIKASI")</x:f>
        <x:v>ADA DATA KEGIATAN - PERLU VERIFIKASI</x:v>
      </x:c>
      <x:c r="D28" s="32" t="str">
        <x:f>"V0 - DATA BELUM CUKUP"</x:f>
        <x:v>V0 - DATA BELUM CUKUP</x:v>
      </x:c>
      <x:c r="E28" s="32" t="str">
        <x:f>'BASELINE PBC'!J22</x:f>
        <x:v>Jumlah kegiatan terdata: 2 | Kegiatan pertama: Keterlibatan dalam pencatatan 2 HKI Cipta dalam kegiatan pangayoman Kanwil Kepulauan Riau | Status: Sudah Dilaksanakan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IF(COUNTA('PELAKSANAAN KEGIATAN'!E7:E10)=0,"BELUM DIPERIKSA","ADA KETERANGAN BUKTI - PERLU VERIFIKASI")</x:f>
        <x:v>ADA KETERANGAN BUKTI - PERLU VERIFIKASI</x:v>
      </x:c>
      <x:c r="D29" s="32" t="str">
        <x:f>"V0 - DATA BELUM CUKUP"</x:f>
        <x:v>V0 - DATA BELUM CUKUP</x:v>
      </x:c>
      <x:c r="E29" s="32" t="str">
        <x:f>'BASELINE PBC'!J23</x:f>
        <x:v>Jumlah kegiatan dengan keterangan bukti: 2 | Bukti pertama: https://drive.google.com/drive/folders/19Rr0mz0pC43dVCLqL1n9mv07fy_G5Xhe?usp=sharing</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PBC'!F19="TERVERIFIKASI","PIC DUA PIHAK TERSEDIA","PIC MITRA TERSEDIA; INTERNAL PERLU KONFIRMASI"))</x:f>
        <x:v>PIC MITRA TERSEDIA; INTERNAL PERLU KONFIRMASI</x:v>
      </x:c>
      <x:c r="D30" s="32" t="str">
        <x:f>IF(C30="PIC DUA PIHAK TERSEDIA","E0 - HIJAU","V0 - DATA BELUM CUKUP")</x:f>
        <x:v>V0 - DATA BELUM CUKUP</x:v>
      </x:c>
      <x:c r="E30" s="32" t="str">
        <x:f>'BASELINE PBC'!J20</x:f>
        <x:v>PIC mitra: Indah Andesta, S.Par., M.Sc | Jabatan: Kepala P3M &amp; Pustaka | Email: indah@pbc.ac.id | Status: Tetap | PIC cadangan: Henricus Yayan Setyanto. S.TP.. M.S.. M.T.P</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