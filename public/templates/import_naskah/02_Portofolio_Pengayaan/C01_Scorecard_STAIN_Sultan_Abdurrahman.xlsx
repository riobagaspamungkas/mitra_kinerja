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c1c466984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STAIN SAR" sheetId="1" r:id="R89247b4319f74800"/>
    <x:sheet xmlns:r="http://schemas.openxmlformats.org/officeDocument/2006/relationships" name="IDENTITAS &amp; PIC" sheetId="2" r:id="Rb39601055eba46c7"/>
    <x:sheet xmlns:r="http://schemas.openxmlformats.org/officeDocument/2006/relationships" name="PELAKSANAAN KEGIATAN" sheetId="3" r:id="R8bffd82fe2c246c9"/>
    <x:sheet xmlns:r="http://schemas.openxmlformats.org/officeDocument/2006/relationships" name="USULAN TINDAK LANJUT" sheetId="4" r:id="R960de34b704443fc"/>
    <x:sheet xmlns:r="http://schemas.openxmlformats.org/officeDocument/2006/relationships" name="BASELINE STAIN SAR" sheetId="5" r:id="Re7dc6617dcfb4ef7"/>
    <x:sheet xmlns:r="http://schemas.openxmlformats.org/officeDocument/2006/relationships" name="SCORECARD STAIN SAR" sheetId="6" r:id="Rb1908796611e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dd mmmm yyyy"/>
    <x:numFmt numFmtId="203" formatCode="@"/>
    <x:numFmt numFmtId="204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/>
    </x:xf>
    <x:xf numFmtId="204" fontId="0" fillId="6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782b5329e4207" /><Relationship Type="http://schemas.openxmlformats.org/officeDocument/2006/relationships/theme" Target="/xl/theme/theme1.xml" Id="Ra8550e7357cf4b51" /><Relationship Type="http://schemas.openxmlformats.org/officeDocument/2006/relationships/sharedStrings" Target="/xl/sharedStrings.xml" Id="Ra2e27f6080fc415a" /><Relationship Type="http://schemas.openxmlformats.org/officeDocument/2006/relationships/worksheet" Target="/xl/worksheets/sheet1.xml" Id="R89247b4319f74800" /><Relationship Type="http://schemas.openxmlformats.org/officeDocument/2006/relationships/worksheet" Target="/xl/worksheets/sheet2.xml" Id="Rb39601055eba46c7" /><Relationship Type="http://schemas.openxmlformats.org/officeDocument/2006/relationships/worksheet" Target="/xl/worksheets/sheet3.xml" Id="R8bffd82fe2c246c9" /><Relationship Type="http://schemas.openxmlformats.org/officeDocument/2006/relationships/worksheet" Target="/xl/worksheets/sheet4.xml" Id="R960de34b704443fc" /><Relationship Type="http://schemas.openxmlformats.org/officeDocument/2006/relationships/worksheet" Target="/xl/worksheets/sheet5.xml" Id="Re7dc6617dcfb4ef7" /><Relationship Type="http://schemas.openxmlformats.org/officeDocument/2006/relationships/worksheet" Target="/xl/worksheets/sheet6.xml" Id="Rb1908796611e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STAIN SULTAN ABDURRAHMAN KEPULAUAN RIAU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P05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Dr. Fadhila Yonata, M.Pd</x:v>
      </x:c>
      <x:c r="G5" s="31" t="str">
        <x:v>Nilai Berjalan</x:v>
      </x:c>
      <x:c r="H5" s="35" t="n">
        <x:f>'SCORECARD STAIN SAR'!B21</x:f>
        <x:v>3.75</x:v>
      </x:c>
    </x:row>
    <x:row r="6">
      <x:c r="A6" s="31" t="str">
        <x:v>Mitra</x:v>
      </x:c>
      <x:c r="B6" s="32" t="str">
        <x:v>Sekolah Tinggi Agama Islam Negeri Sultan Abdurrahman Kepulauan Riau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KEGIATAN'!B10&lt;&gt;"",1,0)+IF('PELAKSANAAN KEGIATAN'!B11&lt;&gt;"",1,0)+IF('PELAKSANAAN KEGIATAN'!B12&lt;&gt;"",1,0)</x:f>
        <x:v>1</x:v>
      </x:c>
      <x:c r="F6"/>
      <x:c r="G6" s="31" t="str">
        <x:v>Kelengkapan Scorecard</x:v>
      </x:c>
      <x:c r="H6" s="37" t="n">
        <x:f>'SCORECARD STAIN SAR'!D21</x:f>
        <x:v>0.16666666666666666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LANJUT'!B10&lt;&gt;"",1,0)+IF('USULAN TINDAK LANJUT'!B11&lt;&gt;"",1,0)+IF('USULAN TINDAK LANJUT'!B12&lt;&gt;"",1,0)</x:f>
        <x:v>0</x:v>
      </x:c>
      <x:c r="G7" s="31" t="str">
        <x:v>Kategori</x:v>
      </x:c>
      <x:c r="H7" s="39" t="str">
        <x:f>'SCORECARD STAIN SAR'!F21</x:f>
        <x:v>BELUM LENGKAP</x:v>
      </x:c>
    </x:row>
    <x:row r="8">
      <x:c r="A8" s="31" t="str">
        <x:v>Judul</x:v>
      </x:c>
      <x:c r="B8" s="32" t="str">
        <x:v>Fasilitasi Tri Dharma Perguruan Tinggi dan Pelayanan Hukum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KEGIATAN'!E10&lt;&gt;"",1,0)+IF('PELAKSANAAN KEGIATAN'!E11&lt;&gt;"",1,0)+IF('PELAKSANAAN KEGIATAN'!E12&lt;&gt;"",1,0)</x:f>
        <x:v>1</x:v>
      </x:c>
      <x:c r="G8" s="31" t="str">
        <x:v>Early Warning</x:v>
      </x:c>
      <x:c r="H8" s="39" t="str">
        <x:f>'SCORECARD STAIN SAR'!B32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STAIN SAR'!F20</x:f>
        <x:v>BELUM TERSEDIA</x:v>
      </x:c>
      <x:c r="C12" s="32" t="str">
        <x:f>'BASELINE STAIN SAR'!J20</x:f>
        <x:v>PIC mitra: Dr. Fadhila Yonata, M.Pd | Jabatan: Kepala P3M | Unit: STAIN Sultan Abdurrahman Kepri | Email: p3m@stainkepri.ac.id | Status: Tetap | PIC cadangan: Dwi Rio Sudarroji, M.Psi</x:v>
      </x:c>
      <x:c r="D12" s="32" t="str">
        <x:f>'BASELINE STAIN SAR'!K20</x:f>
        <x:v>Pembaruan tersedia sebagai referensi; status baseline tidak berubah otomatis dan tetap memerlukan verifikasi.</x:v>
      </x:c>
    </x:row>
    <x:row r="13">
      <x:c r="A13" s="39" t="str">
        <x:v>Rencana Tindak Lanjut</x:v>
      </x:c>
      <x:c r="B13" s="32" t="str">
        <x:f>'BASELINE STAIN SAR'!F21</x:f>
        <x:v>BELUM TERSEDIA</x:v>
      </x:c>
      <x:c r="C13" s="32" t="str">
        <x:f>'BASELINE STAIN SAR'!J21</x:f>
        <x:v>Belum ada usulan tindak lanjut terisi</x:v>
      </x:c>
      <x:c r="D13" s="32" t="str">
        <x:f>'BASELINE STAIN SAR'!K21</x:f>
        <x:v>Tidak ada pembaruan yang mengubah baseline.</x:v>
      </x:c>
    </x:row>
    <x:row r="14">
      <x:c r="A14" s="39" t="str">
        <x:v>Pelaksanaan &amp; Hasil</x:v>
      </x:c>
      <x:c r="B14" s="32" t="str">
        <x:f>'BASELINE STAIN SAR'!F22</x:f>
        <x:v>BELUM TERSEDIA</x:v>
      </x:c>
      <x:c r="C14" s="32" t="str">
        <x:f>'BASELINE STAIN SAR'!J22</x:f>
        <x:v>Jumlah kegiatan terdata: 1 | Kegiatan pertama: Fasilitasi pendaftaran kekayaan intelektuan | Status: Sedang Berjalan</x:v>
      </x:c>
      <x:c r="D14" s="32" t="str">
        <x:f>'BASELINE STAIN SAR'!K22</x:f>
        <x:v>Pembaruan tersedia sebagai referensi; status baseline tidak berubah otomatis dan tetap memerlukan verifikasi.</x:v>
      </x:c>
    </x:row>
    <x:row r="15">
      <x:c r="A15" s="39" t="str">
        <x:v>Eviden Implementasi</x:v>
      </x:c>
      <x:c r="B15" s="32" t="str">
        <x:f>'BASELINE STAIN SAR'!F23</x:f>
        <x:v>BELUM TERSEDIA</x:v>
      </x:c>
      <x:c r="C15" s="32" t="str">
        <x:f>'BASELINE STAIN SAR'!J23</x:f>
        <x:v>Jumlah kegiatan dengan keterangan bukti: 1 | Bukti pertama: 	
Nomor Pendaftaran : EC002026157468</x:v>
      </x:c>
      <x:c r="D15" s="32" t="str">
        <x:f>'BASELINE STAIN SAR'!K23</x:f>
        <x:v>Pembaruan tersedia sebagai referensi; status baseline tidak berubah otomatis dan tetap memerlukan verifikasi.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STAIN SAR: formulir stakeholder memuat PIC utama Dr. Fadhila Yonata, M.Pd, PIC cadangan Dwi Rio Sudarroji, M.Psi, serta 1 kegiatan fasilitasi pendaftaran Kekayaan Intelektual yang sedang berjalan dengan nomor pendaftaran EC002026157468. Belum terdapat usulan tindak lanjut pada formulir. Baseline historis tetap 5 TERVERIFIKASI dan 7 BELUM TERSEDIA; pembaruan stakeholder tidak otomatis mengubah status atau skor sebelum verifikasi.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STAIN SULTAN ABDURRAHMAN KEPULAUAN RIAU</x:v>
      </x:c>
      <x:c r="B1" s="5"/>
      <x:c r="C1" s="5"/>
      <x:c r="D1" s="5"/>
      <x:c r="E1" s="5"/>
      <x:c r="F1" s="5"/>
      <x:c r="G1" s="5"/>
      <x:c r="H1"/>
    </x:row>
    <x:row r="2">
      <x:c r="A2" s="58" t="str">
        <x:v>Data identitas dan PIC berasal dari formulir stakeholder STAIN Sultan Abdurrahman Kepulauan Riau. Pembaruan menjadi referensi otomatis pada Baseline dan Scorecard, tetapi status dan skor tetap memerlukan verifikasi.</x:v>
      </x:c>
      <x:c r="B2" s="58"/>
      <x:c r="C2" s="58"/>
      <x:c r="D2" s="58"/>
      <x:c r="E2" s="58"/>
      <x:c r="F2" s="58"/>
      <x:c r="G2" s="58"/>
      <x:c r="H2"/>
    </x:row>
    <x:row r="3">
      <x:c r="A3"/>
      <x:c r="B3"/>
      <x:c r="C3"/>
      <x:c r="D3"/>
      <x:c r="E3"/>
      <x:c r="F3"/>
      <x:c r="G3"/>
      <x:c r="H3"/>
    </x:row>
    <x:row r="4" ht="22" customHeight="1">
      <x:c r="A4" s="18" t="str">
        <x:v>A. IDENTITAS KERJA SAMA</x:v>
      </x:c>
      <x:c r="B4" s="18"/>
      <x:c r="C4" s="18"/>
      <x:c r="D4" s="18"/>
      <x:c r="E4" s="18"/>
      <x:c r="F4" s="18"/>
      <x:c r="G4" s="18"/>
      <x:c r="H4"/>
    </x:row>
    <x:row r="5">
      <x:c r="A5" s="31" t="str">
        <x:v>Nama Mitra</x:v>
      </x:c>
      <x:c r="B5" s="32"/>
      <x:c r="C5" s="63" t="str">
        <x:v>STAIN SULTAN ABDURRAHMAN KEPULAUAN RIAU</x:v>
      </x:c>
      <x:c r="D5" s="63"/>
      <x:c r="E5" s="63"/>
      <x:c r="F5" s="63"/>
      <x:c r="G5" s="63"/>
      <x:c r="H5"/>
    </x:row>
    <x:row r="6">
      <x:c r="A6" s="31" t="str">
        <x:v>Nomor Nota Kesepahaman/Perjanjian Kerja Sama</x:v>
      </x:c>
      <x:c r="B6" s="32"/>
      <x:c r="C6" s="63" t="str">
        <x:v>W.32.HH.04.04-1114 dan B-700/Sti.20/1.2/HM.01/03/2025</x:v>
      </x:c>
      <x:c r="D6" s="63"/>
      <x:c r="E6" s="63"/>
      <x:c r="F6" s="63"/>
      <x:c r="G6" s="63"/>
      <x:c r="H6"/>
    </x:row>
    <x:row r="7">
      <x:c r="A7" s="31" t="str">
        <x:v>Tanggal</x:v>
      </x:c>
      <x:c r="B7" s="32"/>
      <x:c r="C7" s="96" t="str">
        <x:v>19 MARET 2025</x:v>
      </x:c>
      <x:c r="D7" s="63"/>
      <x:c r="E7" s="63"/>
      <x:c r="F7" s="63"/>
      <x:c r="G7" s="63"/>
      <x:c r="H7"/>
    </x:row>
    <x:row r="8">
      <x:c r="A8" s="31" t="str">
        <x:v>Ruang Lingkup</x:v>
      </x:c>
      <x:c r="B8" s="32"/>
      <x:c r="C8" s="63" t="str">
        <x:v>Pendidikan dan Pengajaran; Penelitian dan Pengembangan Hukum; Pengabdian kepada Masyarakat; Pelaksanaan Merdeka Belajar Kampus Merdeka; Fasilitasi Pendaftaran kekayaan Intelektual dan Penguatan Sentra Kekayaan Intelektual; Peningkatan dan Pengembangan Jaringan Dokumentasi dan Informasi Hukum; dan Kegiatan Lain yang Disepakati Para PIHAK sesuai tujuan Nota Kesepahaman</x:v>
      </x:c>
      <x:c r="D8" s="63"/>
      <x:c r="E8" s="63"/>
      <x:c r="F8" s="63"/>
      <x:c r="G8" s="63"/>
      <x:c r="H8"/>
    </x:row>
    <x:row r="9">
      <x:c r="A9"/>
      <x:c r="B9"/>
      <x:c r="C9"/>
      <x:c r="D9"/>
      <x:c r="E9"/>
      <x:c r="F9"/>
      <x:c r="G9"/>
      <x:c r="H9"/>
    </x:row>
    <x:row r="10" ht="22" customHeight="1">
      <x:c r="A10" s="18" t="str">
        <x:v>B. PIC UTAMA</x:v>
      </x:c>
      <x:c r="B10" s="18"/>
      <x:c r="C10" s="18"/>
      <x:c r="D10" s="18"/>
      <x:c r="E10" s="18"/>
      <x:c r="F10" s="18"/>
      <x:c r="G10" s="18"/>
      <x:c r="H10"/>
    </x:row>
    <x:row r="11">
      <x:c r="A11" s="31" t="str">
        <x:v>Nama Lengkap*</x:v>
      </x:c>
      <x:c r="B11" s="32"/>
      <x:c r="C11" s="63" t="str">
        <x:v>Dr. Fadhila Yonata, M.Pd</x:v>
      </x:c>
      <x:c r="D11" s="32"/>
      <x:c r="E11" s="31" t="str">
        <x:v>Jabatan*</x:v>
      </x:c>
      <x:c r="F11" s="32"/>
      <x:c r="G11" s="63" t="str">
        <x:v>Kepala P3M</x:v>
      </x:c>
      <x:c r="H11"/>
    </x:row>
    <x:row r="12">
      <x:c r="A12" s="31" t="str">
        <x:v>Unit Kerja*</x:v>
      </x:c>
      <x:c r="B12" s="32"/>
      <x:c r="C12" s="63" t="str">
        <x:v>STAIN Sultan Abdurrahman Kepri</x:v>
      </x:c>
      <x:c r="D12" s="32"/>
      <x:c r="E12" s="31" t="str">
        <x:v>No. HP/WA*</x:v>
      </x:c>
      <x:c r="F12" s="32"/>
      <x:c r="G12" s="101" t="n">
        <x:v>6281364516151</x:v>
      </x:c>
      <x:c r="H12"/>
    </x:row>
    <x:row r="13">
      <x:c r="A13" s="31" t="str">
        <x:v>Email Resmi*</x:v>
      </x:c>
      <x:c r="B13" s="32"/>
      <x:c r="C13" s="63" t="str">
        <x:v>p3m@stainkepri.ac.id</x:v>
      </x:c>
      <x:c r="D13" s="32"/>
      <x:c r="E13" s="31" t="str">
        <x:v>Status</x:v>
      </x:c>
      <x:c r="F13" s="32"/>
      <x:c r="G13" s="101" t="str">
        <x:v>Tetap</x:v>
      </x:c>
      <x:c r="H13"/>
    </x:row>
    <x:row r="14">
      <x:c r="A14"/>
      <x:c r="B14"/>
      <x:c r="C14"/>
      <x:c r="D14"/>
      <x:c r="E14"/>
      <x:c r="F14"/>
      <x:c r="G14" s="102"/>
      <x:c r="H14"/>
    </x:row>
    <x:row r="15" ht="22" customHeight="1">
      <x:c r="A15" s="18" t="str">
        <x:v>C. PIC CADANGAN</x:v>
      </x:c>
      <x:c r="B15" s="18"/>
      <x:c r="C15" s="18"/>
      <x:c r="D15" s="18"/>
      <x:c r="E15" s="18"/>
      <x:c r="F15" s="18"/>
      <x:c r="G15" s="103"/>
      <x:c r="H15"/>
    </x:row>
    <x:row r="16">
      <x:c r="A16" s="31" t="str">
        <x:v>Nama Lengkap*</x:v>
      </x:c>
      <x:c r="B16" s="32"/>
      <x:c r="C16" s="63" t="str">
        <x:v>Dwi Rio Sudarroji, M.Psi</x:v>
      </x:c>
      <x:c r="D16" s="32"/>
      <x:c r="E16" s="31" t="str">
        <x:v>Jabatan*</x:v>
      </x:c>
      <x:c r="F16" s="32"/>
      <x:c r="G16" s="101" t="str">
        <x:v>Sekretaris P3M</x:v>
      </x:c>
      <x:c r="H16"/>
    </x:row>
    <x:row r="17">
      <x:c r="A17" s="31" t="str">
        <x:v>Unit Kerja*</x:v>
      </x:c>
      <x:c r="B17" s="32"/>
      <x:c r="C17" s="63" t="str">
        <x:v>STAIN Sultan Abdurrahman Kepri</x:v>
      </x:c>
      <x:c r="D17" s="32"/>
      <x:c r="E17" s="31" t="str">
        <x:v>No. HP/WA*</x:v>
      </x:c>
      <x:c r="F17" s="32"/>
      <x:c r="G17" s="101" t="n">
        <x:v>6281276099612</x:v>
      </x:c>
      <x:c r="H17"/>
    </x:row>
    <x:row r="18">
      <x:c r="A18" s="31" t="str">
        <x:v>Email Resmi*</x:v>
      </x:c>
      <x:c r="B18" s="32"/>
      <x:c r="C18" s="63" t="str">
        <x:v>p3m@stainkepri.ac.id</x:v>
      </x:c>
      <x:c r="D18" s="32"/>
      <x:c r="E18" s="31" t="str">
        <x:v>Status</x:v>
      </x:c>
      <x:c r="F18" s="32"/>
      <x:c r="G18" s="63" t="str">
        <x:v>Tetap</x:v>
      </x:c>
      <x:c r="H18"/>
    </x:row>
    <x:row r="19">
      <x:c r="A19"/>
      <x:c r="B19"/>
      <x:c r="C19"/>
      <x:c r="D19"/>
      <x:c r="E19"/>
      <x:c r="F19"/>
      <x:c r="G19"/>
      <x:c r="H19"/>
    </x:row>
    <x:row r="20" ht="22" customHeight="1">
      <x:c r="A20" s="18" t="str">
        <x:v>D. KONFIRMASI RAPAT PENGUATAN PIC</x:v>
      </x:c>
      <x:c r="B20" s="18"/>
      <x:c r="C20" s="18"/>
      <x:c r="D20" s="18"/>
      <x:c r="E20" s="18"/>
      <x:c r="F20" s="18"/>
      <x:c r="G20" s="18"/>
      <x:c r="H20"/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 t="str">
        <x:v>Dr. Fadhila Yonata, M.Pd</x:v>
      </x:c>
      <x:c r="H21"/>
    </x:row>
    <x:row r="22">
      <x:c r="A22" s="31" t="str">
        <x:v>Pertanyaan/Kebutuhan Awal</x:v>
      </x:c>
      <x:c r="B22" s="32"/>
      <x:c r="C22" s="63" t="str">
        <x:v>&lt;misal: penjelasan data, jadwal, atau pihak yang perlu dihubungi&gt;</x:v>
      </x:c>
      <x:c r="D22" s="32"/>
      <x:c r="E22" s="32"/>
      <x:c r="F22" s="32"/>
      <x:c r="G22" s="32"/>
      <x:c r="H22"/>
    </x:row>
    <x:row r="23">
      <x:c r="A23"/>
      <x:c r="B23"/>
      <x:c r="C23"/>
      <x:c r="D23"/>
      <x:c r="E23"/>
      <x:c r="F23"/>
      <x:c r="G23"/>
      <x:c r="H23"/>
    </x:row>
    <x:row r="24">
      <x:c r="A24" s="66" t="str">
        <x:v>Data kontak digunakan untuk koordinasi, monitoring, evaluasi, dan tindak lanjut pelaksanaan kerja sama.</x:v>
      </x:c>
      <x:c r="B24" s="66"/>
      <x:c r="C24" s="66"/>
      <x:c r="D24" s="66"/>
      <x:c r="E24" s="66"/>
      <x:c r="F24" s="66"/>
      <x:c r="G24" s="66"/>
      <x:c r="H24"/>
    </x:row>
    <x:row r="25">
      <x:c r="A25"/>
      <x:c r="B25"/>
      <x:c r="C25"/>
      <x:c r="D25"/>
      <x:c r="E25"/>
      <x:c r="F25"/>
      <x:c r="G25"/>
      <x:c r="H25"/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STAIN SAR</x:v>
      </x:c>
      <x:c r="B1" s="5"/>
      <x:c r="C1" s="5"/>
      <x:c r="D1" s="5"/>
      <x:c r="E1" s="5"/>
      <x:c r="F1" s="5"/>
    </x:row>
    <x:row r="2">
      <x:c r="A2" s="58" t="str">
        <x:v>Data kegiatan berasal dari formulir stakeholder STAIN SAR dan menjadi referensi otomatis; bukti tetap perlu diperiksa sebelum memengaruhi status Baseline atau skor.</x:v>
      </x:c>
      <x:c r="B2" s="58"/>
      <x:c r="C2" s="58"/>
      <x:c r="D2" s="58"/>
      <x:c r="E2" s="58"/>
      <x:c r="F2" s="58"/>
    </x:row>
    <x:row r="3">
      <x:c r="A3"/>
      <x:c r="B3"/>
      <x:c r="C3"/>
      <x:c r="D3"/>
      <x:c r="E3"/>
      <x:c r="F3"/>
    </x:row>
    <x:row r="4">
      <x:c r="A4" s="70" t="str">
        <x:v>Isi hanya kegiatan utama. Jika belum ada kegiatan, sheet ini boleh dikosongkan. Kolom tanpa tanda * bersifat opsional.</x:v>
      </x:c>
      <x:c r="B4" s="70"/>
      <x:c r="C4" s="70"/>
      <x:c r="D4" s="70"/>
      <x:c r="E4" s="70"/>
      <x:c r="F4" s="70"/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 t="n">
        <x:v>1</x:v>
      </x:c>
      <x:c r="B7" s="63" t="str">
        <x:v>Fasilitasi pendaftaran kekayaan intelektuan</x:v>
      </x:c>
      <x:c r="C7" s="63" t="str">
        <x:v>Sedang Berjalan</x:v>
      </x:c>
      <x:c r="D7" s="63" t="str">
        <x:v>Terdaftarnya karya dosen/mahasiswa</x:v>
      </x:c>
      <x:c r="E7" s="63" t="str">
        <x:v>	
Nomor Pendaftaran : EC002026157468</x:v>
      </x:c>
      <x:c r="F7" s="63" t="str">
        <x:v>Tidak ada</x:v>
      </x:c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STAIN SAR</x:v>
      </x:c>
      <x:c r="B1" s="5"/>
      <x:c r="C1" s="5"/>
      <x:c r="D1" s="5"/>
      <x:c r="E1" s="5"/>
      <x:c r="F1" s="5"/>
    </x:row>
    <x:row r="2">
      <x:c r="A2" s="58" t="str">
        <x:v>Usulan tindak lanjut diisi jika sudah dikonfirmasi oleh PIC/unit/mitra. Data menjadi referensi otomatis, tetapi tidak mengubah skor tanpa verifikasi.</x:v>
      </x:c>
      <x:c r="B2" s="58"/>
      <x:c r="C2" s="58"/>
      <x:c r="D2" s="58"/>
      <x:c r="E2" s="58"/>
      <x:c r="F2" s="58"/>
    </x:row>
    <x:row r="3">
      <x:c r="A3"/>
      <x:c r="B3"/>
      <x:c r="C3"/>
      <x:c r="D3"/>
      <x:c r="E3"/>
      <x:c r="F3"/>
    </x:row>
    <x:row r="4">
      <x:c r="A4" s="70" t="str">
        <x:v>Cukup isi usulan prioritas. Kolom E–F opsional: bantuan = data/narasumber/surat/fasilitasi; pihak = unit atau instansi yang perlu diajak berkoordinasi.</x:v>
      </x:c>
      <x:c r="B4" s="70"/>
      <x:c r="C4" s="70"/>
      <x:c r="D4" s="70"/>
      <x:c r="E4" s="70"/>
      <x:c r="F4" s="70"/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STAIN SULTAN ABDURRAHMAN KEPULAUAN RIAU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P05 — PILOT UTAMA — Sekolah Tinggi Agama Islam Negeri Sultan Abdurrahman Kepulauan Riau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P05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Nur'ah Darina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Sekolah Tinggi Agama Islam Negeri Sultan Abdurrahman Kepulauan Riau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TERVERIFIKASI</x:v>
      </x:c>
      <x:c r="F7" s="32" t="str">
        <x:v>BELUM TERVERIFIKASI</x:v>
      </x:c>
      <x:c r="G7" s="31" t="str">
        <x:v>Tanggal pemeriksaan</x:v>
      </x:c>
      <x:c r="H7" s="75" t="n">
        <x:v>46267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Fasilitasi Tri Dharma Perguruan Tinggi dan Pelayanan Hukum</x:v>
      </x:c>
      <x:c r="C8" s="32"/>
      <x:c r="D8" s="31"/>
      <x:c r="E8" s="32"/>
      <x:c r="F8" s="32"/>
      <x:c r="G8" s="31" t="str">
        <x:v>Cut-off baseline</x:v>
      </x:c>
      <x:c r="H8" s="75" t="n">
        <x:v>46267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45735</x:v>
      </x:c>
      <x:c r="C9" s="32"/>
      <x:c r="D9" s="31" t="str">
        <x:v>Tanggal berakhir awal</x:v>
      </x:c>
      <x:c r="E9" s="75" t="n">
        <x:v>47560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 September 2026. Isian ini belum merupakan verifikasi resmi; nomor naskah, arsip internal, PIC, pelaksanaan, eviden, dan hambatan tetap harus dikonfirmasi.</x:v>
      </x:c>
      <x:c r="B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C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D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E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F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G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H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I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dan judul dapat dicocokkan dengan hasil pencarian/naskah P2MA. Pencarian menghasilkan dua entri; naskah dipilih berdasarkan judul dan tautan PDF yang sesuai. Terdapat nomor para pihak yang berupa nomor telepon kantor.</x:v>
      </x:c>
      <x:c r="H13" s="32" t="str">
        <x:v>https://p2ma.kemenkum.go.id/uploads/kerjasama/naskah/1758075052.pdf</x:v>
      </x:c>
      <x:c r="I13" s="32" t="str">
        <x:v>Kanwil Kemenkum Kepri : +628117709007
STAIN SAR : 07714442607</x:v>
      </x:c>
      <x:c r="J13" s="63" t="str">
        <x:f>'IDENTITAS &amp; PIC'!C5</x:f>
        <x:v>STAIN SULTAN ABDURRAHMAN KEPULAUAN RIAU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19 Maret 2025 dan berakhir 18 Maret 2030; tanggal sesuai data awal.</x:v>
      </x:c>
      <x:c r="H14" s="32" t="str">
        <x:v>https://p2ma.kemenkum.go.id/kdn/pencarian?tipe=1&amp;keyword=Sekolah%20Tinggi%20Agama%20Islam%20Negeri%20Sultan%20Abdurrahman%20Kepulauan%20Riau</x:v>
      </x:c>
      <x:c r="I14" s="32" t="str">
        <x:v>Tanggal sesuai antara naskah final dan P2MA publik</x:v>
      </x:c>
      <x:c r="J14" s="96" t="str">
        <x:f>'IDENTITAS &amp; PIC'!C7</x:f>
        <x:v>19 MARET 2025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meliputi:
1. Pendidikan dan pengajaran;
2. Penelitian dan pengembangan hukum; 
3. Pengabdian kepada masyarakat; 
4. Pelaksanaan Merdeka Belanjar Kampus Merdeka;
5. Fasilitasi Pendaftaran KI dan penguatan Sentra KI;
6. Peningkatan dan Pengembangan Kompetensi SDM;
7. Asistensi Pengembangan JDIH;
8. serta kegiatan lain yang disepakati Para Pihak sesuai tujuan Nota Kesepahaman ini.</x:v>
      </x:c>
      <x:c r="H15" s="32" t="str">
        <x:v>https://p2ma.kemenkum.go.id/uploads/kerjasama/naskah/1758075052.pdf</x:v>
      </x:c>
      <x:c r="I15" s="32" t="str">
        <x:v>Ruang lingkup sesuai antara naskah di P2MA dan hardcopy</x:v>
      </x:c>
      <x:c r="J15" s="63" t="str">
        <x:f>IF('IDENTITAS &amp; PIC'!C8="","Belum ada pembaruan ruang lingkup",'IDENTITAS &amp; PIC'!C8)</x:f>
        <x:v>Pendidikan dan Pengajaran; Penelitian dan Pengembangan Hukum; Pengabdian kepada Masyarakat; Pelaksanaan Merdeka Belajar Kampus Merdeka; Fasilitasi Pendaftaran kekayaan Intelektual dan Penguatan Sentra Kekayaan Intelektual; Peningkatan dan Pengembangan Jaringan Dokumentasi dan Informasi Hukum; dan Kegiatan Lain yang Disepakati Para PIHAK sesuai tujuan Nota Kesepahaman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naskah asli pada Bagian Umum Tim TU</x:v>
      </x:c>
      <x:c r="H16" s="32" t="str">
        <x:v>Naskah P2MA pada halaman 6; arsip internal pada Bagian Umum Tim TU</x:v>
      </x:c>
      <x:c r="I16" s="32" t="str">
        <x:v>Penyimpanan Naskah asli pada Tim TU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Dua hasil ditemukan; entri Fasilitasi Tri Dharma dan Pelayanan Hukum dipilih berdasarkan judul/PDF.</x:v>
      </x:c>
      <x:c r="H17" s="32" t="str">
        <x:v>https://p2ma.kemenkum.go.id/kdn/pencarian?tipe=1&amp;keyword=Sekolah%20Tinggi%20Agama%20Islam%20Negeri%20Sultan%20Abdurrahman%20Kepulauan%20Riau</x:v>
      </x:c>
      <x:c r="I17" s="32" t="str">
        <x:v>Pemeriksaan publik dilakukan pada 2 September 2026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Belum terdapat sumber bukti yang menunjukkan unit pengampu/internal yang bertanggung jawab atas implementasi kerja sama</x:v>
      </x:c>
      <x:c r="H18" s="32" t="str">
        <x:v>Naskah/P2MA publik; ND, SK, pembagian tugas, atau konfirmasi unit belum diperoleh secara menyeluruh</x:v>
      </x:c>
      <x:c r="I18" s="32" t="str">
        <x:v>Konfirmasi kepada PIC yang ditunjuk untuk mewakili pengampu substansi kerja sama.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dapat dipastikan dari sumber publik yang diperiksa. Dari naskah MoU hanya terdapat alamat, nomot telepon dan email kantor saja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atau formulir penunjukan. Dari naskah MoU hanya terdapat alamat, nomot telepon dan email kantor saja</x:v>
      </x:c>
      <x:c r="H20" s="32" t="str">
        <x:v>Surat/email/formulir penunjukan PIC mitra belum diperoleh.</x:v>
      </x:c>
      <x:c r="I20" s="32" t="str">
        <x:v>Penandatangan atau koresponden dalam naskah tidak otomatis menjadi PIC operasional.</x:v>
      </x:c>
      <x:c r="J20" s="63" t="str">
        <x:f>IF(OR('IDENTITAS &amp; PIC'!C11="",LEFT('IDENTITAS &amp; PIC'!C11,1)="&lt;"),"Belum ada PIC mitra yang diisi","PIC mitra: "&amp;'IDENTITAS &amp; PIC'!C11&amp;" | Jabatan: "&amp;'IDENTITAS &amp; PIC'!G11&amp;" | Unit: "&amp;'IDENTITAS &amp; PIC'!C12&amp;" | Email: "&amp;TRIM('IDENTITAS &amp; PIC'!C13)&amp;" | Status: "&amp;'IDENTITAS &amp; PIC'!G13&amp;" | PIC cadangan: "&amp;'IDENTITAS &amp; PIC'!C16)</x:f>
        <x:v>PIC mitra: Dr. Fadhila Yonata, M.Pd | Jabatan: Kepala P3M | Unit: STAIN Sultan Abdurrahman Kepri | Email: p3m@stainkepri.ac.id | Status: Tetap | PIC cadangan: Dwi Rio Sudarroji, M.Psi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IF((IF('USULAN TINDAK LANJUT'!B7&lt;&gt;"",1,0)+IF('USULAN TINDAK LANJUT'!B8&lt;&gt;"",1,0)+IF('USULAN TINDAK LANJUT'!B9&lt;&gt;"",1,0)+IF('USULAN TINDAK LANJUT'!B10&lt;&gt;"",1,0)+IF('USULAN TINDAK LANJUT'!B11&lt;&gt;"",1,0)+IF('USULAN TINDAK LANJUT'!B12&lt;&gt;"",1,0))=0,"Belum ada usulan tindak lanjut terisi","Jumlah usulan: "&amp;(IF('USULAN TINDAK LANJUT'!B7&lt;&gt;"",1,0)+IF('USULAN TINDAK LANJUT'!B8&lt;&gt;"",1,0)+IF('USULAN TINDAK LANJUT'!B9&lt;&gt;"",1,0)+IF('USULAN TINDAK LANJUT'!B10&lt;&gt;"",1,0)+IF('USULAN TINDAK LANJUT'!B11&lt;&gt;"",1,0)+IF('USULAN TINDAK LANJUT'!B12&lt;&gt;"",1,0))&amp;"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BELUM TERSEDIA</x:v>
      </x:c>
      <x:c r="G22" s="32" t="str">
        <x:v>Status Berlangsung pada P2MA belum membuktikan kegiatan atau output. Laporan pelaksanaan dan data hasil belum diperiksa.</x:v>
      </x:c>
      <x:c r="H22" s="32" t="str">
        <x:v>Laporan, undangan, notula, daftar hadir, dan data hasil belum diperoleh.</x:v>
      </x:c>
      <x:c r="I22" s="32" t="str">
        <x:v>Konfirmasi kegiatan aktual kepada unit pengampu serta PIC internal dan mitra.</x:v>
      </x:c>
      <x:c r="J22" s="63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ada kegiatan pada sheet pelaksanaan","Jumlah kegiatan terdata: "&amp;(IF('PELAKSANAAN KEGIATAN'!B7&lt;&gt;"",1,0)+IF('PELAKSANAAN KEGIATAN'!B8&lt;&gt;"",1,0)+IF('PELAKSANAAN KEGIATAN'!B9&lt;&gt;"",1,0)+IF('PELAKSANAAN KEGIATAN'!B10&lt;&gt;"",1,0)+IF('PELAKSANAAN KEGIATAN'!B11&lt;&gt;"",1,0)+IF('PELAKSANAAN KEGIATAN'!B12&lt;&gt;"",1,0))&amp;" | Kegiatan pertama: "&amp;'PELAKSANAAN KEGIATAN'!B7&amp;" | Status: "&amp;'PELAKSANAAN KEGIATAN'!C7)</x:f>
        <x:v>Jumlah kegiatan terdata: 1 | Kegiatan pertama: Fasilitasi pendaftaran kekayaan intelektuan | Status: Sedang Berjalan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implementasi belum diperiksa.</x:v>
      </x:c>
      <x:c r="H23" s="32" t="str">
        <x:v>Folder eviden, indeks bukti, dan dokumen/data kegiatan belum diperoleh.</x:v>
      </x:c>
      <x:c r="I23" s="32" t="str">
        <x:v>Naskah kerja sama bukan eviden pelaksanaan.</x:v>
      </x:c>
      <x:c r="J23" s="63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KEGIATAN'!E10&lt;&gt;"",1,0)+IF('PELAKSANAAN KEGIATAN'!E11&lt;&gt;"",1,0)+IF('PELAKSANAAN KEGIATAN'!E12&lt;&gt;"",1,0))&amp;" | Bukti pertama: "&amp;'PELAKSANAAN KEGIATAN'!E7)</x:f>
        <x:v>Jumlah kegiatan dengan keterangan bukti: 1 | Bukti pertama: 	
Nomor Pendaftaran : EC002026157468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Hambatan operasional belum dikonfirmasi. Gap verifikasi sementara mencakup arsip internal, unit pengampu, PIC, rencana tindak lanjut, pelaksanaan, dan eviden. Nomor para pihak masih perlu ditranskripsikan dari naskah.</x:v>
      </x:c>
      <x:c r="H24" s="32" t="str">
        <x:v>Penelusuran publik P2MA; konfirmasi unit/PIC/mitra belum dilakukan.</x:v>
      </x:c>
      <x:c r="I24" s="32" t="str">
        <x:v>Pisahkan gap data verifikasi dari hambatan pelaksanaan yang benar-benar dialami.</x:v>
      </x:c>
      <x:c r="J24" s="63" t="str">
        <x:f>IF((IF('PELAKSANAAN KEGIATAN'!F7&lt;&gt;"",1,0)+IF('PELAKSANAAN KEGIATAN'!F8&lt;&gt;"",1,0)+IF('PELAKSANAAN KEGIATAN'!F9&lt;&gt;"",1,0)+IF('PELAKSANAAN KEGIATAN'!F10&lt;&gt;"",1,0)+IF('PELAKSANAAN KEGIATAN'!F11&lt;&gt;"",1,0)+IF('PELAKSANAAN KEGIATAN'!F12&lt;&gt;"",1,0))=0,"Belum ada kendala/catatan pada sheet pelaksanaan","Kendala/catatan pertama: "&amp;'PELAKSANAAN KEGIATAN'!F7)</x:f>
        <x:v>Kendala/catatan pertama: Tidak ada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5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 t="str">
        <x:v>P2MA publik menunjukkan naskah berstatus Berlangsung. 3 dari 12 elemen telah dapat diverifikasi pada tahap pemeriksaan meja; elemen lain masih memerlukan bukti internal atau konfirmasi.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0</x:v>
      </x:c>
      <x:c r="C30" s="32"/>
      <x:c r="D30" s="32" t="str">
        <x:v>Proporsi status terverifikasi</x:v>
      </x:c>
      <x:c r="E30" s="37" t="n">
        <x:f>IF((12-B32)=0,0,B29/(12-B32))</x:f>
        <x:v>0.4166666666666667</x:v>
      </x:c>
      <x:c r="F30"/>
      <x:c r="G30"/>
      <x:c r="H30" t="str">
        <x:v>P2MA publik menunjukkan naskah berstatus Berlangsung. 3 dari 12 elemen telah dapat diverifikasi pada tahap pemeriksaan meja; elemen lain masih memerlukan bukti internal atau konfirmasi.</x:v>
      </x:c>
      <x:c r="I30" t="str">
        <x:v>P2MA publik menunjukkan naskah berstatus Berlangsung. 3 dari 12 elemen telah dapat diverifikasi pada tahap pemeriksaan meja; elemen lain masih memerlukan bukti internal atau konfirmasi.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7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1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2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 t="str">
        <x:v>Gunakan hasil ini sebagai daftar pertanyaan untuk unit pengampu dan forum PIC. Jangan menghitung Scorecard efektivitas sebelum gap prioritas diverifikasi.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 Jangan menghitung Scorecard efektivitas sebelum gap prioritas diverifikasi.</x:v>
      </x:c>
      <x:c r="I34" t="str">
        <x:v>Gunakan hasil ini sebagai daftar pertanyaan untuk unit pengampu dan forum PIC. Jangan menghitung Scorecard efektivitas sebelum gap prioritas diverifikasi.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C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D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E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F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G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H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I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STAIN SAR</x:v>
      </x:c>
      <x:c r="B1" s="5" t="str">
        <x:v>SCORECARD EFEKTIVITAS MITRA KINERJA V1.1 — P05</x:v>
      </x:c>
      <x:c r="C1" s="5" t="str">
        <x:v>SCORECARD EFEKTIVITAS MITRA KINERJA V1.1 — P05</x:v>
      </x:c>
      <x:c r="D1" s="5" t="str">
        <x:v>SCORECARD EFEKTIVITAS MITRA KINERJA V1.1 — P05</x:v>
      </x:c>
      <x:c r="E1" s="5" t="str">
        <x:v>SCORECARD EFEKTIVITAS MITRA KINERJA V1.1 — P05</x:v>
      </x:c>
      <x:c r="F1" s="5" t="str">
        <x:v>SCORECARD EFEKTIVITAS MITRA KINERJA V1.1 — P05</x:v>
      </x:c>
      <x:c r="G1" s="5" t="str">
        <x:v>SCORECARD EFEKTIVITAS MITRA KINERJA V1.1 — P05</x:v>
      </x:c>
      <x:c r="H1" s="5" t="str">
        <x:v>SCORECARD EFEKTIVITAS MITRA KINERJA V1.1 — P05</x:v>
      </x:c>
      <x:c r="I1" s="5" t="str">
        <x:v>SCORECARD EFEKTIVITAS MITRA KINERJA V1.1 — P05</x:v>
      </x:c>
      <x:c r="J1" s="5" t="str">
        <x:v>SCORECARD EFEKTIVITAS MITRA KINERJA V1.1 — P05</x:v>
      </x:c>
    </x:row>
    <x:row r="2">
      <x:c r="A2" s="58" t="str">
        <x:v>PILOT UTAMA — Sekolah Tinggi Agama Islam Negeri Sultan Abdurrahman Kepulauan Riau</x:v>
      </x:c>
      <x:c r="B2" s="58" t="str">
        <x:v>PILOT UTAMA — Sekolah Tinggi Agama Islam Negeri Sultan Abdurrahman Kepulauan Riau</x:v>
      </x:c>
      <x:c r="C2" s="58" t="str">
        <x:v>PILOT UTAMA — Sekolah Tinggi Agama Islam Negeri Sultan Abdurrahman Kepulauan Riau</x:v>
      </x:c>
      <x:c r="D2" s="58" t="str">
        <x:v>PILOT UTAMA — Sekolah Tinggi Agama Islam Negeri Sultan Abdurrahman Kepulauan Riau</x:v>
      </x:c>
      <x:c r="E2" s="58" t="str">
        <x:v>PILOT UTAMA — Sekolah Tinggi Agama Islam Negeri Sultan Abdurrahman Kepulauan Riau</x:v>
      </x:c>
      <x:c r="F2" s="58" t="str">
        <x:v>PILOT UTAMA — Sekolah Tinggi Agama Islam Negeri Sultan Abdurrahman Kepulauan Riau</x:v>
      </x:c>
      <x:c r="G2" s="58" t="str">
        <x:v>PILOT UTAMA — Sekolah Tinggi Agama Islam Negeri Sultan Abdurrahman Kepulauan Riau</x:v>
      </x:c>
      <x:c r="H2" s="58" t="str">
        <x:v>PILOT UTAMA — Sekolah Tinggi Agama Islam Negeri Sultan Abdurrahman Kepulauan Riau</x:v>
      </x:c>
      <x:c r="I2" s="58" t="str">
        <x:v>PILOT UTAMA — Sekolah Tinggi Agama Islam Negeri Sultan Abdurrahman Kepulauan Riau</x:v>
      </x:c>
      <x:c r="J2" s="58" t="str">
        <x:v>PILOT UTAMA — Sekolah Tinggi Agama Islam Negeri Sultan Abdurrahman Kepulauan Riau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P05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46267</x:v>
      </x:c>
      <x:c r="G6" s="31" t="str">
        <x:v>Pemeriksa</x:v>
      </x:c>
      <x:c r="H6" s="32" t="str">
        <x:v>Nur'ah Darina — Pokja Data / pemeriksa naskah</x:v>
      </x:c>
      <x:c r="I6" s="31"/>
      <x:c r="J6" s="32"/>
    </x:row>
    <x:row r="7">
      <x:c r="A7" s="31" t="str">
        <x:v>Mitra</x:v>
      </x:c>
      <x:c r="B7" s="32" t="str">
        <x:v>Sekolah Tinggi Agama Islam Negeri Sultan Abdurrahman Kepulauan Riau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STAIN SAR (terintegrasi)</x:v>
      </x:c>
    </x:row>
    <x:row r="8">
      <x:c r="A8" s="31" t="str">
        <x:v>Judul</x:v>
      </x:c>
      <x:c r="B8" s="32" t="str">
        <x:v>Fasilitasi Tri Dharma Perguruan Tinggi dan Pelayanan Hukum</x:v>
      </x:c>
      <x:c r="C8" s="31" t="str">
        <x:v>Fasilitasi Tri Dharma Perguruan Tinggi dan Pelayanan Hukum</x:v>
      </x:c>
      <x:c r="D8" s="32" t="str">
        <x:v>Fasilitasi Tri Dharma Perguruan Tinggi dan Pelayanan Hukum</x:v>
      </x:c>
      <x:c r="E8" s="31" t="str">
        <x:v>Fasilitasi Tri Dharma Perguruan Tinggi dan Pelayanan Hukum</x:v>
      </x:c>
      <x:c r="F8" s="32" t="str">
        <x:v>Fasilitasi Tri Dharma Perguruan Tinggi dan Pelayanan Hukum</x:v>
      </x:c>
      <x:c r="G8" s="31" t="str">
        <x:v>Fasilitasi Tri Dharma Perguruan Tinggi dan Pelayanan Hukum</x:v>
      </x:c>
      <x:c r="H8" s="32" t="str">
        <x:v>Fasilitasi Tri Dharma Perguruan Tinggi dan Pelayanan Hukum</x:v>
      </x:c>
      <x:c r="I8" s="31" t="str">
        <x:v>Fasilitasi Tri Dharma Perguruan Tinggi dan Pelayanan Hukum</x:v>
      </x:c>
      <x:c r="J8" s="32" t="str">
        <x:v>Fasilitasi Tri Dharma Perguruan Tinggi dan Pelayanan Hukum</x:v>
      </x:c>
    </x:row>
    <x:row r="9">
      <x:c r="A9" s="31" t="str">
        <x:v>Mulai</x:v>
      </x:c>
      <x:c r="B9" s="75" t="n">
        <x:v>45735</x:v>
      </x:c>
      <x:c r="C9" s="86" t="str">
        <x:v>Berakhir</x:v>
      </x:c>
      <x:c r="D9" s="75" t="n">
        <x:v>47560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1293</x:v>
      </x:c>
      <x:c r="I9" s="31" t="str">
        <x:v>Tanggal review</x:v>
      </x:c>
      <x:c r="J9" s="75" t="n">
        <x:v>46267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STAIN SAR'!F13&amp;"; arsip "&amp;'BASELINE STAIN SAR'!F16&amp;"; P2MA "&amp;'BASELINE STAIN SAR'!F17&amp;"; PIC internal "&amp;'BASELINE STAIN SAR'!F19&amp;"; PIC mitra "&amp;'BASELINE STAIN SAR'!F20&amp;". Update terintegrasi: "&amp;'BASELINE STAIN SAR'!J20</x:f>
        <x:v>Identitas TERVERIFIKASI; arsip TERVERIFIKASI; P2MA TERVERIFIKASI; PIC internal BELUM TERSEDIA; PIC mitra BELUM TERSEDIA. Update terintegrasi: PIC mitra: Dr. Fadhila Yonata, M.Pd | Jabatan: Kepala P3M | Unit: STAIN Sultan Abdurrahman Kepri | Email: p3m@stainkepri.ac.id | Status: Tetap | PIC cadangan: Dwi Rio Sudarroji, M.Psi</x:v>
      </x:c>
      <x:c r="E13" s="63" t="str">
        <x:v>BUKTI MEMADAI</x:v>
      </x:c>
      <x:c r="F13" s="63" t="str">
        <x:v>Baseline baris 13–20: naskah/P2MA tersedia. Identitas terverifikasi; arsip terverifikasi; PIC internal belum tersedia; PIC mitra belum tersedia. Data PIC operasional dua pihak belum lengkap.</x:v>
      </x:c>
      <x:c r="G13" s="63" t="n">
        <x:v>1</x:v>
      </x:c>
      <x:c r="H13" s="63" t="str">
        <x:v>Sesuai skor 1: naskah tersedia, tetapi tata kelola operasional masih sangat terbatas karena PIC dua pihak belum tersedia atau belum terverifikasi.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STAIN SAR'!F21&amp;". "&amp;'BASELINE STAIN SAR'!J21</x:f>
        <x:v>Rencana tindak lanjut BELUM TERSEDIA. Belum ada usulan tindak lanjut terisi</x:v>
      </x:c>
      <x:c r="E14" s="63" t="str">
        <x:v>BUKTI BELUM MEMADAI</x:v>
      </x:c>
      <x:c r="F14" s="63" t="str">
        <x:v>Baseline baris 21 — Rencana tindak lanjut: BELUM TERSEDIA. Ruang lingkup naskah tersedia, tetapi belum ditemukan rencana aksi atau komitmen operasional yang memuat kegiatan, periode, target, dan PIC.</x:v>
      </x:c>
      <x:c r="G14" s="63"/>
      <x:c r="H14" s="63" t="str">
        <x:v>Belum diberi skor karena keterangan ‘belum ditemukan/belum tersedia’ belum selalu membuktikan bahwa tindak lanjut benar-benar tidak ada.</x:v>
      </x:c>
      <x:c r="I14" s="32" t="str">
        <x:f>IF(AND(E14="BUKTI MEMADAI",COUNT(G14)&gt;0),G14/4*C14,"")</x:f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STAIN SAR'!F22&amp;". "&amp;'BASELINE STAIN SAR'!J22</x:f>
        <x:v>Pelaksanaan/hasil BELUM TERSEDIA. Jumlah kegiatan terdata: 1 | Kegiatan pertama: Fasilitasi pendaftaran kekayaan intelektuan | Status: Sedang Berjalan</x:v>
      </x:c>
      <x:c r="E15" s="63" t="str">
        <x:v>BUKTI BELUM MEMADAI</x:v>
      </x:c>
      <x:c r="F15" s="63" t="str">
        <x:v>Baseline baris 22 — Pelaksanaan dan hasil: BELUM TERSEDIA. Status Berlangsung pada P2MA belum membuktikan kegiatan atau output. Laporan pelaksanaan dan data hasil belum diperiksa.</x:v>
      </x:c>
      <x:c r="G15" s="63"/>
      <x:c r="H15" s="63" t="str">
        <x:v>Belum diberi skor karena target yang jatuh tempo dan bukti realisasi belum tersedia atau belum terverifikasi.</x:v>
      </x:c>
      <x:c r="I15" s="32" t="str">
        <x:f>IF(AND(E15="BUKTI MEMADAI",COUNT(G15)&gt;0),G15/4*C15,"")</x:f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BELUM DIISI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STAIN SAR'!F23&amp;". "&amp;'BASELINE STAIN SAR'!J23</x:f>
        <x:v>Eviden implementasi BELUM TERSEDIA. Jumlah kegiatan dengan keterangan bukti: 1 | Bukti pertama: 	
Nomor Pendaftaran : EC002026157468</x:v>
      </x:c>
      <x:c r="E16" s="63" t="str">
        <x:v>BUKTI BELUM MEMADAI</x:v>
      </x:c>
      <x:c r="F16" s="63" t="str">
        <x:v>Baseline baris 23 — Eviden implementasi: BELUM TERSEDIA. Naskah dan entri P2MA tersedia, tetapi folder resmi, indeks, serta bukti implementasi belum diperiksa.</x:v>
      </x:c>
      <x:c r="G16" s="63"/>
      <x:c r="H16" s="63" t="str">
        <x:v>Belum diberi skor karena kelengkapan, lokasi, indeks, dan keterlacakan eviden belum terverifikasi.</x:v>
      </x:c>
      <x:c r="I16" s="32" t="str">
        <x:f>IF(AND(E16="BUKTI MEMADAI",COUNT(G16)&gt;0),G16/4*C16,"")</x:f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BELUM DIISI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STAIN SAR'!F22&amp;". "&amp;'BASELINE STAIN SAR'!J22</x:f>
        <x:v>Pelaksanaan/hasil BELUM TERSEDIA. Jumlah kegiatan terdata: 1 | Kegiatan pertama: Fasilitasi pendaftaran kekayaan intelektuan | Status: Sedang Berjalan</x:v>
      </x:c>
      <x:c r="E17" s="63" t="str">
        <x:v>BUKTI BELUM MEMADAI</x:v>
      </x:c>
      <x:c r="F17" s="63" t="str">
        <x:v>Baseline baris 22 — Pelaksanaan dan hasil: BELUM TERSEDIA. Status Berlangsung pada P2MA belum membuktikan kegiatan atau output. Laporan pelaksanaan dan data hasil belum diperiksa. Target, output, dan manfaat terukur belum tersedia.</x:v>
      </x:c>
      <x:c r="G17" s="63"/>
      <x:c r="H17" s="63" t="str">
        <x:v>Belum diberi skor karena target, output, hasil, dan data manfaat belum dapat dibandingkan.</x:v>
      </x:c>
      <x:c r="I17" s="32" t="str">
        <x:f>IF(AND(E17="BUKTI MEMADAI",COUNT(G17)&gt;0),G17/4*C17,"")</x:f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BELUM DIISI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STAIN SAR'!F14&amp;"; PIC internal "&amp;'BASELINE STAIN SAR'!F19&amp;"; PIC mitra "&amp;'BASELINE STAIN SAR'!F20&amp;"; hambatan/gap "&amp;'BASELINE STAIN SAR'!F24&amp;". "&amp;'BASELINE STAIN SAR'!J24</x:f>
        <x:v>Masa berlaku TERVERIFIKASI; PIC internal BELUM TERSEDIA; PIC mitra BELUM TERSEDIA; hambatan/gap BELUM TERSEDIA. Kendala/catatan pertama: Tidak ada</x:v>
      </x:c>
      <x:c r="E18" s="63" t="str">
        <x:v>BUKTI BELUM MEMADAI</x:v>
      </x:c>
      <x:c r="F18" s="63" t="str">
        <x:v>Masa berlaku TERVERIFIKASI; PIC internal BELUM TERSEDIA; PIC mitra BELUM TERSEDIA; rencana tindak lanjut BELUM TERSEDIA; hambatan/gap BELUM TERSEDIA.</x:v>
      </x:c>
      <x:c r="G18" s="63"/>
      <x:c r="H18" s="63" t="str">
        <x:v>Belum diberi skor karena risiko, dampak, mitigasi, pemantauan, dan keputusan keberlanjutan belum dinilai secara memadai.</x:v>
      </x:c>
      <x:c r="I18" s="32" t="str">
        <x:f>IF(AND(E18="BUKTI MEMADAI",COUNT(G18)&gt;0),G18/4*C18,"")</x:f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BELUM DIISI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3.75</x:v>
      </x:c>
      <x:c r="C21" s="32" t="str">
        <x:v>Kelengkapan</x:v>
      </x:c>
      <x:c r="D21" s="37" t="n">
        <x:f>COUNT(G13:G18)/6</x:f>
        <x:v>0.16666666666666666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STAIN SAR'!G14</x:f>
        <x:v>P2MA publik menampilkan status Berlangsung, mulai 19 Maret 2025 dan berakhir 18 Maret 2030;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DIPERIKSA","ADA DATA KEGIATAN - PERLU VERIFIKASI")</x:f>
        <x:v>ADA DATA KEGIATAN - PERLU VERIFIKASI</x:v>
      </x:c>
      <x:c r="D28" s="32" t="str">
        <x:f>"V0 - DATA BELUM CUKUP"</x:f>
        <x:v>V0 - DATA BELUM CUKUP</x:v>
      </x:c>
      <x:c r="E28" s="32" t="str">
        <x:f>'BASELINE STAIN SAR'!J22</x:f>
        <x:v>Jumlah kegiatan terdata: 1 | Kegiatan pertama: Fasilitasi pendaftaran kekayaan intelektuan | Status: Sedang Berjalan</x:v>
      </x:c>
      <x:c r="F28" s="63"/>
      <x:c r="G28" s="63"/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DIPERIKSA","ADA KETERANGAN BUKTI - PERLU VERIFIKASI")</x:f>
        <x:v>ADA KETERANGAN BUKTI - PERLU VERIFIKASI</x:v>
      </x:c>
      <x:c r="D29" s="32" t="str">
        <x:f>"V0 - DATA BELUM CUKUP"</x:f>
        <x:v>V0 - DATA BELUM CUKUP</x:v>
      </x:c>
      <x:c r="E29" s="32" t="str">
        <x:f>'BASELINE STAIN SAR'!J23</x:f>
        <x:v>Jumlah kegiatan dengan keterangan bukti: 1 | Bukti pertama: 	
Nomor Pendaftaran : EC002026157468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PIC'!C11,1)="&lt;"),"BELUM DIPERIKSA",IF('BASELINE STAIN SAR'!F19="TERVERIFIKASI","PIC DUA PIHAK TERSEDIA","PIC MITRA TERSEDIA; INTERNAL PERLU KONFIRMASI"))</x:f>
        <x:v>PIC MITRA TERSEDIA; INTERNAL PERLU KONFIRMASI</x:v>
      </x:c>
      <x:c r="D30" s="32" t="str">
        <x:f>IF(C30="PIC DUA PIHAK TERSEDIA","E0 - HIJAU","V0 - DATA BELUM CUKUP")</x:f>
        <x:v>V0 - DATA BELUM CUKUP</x:v>
      </x:c>
      <x:c r="E30" s="32" t="str">
        <x:f>'BASELINE STAIN SAR'!J20</x:f>
        <x:v>PIC mitra: Dr. Fadhila Yonata, M.Pd | Jabatan: Kepala P3M | Unit: STAIN Sultan Abdurrahman Kepri | Email: p3m@stainkepri.ac.id | Status: Tetap | PIC cadangan: Dwi Rio Sudarroji, M.Psi</x:v>
      </x:c>
      <x:c r="F30" s="63"/>
      <x:c r="G30" s="63"/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