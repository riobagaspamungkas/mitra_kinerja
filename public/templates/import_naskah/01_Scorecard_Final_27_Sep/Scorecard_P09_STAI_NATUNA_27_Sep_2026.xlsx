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268c28f47a4915" /></Relationships>
</file>

<file path=xl/workbook.xml><?xml version="1.0" encoding="utf-8"?>
<x:workbook xmlns:x="http://schemas.openxmlformats.org/spreadsheetml/2006/main">
  <x:sheets>
    <x:sheet xmlns:r="http://schemas.openxmlformats.org/officeDocument/2006/relationships" name="PENILAIAN" sheetId="1" r:id="Rebe95955f6e84218"/>
    <x:sheet xmlns:r="http://schemas.openxmlformats.org/officeDocument/2006/relationships" name="KENDALI" sheetId="2" r:id="Re0c64f2105004480"/>
    <x:sheet xmlns:r="http://schemas.openxmlformats.org/officeDocument/2006/relationships" name="REKOMENDASI" sheetId="3" r:id="R8ca9b359166d4d4a"/>
    <x:sheet xmlns:r="http://schemas.openxmlformats.org/officeDocument/2006/relationships" name="RUBRIK" sheetId="4" r:id="R689cd7863b824a7a"/>
    <x:sheet xmlns:r="http://schemas.openxmlformats.org/officeDocument/2006/relationships" name="PANDUAN" sheetId="5" r:id="R9a165dd8072f438e"/>
    <x:sheet xmlns:r="http://schemas.openxmlformats.org/officeDocument/2006/relationships" name="CONTOH" sheetId="6" r:id="R30cf94d3df864862"/>
    <x:sheet xmlns:r="http://schemas.openxmlformats.org/officeDocument/2006/relationships" name="SUMBER_BASELINE" sheetId="7" r:id="R282efec9e8cb4ca2"/>
    <x:sheet xmlns:r="http://schemas.openxmlformats.org/officeDocument/2006/relationships" name="SUMBER_AKTUAL" sheetId="8" r:id="Rf6fa73e92285427e"/>
  </x:sheets>
</x:workbook>
</file>

<file path=xl/sharedStrings.xml><?xml version="1.0" encoding="utf-8"?>
<x:sst xmlns:x="http://schemas.openxmlformats.org/spreadsheetml/2006/main">
  <x:si>
    <x:t xml:space="preserve">1. PENILAIAN SCORECARD MITRA KINERJA</x:t>
  </x:si>
  <x:si>
    <x:t xml:space="preserve">Tujuan: menilai fakta pelaksanaan dan hasil kerja sama. PIC/unit teknis menyampaikan fakta &amp; evidence; Reviewer/Pengelola memberi status dan skor.</x:t>
  </x:si>
  <x:si>
    <x:t xml:space="preserve">Legenda</x:t>
  </x:si>
  <x:si>
    <x:t xml:space="preserve">BIRU = hasil otomatis / ringkasan</x:t>
  </x:si>
  <x:si>
    <x:t xml:space="preserve">A. IDENTITAS KERJA SAMA</x:t>
  </x:si>
  <x:si>
    <x:t xml:space="preserve">Nama Mitra</x:t>
  </x:si>
  <x:si>
    <x:t xml:space="preserve">Nomor/Tanggal Naskah</x:t>
  </x:si>
  <x:si>
    <x:t xml:space="preserve">Ruang Lingkup</x:t>
  </x:si>
  <x:si>
    <x:t xml:space="preserve">Periode Penilaian</x:t>
  </x:si>
  <x:si>
    <x:t xml:space="preserve">Reviewer/Pengelola</x:t>
  </x:si>
  <x:si>
    <x:t xml:space="preserve">Tanggal Penilaian</x:t>
  </x:si>
  <x:si>
    <x:t xml:space="preserve">PIC/Focal Point</x:t>
  </x:si>
  <x:si>
    <x:t xml:space="preserve">Masa Berlaku</x:t>
  </x:si>
  <x:si>
    <x:t xml:space="preserve">B. PENILAIAN I1–I7</x:t>
  </x:si>
  <x:si>
    <x:t xml:space="preserve">Indikator</x:t>
  </x:si>
  <x:si>
    <x:t xml:space="preserve">Bobot</x:t>
  </x:si>
  <x:si>
    <x:t xml:space="preserve">Apa yang Dinilai</x:t>
  </x:si>
  <x:si>
    <x:t xml:space="preserve">Kondisi Baseline</x:t>
  </x:si>
  <x:si>
    <x:t xml:space="preserve">Kondisi Saat Ini</x:t>
  </x:si>
  <x:si>
    <x:t xml:space="preserve">Status Penilaian</x:t>
  </x:si>
  <x:si>
    <x:t xml:space="preserve">Evidence / Lokasi Bukti</x:t>
  </x:si>
  <x:si>
    <x:t xml:space="preserve">Skor 0–4</x:t>
  </x:si>
  <x:si>
    <x:t xml:space="preserve">Nilai Bobot</x:t>
  </x:si>
  <x:si>
    <x:t xml:space="preserve">Alasan Skor / Temuan</x:t>
  </x:si>
  <x:si>
    <x:t xml:space="preserve">Catatan Tindak Lanjut</x:t>
  </x:si>
  <x:si>
    <x:t xml:space="preserve">I1. Kejelasan Pengelolaan &amp; Rencana Tindak Lanjut</x:t>
  </x:si>
  <x:si>
    <x:t xml:space="preserve">Apakah pelaksanaan kerja sama telah memiliki penanggung jawab yang jelas, rencana tindak lanjut yang dapat dilaksanakan, dan mekanisme koordinasi untuk memastikan tindak lanjut tersebut berjalan?</x:t>
  </x:si>
  <x:si>
    <x:t xml:space="preserve">I2. Implementasi / Tindak Lanjut</x:t>
  </x:si>
  <x:si>
    <x:t xml:space="preserve">Apakah kerja sama telah ditindaklanjuti melalui kegiatan atau langkah implementasi yang relevan dan dapat dibuktikan?</x:t>
  </x:si>
  <x:si>
    <x:t xml:space="preserve">I3. Output</x:t>
  </x:si>
  <x:si>
    <x:t xml:space="preserve">Apakah implementasi menghasilkan hasil langsung/produk yang seharusnya dicapai?</x:t>
  </x:si>
  <x:si>
    <x:t xml:space="preserve">I4. Outcome</x:t>
  </x:si>
  <x:si>
    <x:t xml:space="preserve">Apakah output menghasilkan perubahan atau manfaat bagi sasaran, proses, layanan, atau organisasi?</x:t>
  </x:si>
  <x:si>
    <x:t xml:space="preserve">I5. Kontribusi / Dampak</x:t>
  </x:si>
  <x:si>
    <x:t xml:space="preserve">Apakah hasil kerja sama memberikan kontribusi yang dapat dijelaskan terhadap kinerja organisasi dan/atau pelayanan hukum?</x:t>
  </x:si>
  <x:si>
    <x:t xml:space="preserve">I6. Evidence &amp; Data</x:t>
  </x:si>
  <x:si>
    <x:t xml:space="preserve">Apakah kondisi, pelaksanaan, dan hasil kerja sama didukung data/evidence yang dapat dipercaya dan ditelusuri?</x:t>
  </x:si>
  <x:si>
    <x:t xml:space="preserve">I7. Risiko &amp; Keberlanjutan</x:t>
  </x:si>
  <x:si>
    <x:t xml:space="preserve">Apakah risiko pelaksanaan dikendalikan dan terdapat kondisi yang mendukung keberlanjutan manfaat kerja sama?</x:t>
  </x:si>
  <x:si>
    <x:t xml:space="preserve">C. RINGKASAN OTOMATIS PENILAIAN</x:t>
  </x:si>
  <x:si>
    <x:t xml:space="preserve">Jumlah indikator dapat dinilai</x:t>
  </x:si>
  <x:si>
    <x:t xml:space="preserve">Panduan cepat untuk pengguna baru</x:t>
  </x:si>
  <x:si>
    <x:t xml:space="preserve">Jumlah BDN</x:t>
  </x:si>
  <x:si>
    <x:t xml:space="preserve">1</x:t>
  </x:si>
  <x:si>
    <x:t xml:space="preserve">Isi Baseline dan Kondisi Saat Ini berdasarkan fakta, bukan asumsi.</x:t>
  </x:si>
  <x:si>
    <x:t xml:space="preserve">Bukti belum memadai</x:t>
  </x:si>
  <x:si>
    <x:t xml:space="preserve">2</x:t>
  </x:si>
  <x:si>
    <x:t xml:space="preserve">Tentukan Status Penilaian sebelum memberi skor.</x:t>
  </x:si>
  <x:si>
    <x:t xml:space="preserve">Bobot yang dapat dinilai</x:t>
  </x:si>
  <x:si>
    <x:t xml:space="preserve">3</x:t>
  </x:si>
  <x:si>
    <x:t xml:space="preserve">Skor 0 hanya jika sudah dapat dinilai dan faktanya tidak terpenuhi.</x:t>
  </x:si>
  <x:si>
    <x:t xml:space="preserve">Nilai final</x:t>
  </x:si>
  <x:si>
    <x:t xml:space="preserve">4</x:t>
  </x:si>
  <x:si>
    <x:t xml:space="preserve">Jika evidence belum cukup, pilih BUKTI BELUM MEMADAI — jangan beri skor.</x:t>
  </x:si>
  <x:si>
    <x:t xml:space="preserve">Status Scorecard</x:t>
  </x:si>
  <x:si>
    <x:t xml:space="preserve">5</x:t>
  </x:si>
  <x:si>
    <x:t xml:space="preserve">Jika secara objektif belum waktunya hasil muncul, pilih BELUM DAPAT DINILAI.</x:t>
  </x:si>
  <x:si>
    <x:t xml:space="preserve">Kategori</x:t>
  </x:si>
  <x:si>
    <x:t xml:space="preserve">2. KENDALI MANAJERIAL</x:t>
  </x:si>
  <x:si>
    <x:t xml:space="preserve">Tujuan: membaca posisi kerja sama, peringatan dini, dan kebutuhan intervensi. Sheet ini tidak mengubah skor I1–I7.</x:t>
  </x:si>
  <x:si>
    <x:t xml:space="preserve">A. RINGKASAN DARI PENILAIAN</x:t>
  </x:si>
  <x:si>
    <x:t xml:space="preserve">B. POSISI PORTOFOLIO</x:t>
  </x:si>
  <x:si>
    <x:t xml:space="preserve">Posisi Portofolio</x:t>
  </x:si>
  <x:si>
    <x:t xml:space="preserve">Nilai Final</x:t>
  </x:si>
  <x:si>
    <x:t xml:space="preserve">Dasar Penetapan</x:t>
  </x:si>
  <x:si>
    <x:t xml:space="preserve">Indikator Dapat Dinilai</x:t>
  </x:si>
  <x:si>
    <x:t xml:space="preserve">BDN</x:t>
  </x:si>
  <x:si>
    <x:t xml:space="preserve">Bukti Belum Memadai</x:t>
  </x:si>
  <x:si>
    <x:t xml:space="preserve">Bobot Dinilai</x:t>
  </x:si>
  <x:si>
    <x:t xml:space="preserve">C. EARLY WARNING — TERPISAH DARI NILAI SCORECARD</x:t>
  </x:si>
  <x:si>
    <x:t xml:space="preserve">Area Kontrol</x:t>
  </x:si>
  <x:si>
    <x:t xml:space="preserve">Status</x:t>
  </x:si>
  <x:si>
    <x:t xml:space="preserve">Fakta / Bukti Singkat</x:t>
  </x:si>
  <x:si>
    <x:t xml:space="preserve">Tindakan</x:t>
  </x:si>
  <x:si>
    <x:t xml:space="preserve">Penanggung Jawab</x:t>
  </x:si>
  <x:si>
    <x:t xml:space="preserve">Target</x:t>
  </x:si>
  <x:si>
    <x:t xml:space="preserve">Progres</x:t>
  </x:si>
  <x:si>
    <x:t xml:space="preserve">Ringkasan Early Warning</x:t>
  </x:si>
  <x:si>
    <x:t xml:space="preserve">Warning Tertinggi</x:t>
  </x:si>
  <x:si>
    <x:t xml:space="preserve">Status Penanganan</x:t>
  </x:si>
  <x:si>
    <x:t xml:space="preserve">DALAM TINDAK LANJUT</x:t>
  </x:si>
  <x:si>
    <x:t xml:space="preserve">Catatan</x:t>
  </x:si>
  <x:si>
    <x:t xml:space="preserve">D. UJI KEBUTUHAN INTERVENSI PIMPINAN</x:t>
  </x:si>
  <x:si>
    <x:t xml:space="preserve">Perlu Intervensi Pimpinan?</x:t>
  </x:si>
  <x:si>
    <x:t xml:space="preserve">Panduan</x:t>
  </x:si>
  <x:si>
    <x:t xml:space="preserve">Intervensi hanya dipakai bila isu/keputusan tidak dapat diselesaikan pada level pengelola/unit pelaksana atau memang membutuhkan kewenangan/arahan pimpinan.</x:t>
  </x:si>
  <x:si>
    <x:t xml:space="preserve">Alasan Utama</x:t>
  </x:si>
  <x:si>
    <x:t xml:space="preserve">Uraian Singkat</x:t>
  </x:si>
  <x:si>
    <x:t xml:space="preserve">3. REKOMENDASI &amp; KEPUTUSAN</x:t>
  </x:si>
  <x:si>
    <x:t xml:space="preserve">Tujuan: merangkum hasil penilaian dan kendali menjadi rekomendasi yang dapat ditindaklanjuti serta keputusan/arahan sesuai kewenangan.</x:t>
  </x:si>
  <x:si>
    <x:t xml:space="preserve">A. RINGKASAN HASIL</x:t>
  </x:si>
  <x:si>
    <x:t xml:space="preserve">B. VALIDASI</x:t>
  </x:si>
  <x:si>
    <x:t xml:space="preserve">Status Validasi</x:t>
  </x:si>
  <x:si>
    <x:t xml:space="preserve">Validator</x:t>
  </x:si>
  <x:si>
    <x:t xml:space="preserve">Tanggal Validasi</x:t>
  </x:si>
  <x:si>
    <x:t xml:space="preserve">Catatan Validasi</x:t>
  </x:si>
  <x:si>
    <x:t xml:space="preserve">Intervensi Pimpinan</x:t>
  </x:si>
  <x:si>
    <x:t xml:space="preserve">C. REKOMENDASI TINDAK LANJUT</x:t>
  </x:si>
  <x:si>
    <x:t xml:space="preserve">Temuan Utama</x:t>
  </x:si>
  <x:si>
    <x:t xml:space="preserve">Rekomendasi bukan keputusan otomatis dari nilai. Gunakan nilai, posisi portofolio, warning, validasi, dan konteks substansi secara bersama.</x:t>
  </x:si>
  <x:si>
    <x:t xml:space="preserve">Rekomendasi</x:t>
  </x:si>
  <x:si>
    <x:t xml:space="preserve">Tindak Lanjut</x:t>
  </x:si>
  <x:si>
    <x:t xml:space="preserve">Target Waktu</x:t>
  </x:si>
  <x:si>
    <x:t xml:space="preserve">D. KEPUTUSAN / ARAHAN PIMPINAN</x:t>
  </x:si>
  <x:si>
    <x:t xml:space="preserve">Status Keputusan</x:t>
  </x:si>
  <x:si>
    <x:t xml:space="preserve">Pejabat Berwenang</x:t>
  </x:si>
  <x:si>
    <x:t xml:space="preserve">Tanggal Keputusan</x:t>
  </x:si>
  <x:si>
    <x:t xml:space="preserve">Keputusan / Arahan</x:t>
  </x:si>
  <x:si>
    <x:t xml:space="preserve">Review Berikutnya</x:t>
  </x:si>
  <x:si>
    <x:t xml:space="preserve">RUBRIK PENILAIAN I1–I7</x:t>
  </x:si>
  <x:si>
    <x:t xml:space="preserve">Gunakan setelah Status Penilaian = DAPAT DINILAI. Kolom 'Yang Dicek' membantu pengguna baru memahami indikator secara praktis.</x:t>
  </x:si>
  <x:si>
    <x:t xml:space="preserve">Yang Dicek</x:t>
  </x:si>
  <x:si>
    <x:t xml:space="preserve">Skor 0</x:t>
  </x:si>
  <x:si>
    <x:t xml:space="preserve">Skor 1</x:t>
  </x:si>
  <x:si>
    <x:t xml:space="preserve">Skor 2</x:t>
  </x:si>
  <x:si>
    <x:t xml:space="preserve">Skor 3</x:t>
  </x:si>
  <x:si>
    <x:t xml:space="preserve">Skor 4</x:t>
  </x:si>
  <x:si>
    <x:t xml:space="preserve">1) Penanggung jawab jelas; 2) ada rencana tindak lanjut yang realistis; 3) ada cara koordinasi untuk memastikan tindak lanjut berjalan.</x:t>
  </x:si>
  <x:si>
    <x:t xml:space="preserve">Setelah diverifikasi, penanggung jawab dan tindak lanjut belum dapat ditentukan.</x:t>
  </x:si>
  <x:si>
    <x:t xml:space="preserve">Penanggung jawab mulai diketahui, tetapi pembagian peran/tindak lanjut belum jelas.</x:t>
  </x:si>
  <x:si>
    <x:t xml:space="preserve">Penanggung jawab dan sebagian tindak lanjut sudah jelas, tetapi koordinasi atau kesiapan pelaksanaan belum konsisten.</x:t>
  </x:si>
  <x:si>
    <x:t xml:space="preserve">Penanggung jawab, rencana tindak lanjut, dan koordinasi jelas serta berjalan sesuai kebutuhan.</x:t>
  </x:si>
  <x:si>
    <x:t xml:space="preserve">Pengelolaan berjalan konsisten, adaptif terhadap perubahan, dan mampu menjaga kesinambungan pelaksanaan.</x:t>
  </x:si>
  <x:si>
    <x:t xml:space="preserve">Tidak mensyaratkan struktur PIC yang sama untuk semua kerja sama.</x:t>
  </x:si>
  <x:si>
    <x:t xml:space="preserve">Apakah ada kegiatan/langkah nyata setelah penandatanganan atau pada periode penilaian?</x:t>
  </x:si>
  <x:si>
    <x:t xml:space="preserve">Setelah cukup waktu dan diverifikasi, tidak terdapat tindak lanjut.</x:t>
  </x:si>
  <x:si>
    <x:t xml:space="preserve">Ada tindak lanjut sangat terbatas atau insidental.</x:t>
  </x:si>
  <x:si>
    <x:t xml:space="preserve">Sebagian tindak lanjut dilaksanakan, tetapi masih terdapat gap berarti.</x:t>
  </x:si>
  <x:si>
    <x:t xml:space="preserve">Tindak lanjut utama terlaksana dan berjalan cukup konsisten.</x:t>
  </x:si>
  <x:si>
    <x:t xml:space="preserve">Implementasi berjalan konsisten, terarah, dan tindak lanjut utama dikendalikan sampai selesai.</x:t>
  </x:si>
  <x:si>
    <x:t xml:space="preserve">Apakah kegiatan menghasilkan produk/hasil langsung yang seharusnya dicapai?</x:t>
  </x:si>
  <x:si>
    <x:t xml:space="preserve">Output sudah seharusnya ada tetapi tidak dihasilkan.</x:t>
  </x:si>
  <x:si>
    <x:t xml:space="preserve">Output sangat terbatas.</x:t>
  </x:si>
  <x:si>
    <x:t xml:space="preserve">Sebagian output tercapai.</x:t>
  </x:si>
  <x:si>
    <x:t xml:space="preserve">Sebagian besar output utama tercapai dan dapat dibuktikan.</x:t>
  </x:si>
  <x:si>
    <x:t xml:space="preserve">Output utama tercapai lengkap/konsisten dan kualitas/cakupannya kuat.</x:t>
  </x:si>
  <x:si>
    <x:t xml:space="preserve">Apakah output mulai memberi perubahan/manfaat kepada sasaran, proses, layanan, atau organisasi?</x:t>
  </x:si>
  <x:si>
    <x:t xml:space="preserve">Sudah cukup waktu untuk menilai tetapi tidak ditemukan manfaat/perubahan.</x:t>
  </x:si>
  <x:si>
    <x:t xml:space="preserve">Manfaat awal sangat terbatas.</x:t>
  </x:si>
  <x:si>
    <x:t xml:space="preserve">Manfaat terlihat pada sebagian sasaran.</x:t>
  </x:si>
  <x:si>
    <x:t xml:space="preserve">Outcome utama dapat ditunjukkan dengan cukup jelas dan terukur.</x:t>
  </x:si>
  <x:si>
    <x:t xml:space="preserve">Outcome kuat, konsisten, terukur, dan terlihat pada sasaran yang relevan.</x:t>
  </x:si>
  <x:si>
    <x:t xml:space="preserve">Jika belum cukup waktu, gunakan BDN, bukan skor 0.</x:t>
  </x:si>
  <x:si>
    <x:t xml:space="preserve">Apakah hasil kerja sama berkontribusi terhadap sasaran kinerja organisasi dan/atau pelayanan hukum?</x:t>
  </x:si>
  <x:si>
    <x:t xml:space="preserve">Sudah layak dinilai tetapi tidak ditemukan kontribusi yang dapat dibuktikan.</x:t>
  </x:si>
  <x:si>
    <x:t xml:space="preserve">Hubungan dengan kinerja/pelayanan sangat terbatas.</x:t>
  </x:si>
  <x:si>
    <x:t xml:space="preserve">Ada kontribusi yang dapat dijelaskan dan didukung sebagian data.</x:t>
  </x:si>
  <x:si>
    <x:t xml:space="preserve">Kontribusi terhadap sasaran kinerja/pelayanan jelas dan didukung evidence terukur.</x:t>
  </x:si>
  <x:si>
    <x:t xml:space="preserve">Kontribusi kuat, konsisten, strategis, dan layak dipertahankan atau direplikasi.</x:t>
  </x:si>
  <x:si>
    <x:t xml:space="preserve">Gunakan logika kontribusi; jangan memaksakan klaim kausalitas.</x:t>
  </x:si>
  <x:si>
    <x:t xml:space="preserve">Apakah data/evidence cukup, mutakhir, dan dapat ditelusuri ke sumbernya?</x:t>
  </x:si>
  <x:si>
    <x:t xml:space="preserve">Tidak tersedia data/evidence yang cukup untuk memastikan kondisi kerja sama.</x:t>
  </x:si>
  <x:si>
    <x:t xml:space="preserve">Evidence sangat terbatas, tersebar, atau sulit diverifikasi.</x:t>
  </x:si>
  <x:si>
    <x:t xml:space="preserve">Evidence utama tersedia tetapi belum konsisten dalam kelengkapan/keterbaruan/keterlacakan.</x:t>
  </x:si>
  <x:si>
    <x:t xml:space="preserve">Evidence utama lengkap, mutakhir, jelas sumber/lokasinya, dan dapat ditelusuri.</x:t>
  </x:si>
  <x:si>
    <x:t xml:space="preserve">Evidence lengkap, terstruktur, konsisten, memiliki jejak sumber/versi, dan siap digunakan untuk evaluasi/audit.</x:t>
  </x:si>
  <x:si>
    <x:t xml:space="preserve">Evidence boleh tersimpan di unit pelaksana sepanjang sumber/lokasinya dapat ditelusuri.</x:t>
  </x:si>
  <x:si>
    <x:t xml:space="preserve">Apakah risiko utama ditangani dan ada kondisi yang mendukung keberlanjutan manfaat?</x:t>
  </x:si>
  <x:si>
    <x:t xml:space="preserve">Risiko material tidak dikendalikan dan keberlanjutan terancam.</x:t>
  </x:si>
  <x:si>
    <x:t xml:space="preserve">Risiko diketahui tetapi penanganannya lemah.</x:t>
  </x:si>
  <x:si>
    <x:t xml:space="preserve">Risiko utama mulai ditangani tetapi masih ada tindak lanjut penting.</x:t>
  </x:si>
  <x:si>
    <x:t xml:space="preserve">Risiko utama terkendali dan keberlanjutan manfaat cukup terjamin.</x:t>
  </x:si>
  <x:si>
    <x:t xml:space="preserve">Risiko dikelola aktif dan konsisten serta terdapat dukungan kuat bagi keberlanjutan/replikasi manfaat.</x:t>
  </x:si>
  <x:si>
    <x:t xml:space="preserve">Berbeda dari Early Warning; I7 menilai kualitas pengelolaan risiko, bukan tingkat urgensi saat ini.</x:t>
  </x:si>
  <x:si>
    <x:t xml:space="preserve">PANDUAN PENGGUNAAN SCORECARD MITRA KINERJA</x:t>
  </x:si>
  <x:si>
    <x:t xml:space="preserve">Alur: 1) nilai fakta, 2) baca kendali, 3) susun rekomendasi/keputusan.</x:t>
  </x:si>
  <x:si>
    <x:t xml:space="preserve">1. SIAPA MENGISI APA</x:t>
  </x:si>
  <x:si>
    <x:t xml:space="preserve">Peran</x:t>
  </x:si>
  <x:si>
    <x:t xml:space="preserve">Tugas Utama</x:t>
  </x:si>
  <x:si>
    <x:t xml:space="preserve">PIC / Unit Teknis</x:t>
  </x:si>
  <x:si>
    <x:t xml:space="preserve">Menyampaikan fakta pelaksanaan, hasil, evidence, kendala, dan tindak lanjut.</x:t>
  </x:si>
  <x:si>
    <x:t xml:space="preserve">Reviewer / Pengelola</x:t>
  </x:si>
  <x:si>
    <x:t xml:space="preserve">Menilai status, memeriksa evidence, memberi skor I1–I7, menetapkan posisi portofolio, Early Warning, dan draft rekomendasi.</x:t>
  </x:si>
  <x:si>
    <x:t xml:space="preserve">Memastikan fakta, evidence, skor, dan alasan konsisten.</x:t>
  </x:si>
  <x:si>
    <x:t xml:space="preserve">Pimpinan / Pejabat Berwenang</x:t>
  </x:si>
  <x:si>
    <x:t xml:space="preserve">Memberi keputusan/arahan sesuai kewenangan; tidak otomatis mengikuti nilai total.</x:t>
  </x:si>
  <x:si>
    <x:t xml:space="preserve">2. URUTAN KERJA</x:t>
  </x:si>
  <x:si>
    <x:t xml:space="preserve">PENILAIAN</x:t>
  </x:si>
  <x:si>
    <x:t xml:space="preserve">Isi identitas, baseline, kondisi saat ini, status penilaian, evidence, skor, dan alasan.</x:t>
  </x:si>
  <x:si>
    <x:t xml:space="preserve">KENDALI</x:t>
  </x:si>
  <x:si>
    <x:t xml:space="preserve">Tetapkan posisi portofolio, Early Warning, serta perlu/tidaknya intervensi pimpinan.</x:t>
  </x:si>
  <x:si>
    <x:t xml:space="preserve">REKOMENDASI</x:t>
  </x:si>
  <x:si>
    <x:t xml:space="preserve">Validasi hasil, susun rekomendasi/tindak lanjut, lalu catat keputusan/arahan pimpinan.</x:t>
  </x:si>
  <x:si>
    <x:t xml:space="preserve">RUBRIK</x:t>
  </x:si>
  <x:si>
    <x:t xml:space="preserve">Buka hanya saat perlu menentukan arti skor 0–4.</x:t>
  </x:si>
  <x:si>
    <x:t xml:space="preserve">CONTOH</x:t>
  </x:si>
  <x:si>
    <x:t xml:space="preserve">Gunakan jika masih ragu membedakan skor 0, BDN, dan bukti belum memadai.</x:t>
  </x:si>
  <x:si>
    <x:t xml:space="preserve">3. STATUS PENILAIAN</x:t>
  </x:si>
  <x:si>
    <x:t xml:space="preserve">Gunakan ketika</x:t>
  </x:si>
  <x:si>
    <x:t xml:space="preserve">Skor?</x:t>
  </x:si>
  <x:si>
    <x:t xml:space="preserve">DAPAT DINILAI</x:t>
  </x:si>
  <x:si>
    <x:t xml:space="preserve">Sudah waktunya dinilai dan evidence/fakta cukup.</x:t>
  </x:si>
  <x:si>
    <x:t xml:space="preserve">Ya, 0–4</x:t>
  </x:si>
  <x:si>
    <x:t xml:space="preserve">BUKTI BELUM MEMADAI</x:t>
  </x:si>
  <x:si>
    <x:t xml:space="preserve">Sudah waktunya dinilai tetapi fakta belum dapat dipastikan karena evidence belum cukup.</x:t>
  </x:si>
  <x:si>
    <x:t xml:space="preserve">Tidak</x:t>
  </x:si>
  <x:si>
    <x:t xml:space="preserve">BELUM DAPAT DINILAI</x:t>
  </x:si>
  <x:si>
    <x:t xml:space="preserve">Digunakan bila secara objektif belum cukup waktu bagi indikator untuk menghasilkan hasil/manfaat. Ini terutama relevan pada masa implementasi awal untuk outcome dan kontribusi/dampak.</x:t>
  </x:si>
  <x:si>
    <x:t xml:space="preserve">4. ATURAN SKOR</x:t>
  </x:si>
  <x:si>
    <x:t xml:space="preserve">Hanya jika indikator sudah dapat dinilai, evidence cukup, dan secara faktual unsur tidak terpenuhi.</x:t>
  </x:si>
  <x:si>
    <x:t xml:space="preserve">Bukan untuk menutupi kinerja rendah. Jika sudah cukup waktu dan tidak ada hasil, gunakan skor 0 sesuai rubrik.</x:t>
  </x:si>
  <x:si>
    <x:t xml:space="preserve">Bukan skor 0; harus diikuti tindakan verifikasi/melengkapi evidence.</x:t>
  </x:si>
  <x:si>
    <x:t xml:space="preserve">Hanya muncul jika seluruh 7 indikator dapat dinilai.</x:t>
  </x:si>
  <x:si>
    <x:t xml:space="preserve">Masa Implementasi Awal</x:t>
  </x:si>
  <x:si>
    <x:t xml:space="preserve">Digunakan bila kerja sama masih baru sehingga sebagian indikator hasil (terutama outcome dan kontribusi/dampak) secara objektif belum layak diberi skor. Indikator yang sudah matang tetap dapat dinilai.</x:t>
  </x:si>
  <x:si>
    <x:t xml:space="preserve">Nilai final/kategori belum ditetapkan sampai seluruh indikator hasil memasuki periode penilaian yang memadai.</x:t>
  </x:si>
  <x:si>
    <x:t xml:space="preserve">5. ESTIMASI WAKTU</x:t>
  </x:si>
  <x:si>
    <x:t xml:space="preserve">Kondisi Pengguna</x:t>
  </x:si>
  <x:si>
    <x:t xml:space="preserve">Estimasi Waktu per Naskah</x:t>
  </x:si>
  <x:si>
    <x:t xml:space="preserve">Pertama kali, evidence belum tertata</x:t>
  </x:si>
  <x:si>
    <x:t xml:space="preserve">60–120 menit atau lebih</x:t>
  </x:si>
  <x:si>
    <x:t xml:space="preserve">Pertama kali, evidence sudah tersedia</x:t>
  </x:si>
  <x:si>
    <x:t xml:space="preserve">45–75 menit</x:t>
  </x:si>
  <x:si>
    <x:t xml:space="preserve">Sudah memahami instrumen dan evidence siap</x:t>
  </x:si>
  <x:si>
    <x:t xml:space="preserve">25–45 menit</x:t>
  </x:si>
  <x:si>
    <x:t xml:space="preserve">Update berkala setelah data tertata</x:t>
  </x:si>
  <x:si>
    <x:t xml:space="preserve">15–30 menit</x:t>
  </x:si>
  <x:si>
    <x:t xml:space="preserve">6. CARA MEMBACA HASIL</x:t>
  </x:si>
  <x:si>
    <x:t xml:space="preserve">Situasi</x:t>
  </x:si>
  <x:si>
    <x:t xml:space="preserve">Makna</x:t>
  </x:si>
  <x:si>
    <x:t xml:space="preserve">Banyak BDN karena belum cukup waktu</x:t>
  </x:si>
  <x:si>
    <x:t xml:space="preserve">Normal; jadwalkan review berikutnya.</x:t>
  </x:si>
  <x:si>
    <x:t xml:space="preserve">Banyak bukti belum memadai</x:t>
  </x:si>
  <x:si>
    <x:t xml:space="preserve">Ada gap tata kelola evidence; perlu verifikasi/perbaikan dokumentasi.</x:t>
  </x:si>
  <x:si>
    <x:t xml:space="preserve">Banyak skor 0 setelah cukup waktu</x:t>
  </x:si>
  <x:si>
    <x:t xml:space="preserve">Masalah pelaksanaan/hasil kerja sama; perlu tindakan korektif atau keputusan keberlanjutan.</x:t>
  </x:si>
  <x:si>
    <x:t xml:space="preserve">Warning tinggi meski nilai baik</x:t>
  </x:si>
  <x:si>
    <x:t xml:space="preserve">Tetap perlu tindakan; Early Warning memang terpisah dari nilai Scorecard.</x:t>
  </x:si>
  <x:si>
    <x:t xml:space="preserve">Intervensi = YA</x:t>
  </x:si>
  <x:si>
    <x:t xml:space="preserve">Ada isu/keputusan yang membutuhkan kewenangan/arahan pimpinan.</x:t>
  </x:si>
  <x:si>
    <x:t xml:space="preserve">CONTOH PENGISIAN — UNTUK PENGGUNA BARU</x:t>
  </x:si>
  <x:si>
    <x:t xml:space="preserve">Contoh membedakan kerja sama lama yang pasif dengan kerja sama baru yang hasilnya memang belum jatuh tempo.</x:t>
  </x:si>
  <x:si>
    <x:t xml:space="preserve">CONTOH A — PKS SUDAH CUKUP LAMA, TETAPI TIDAK AKTIF</x:t>
  </x:si>
  <x:si>
    <x:t xml:space="preserve">Temuan</x:t>
  </x:si>
  <x:si>
    <x:t xml:space="preserve">Skor</x:t>
  </x:si>
  <x:si>
    <x:t xml:space="preserve">Nilai</x:t>
  </x:si>
  <x:si>
    <x:t xml:space="preserve">I1</x:t>
  </x:si>
  <x:si>
    <x:t xml:space="preserve">PIC diketahui, tetapi tidak ada rencana tindak lanjut yang jelas.</x:t>
  </x:si>
  <x:si>
    <x:t xml:space="preserve">Pengelolaan lemah</x:t>
  </x:si>
  <x:si>
    <x:t xml:space="preserve">Tetapkan tindak lanjut/owner.</x:t>
  </x:si>
  <x:si>
    <x:t xml:space="preserve">I2</x:t>
  </x:si>
  <x:si>
    <x:t xml:space="preserve">Tidak ada kegiatan setelah penandatanganan.</x:t>
  </x:si>
  <x:si>
    <x:t xml:space="preserve">Tidak ada implementasi</x:t>
  </x:si>
  <x:si>
    <x:t xml:space="preserve">Aktivasi atau evaluasi keberlanjutan.</x:t>
  </x:si>
  <x:si>
    <x:t xml:space="preserve">I3</x:t>
  </x:si>
  <x:si>
    <x:t xml:space="preserve">Tidak ada output padahal periode sudah memadai.</x:t>
  </x:si>
  <x:si>
    <x:t xml:space="preserve">Output tidak tercapai</x:t>
  </x:si>
  <x:si>
    <x:t xml:space="preserve">Tentukan output prioritas.</x:t>
  </x:si>
  <x:si>
    <x:t xml:space="preserve">I4</x:t>
  </x:si>
  <x:si>
    <x:t xml:space="preserve">Tidak ada manfaat/perubahan setelah periode memadai.</x:t>
  </x:si>
  <x:si>
    <x:t xml:space="preserve">Outcome tidak terbentuk</x:t>
  </x:si>
  <x:si>
    <x:t xml:space="preserve">Perbaiki implementasi/evaluasi kelanjutan.</x:t>
  </x:si>
  <x:si>
    <x:t xml:space="preserve">I5</x:t>
  </x:si>
  <x:si>
    <x:t xml:space="preserve">Tidak ditemukan kontribusi terhadap kinerja/pelayanan.</x:t>
  </x:si>
  <x:si>
    <x:t xml:space="preserve">Kontribusi belum terbukti</x:t>
  </x:si>
  <x:si>
    <x:t xml:space="preserve">Kaji relevansi dan nilai strategis.</x:t>
  </x:si>
  <x:si>
    <x:t xml:space="preserve">I6</x:t>
  </x:si>
  <x:si>
    <x:t xml:space="preserve">Verifikasi lengkap menunjukkan memang tidak ada implementasi.</x:t>
  </x:si>
  <x:si>
    <x:t xml:space="preserve">Evidence cukup untuk menyimpulkan kondisi</x:t>
  </x:si>
  <x:si>
    <x:t xml:space="preserve">Pertahankan keterlacakan data.</x:t>
  </x:si>
  <x:si>
    <x:t xml:space="preserve">I7</x:t>
  </x:si>
  <x:si>
    <x:t xml:space="preserve">Kerja sama pasif; tidak ada langkah keberlanjutan.</x:t>
  </x:si>
  <x:si>
    <x:t xml:space="preserve">Risiko keberlanjutan tinggi</x:t>
  </x:si>
  <x:si>
    <x:t xml:space="preserve">Tentukan lanjut/perbaiki/hentikan.</x:t>
  </x:si>
  <x:si>
    <x:t xml:space="preserve">CONTOH B — MASA IMPLEMENTASI AWAL: HASIL BELUM MEMASUKI PERIODE PENILAIAN</x:t>
  </x:si>
  <x:si>
    <x:t xml:space="preserve">Tanggung jawab, rencana awal, dan koordinasi sudah jelas.</x:t>
  </x:si>
  <x:si>
    <x:t xml:space="preserve">Kesiapan baik</x:t>
  </x:si>
  <x:si>
    <x:t xml:space="preserve">Lanjutkan.</x:t>
  </x:si>
  <x:si>
    <x:t xml:space="preserve">Langkah persiapan sudah berjalan.</x:t>
  </x:si>
  <x:si>
    <x:t xml:space="preserve">Implementasi awal</x:t>
  </x:si>
  <x:si>
    <x:t xml:space="preserve">Pantau tindak lanjut.</x:t>
  </x:si>
  <x:si>
    <x:t xml:space="preserve">Output utama dijadwalkan pada periode berikutnya.</x:t>
  </x:si>
  <x:si>
    <x:t xml:space="preserve">Belum jatuh tempo</x:t>
  </x:si>
  <x:si>
    <x:t xml:space="preserve">Review pada jadwal output.</x:t>
  </x:si>
  <x:si>
    <x:t xml:space="preserve">Outcome belum mungkin terlihat.</x:t>
  </x:si>
  <x:si>
    <x:t xml:space="preserve">Belum matang</x:t>
  </x:si>
  <x:si>
    <x:t xml:space="preserve">Review setelah output tersedia.</x:t>
  </x:si>
  <x:si>
    <x:t xml:space="preserve">Kontribusi/dampak belum mungkin diukur.</x:t>
  </x:si>
  <x:si>
    <x:t xml:space="preserve">Review setelah outcome tersedia.</x:t>
  </x:si>
  <x:si>
    <x:t xml:space="preserve">Dokumen/evidence persiapan dapat ditelusuri.</x:t>
  </x:si>
  <x:si>
    <x:t xml:space="preserve">Evidence baik</x:t>
  </x:si>
  <x:si>
    <x:t xml:space="preserve">Pertahankan.</x:t>
  </x:si>
  <x:si>
    <x:t xml:space="preserve">Risiko utama telah diidentifikasi dan ditangani.</x:t>
  </x:si>
  <x:si>
    <x:t xml:space="preserve">Risiko terkendali</x:t>
  </x:si>
  <x:si>
    <x:t xml:space="preserve">Pantau perubahan.</x:t>
  </x:si>
</x:sst>
</file>

<file path=xl/styles.xml><?xml version="1.0" encoding="utf-8"?>
<x:styleSheet xmlns:x="http://schemas.openxmlformats.org/spreadsheetml/2006/main">
  <x:numFmts count="1">
    <x:numFmt numFmtId="164" formatCode="dd\ mmm\ yyyy"/>
  </x:numFmts>
  <x:fonts count="10">
    <x:font>
      <x:sz val="11"/>
      <x:name val="Carlito"/>
    </x:font>
    <x:font>
      <x:b/>
      <x:sz val="15"/>
      <x:color rgb="FFFFFFFF"/>
      <x:name val="Carlito"/>
    </x:font>
    <x:font>
      <x:b/>
      <x:sz val="10"/>
      <x:color rgb="FFFFFFFF"/>
      <x:name val="Carlito"/>
    </x:font>
    <x:font>
      <x:b/>
      <x:sz val="11"/>
      <x:color rgb="FF1F1F1F"/>
      <x:name val="Carlito"/>
    </x:font>
    <x:font>
      <x:b/>
      <x:sz val="11"/>
      <x:color rgb="FFFFFFFF"/>
      <x:name val="Carlito"/>
    </x:font>
    <x:font>
      <x:b/>
      <x:sz val="11"/>
      <x:name val="Carlito"/>
    </x:font>
    <x:font>
      <x:b/>
      <x:sz val="14"/>
      <x:color rgb="FFFFFFFF"/>
      <x:name val="Carlito"/>
    </x:font>
    <x:font>
      <x:i/>
      <x:sz val="10"/>
      <x:color rgb="FF1F1F1F"/>
      <x:name val="Carlito"/>
    </x:font>
    <x:font>
      <x:b/>
      <x:sz val="10"/>
      <x:color rgb="FF1F1F1F"/>
      <x:name val="Carlito"/>
    </x:font>
    <x:font>
      <x:sz val="11"/>
      <x:color rgb="FF1F1F1F"/>
      <x:name val="Carlito"/>
    </x:font>
  </x:fonts>
  <x:fills count="22">
    <x:fill>
      <x:patternFill patternType="none"/>
    </x:fill>
    <x:fill>
      <x:patternFill patternType="gray125"/>
    </x:fill>
    <x:fill>
      <x:patternFill patternType="solid">
        <x:fgColor rgb="FF163A5F"/>
      </x:patternFill>
    </x:fill>
    <x:fill>
      <x:patternFill patternType="solid">
        <x:fgColor rgb="FF1F4E78"/>
      </x:patternFill>
    </x:fill>
    <x:fill>
      <x:patternFill patternType="solid">
        <x:fgColor rgb="FFEEF5FB"/>
      </x:patternFill>
    </x:fill>
    <x:fill>
      <x:patternFill patternType="solid">
        <x:fgColor rgb="FFFFF2CC"/>
      </x:patternFill>
    </x:fill>
    <x:fill>
      <x:patternFill patternType="solid">
        <x:fgColor rgb="FFD9EAF7"/>
      </x:patternFill>
    </x:fill>
    <x:fill>
      <x:patternFill patternType="solid">
        <x:fgColor rgb="FFF5E8BF"/>
      </x:patternFill>
    </x:fill>
    <x:fill>
      <x:patternFill patternType="solid">
        <x:fgColor rgb="FF163A5F"/>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D9EAF7"/>
      </x:patternFill>
    </x:fill>
    <x:fill>
      <x:patternFill patternType="solid">
        <x:fgColor theme="1" tint="0.49998"/>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E7E6E6"/>
      </x:patternFill>
    </x:fill>
    <x:fill>
      <x:patternFill patternType="solid">
        <x:fgColor rgb="FFEEF5FB"/>
      </x:patternFill>
    </x:fill>
    <x:fill>
      <x:patternFill patternType="solid">
        <x:fgColor rgb="FFFFFFFF"/>
      </x:patternFill>
    </x:fill>
  </x:fills>
  <x:borders count="68">
    <x:border/>
    <x:border/>
    <x:border/>
    <x:border/>
    <x:border/>
    <x:border/>
    <x:border/>
    <x:border/>
    <x:border/>
    <x:border/>
    <x:border/>
    <x:border/>
    <x:border/>
    <x:border/>
    <x:border/>
    <x:border/>
    <x:border/>
    <x:border/>
    <x:border/>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right style="thin">
        <x:color indexed="64"/>
      </x:right>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right style="thin">
        <x:color indexed="64"/>
      </x:right>
    </x:border>
    <x:border>
      <x:left style="thin">
        <x:color rgb="FFB4C6E7"/>
      </x:left>
      <x:right style="thin">
        <x:color indexed="64"/>
      </x:right>
      <x:top style="thin">
        <x:color indexed="64"/>
      </x:top>
      <x:bottom style="thin">
        <x:color indexed="64"/>
      </x:bottom>
    </x:border>
    <x:border>
      <x:left style="thin">
        <x:color indexed="64"/>
      </x:left>
      <x:right style="thin">
        <x:color rgb="FFB4C6E7"/>
      </x:right>
      <x:top style="thin">
        <x:color indexed="64"/>
      </x:top>
      <x:bottom style="thin">
        <x:color indexed="64"/>
      </x:bottom>
    </x:border>
    <x:border>
      <x:left style="thin">
        <x:color rgb="FFB4C6E7"/>
      </x:left>
      <x:right style="thin">
        <x:color indexed="64"/>
      </x:right>
      <x:top style="thin">
        <x:color indexed="64"/>
      </x:top>
      <x:bottom style="thin">
        <x:color rgb="FFB4C6E7"/>
      </x:bottom>
    </x:border>
    <x:border>
      <x:left style="thin">
        <x:color indexed="64"/>
      </x:left>
      <x:right style="thin">
        <x:color indexed="64"/>
      </x:right>
      <x:top style="thin">
        <x:color indexed="64"/>
      </x:top>
      <x:bottom style="thin">
        <x:color rgb="FFB4C6E7"/>
      </x:bottom>
    </x:border>
    <x:border>
      <x:left style="thin">
        <x:color indexed="64"/>
      </x:left>
      <x:right style="thin">
        <x:color rgb="FFB4C6E7"/>
      </x:right>
      <x:top style="thin">
        <x:color indexed="64"/>
      </x:top>
      <x:bottom style="thin">
        <x:color rgb="FFB4C6E7"/>
      </x:bottom>
    </x:border>
    <x:border>
      <x:left style="thin">
        <x:color rgb="FFB4C6E7"/>
      </x:left>
      <x:right style="thin">
        <x:color indexed="64"/>
      </x:right>
      <x:top style="thin">
        <x:color indexed="64"/>
      </x:top>
      <x:bottom style="thin">
        <x:color indexed="64"/>
      </x:bottom>
    </x:border>
    <x:border>
      <x:left style="thin">
        <x:color indexed="64"/>
      </x:left>
      <x:right style="thin">
        <x:color rgb="FFB4C6E7"/>
      </x:right>
      <x:top style="thin">
        <x:color indexed="64"/>
      </x:top>
      <x:bottom style="thin">
        <x:color indexed="64"/>
      </x:bottom>
    </x:border>
    <x:border>
      <x:left style="thin">
        <x:color rgb="FFB4C6E7"/>
      </x:left>
      <x:right style="thin">
        <x:color indexed="64"/>
      </x:right>
      <x:top style="thin">
        <x:color indexed="64"/>
      </x:top>
      <x:bottom style="thin">
        <x:color rgb="FFB4C6E7"/>
      </x:bottom>
    </x:border>
    <x:border>
      <x:left style="thin">
        <x:color indexed="64"/>
      </x:left>
      <x:right style="thin">
        <x:color indexed="64"/>
      </x:right>
      <x:top style="thin">
        <x:color indexed="64"/>
      </x:top>
      <x:bottom style="thin">
        <x:color rgb="FFB4C6E7"/>
      </x:bottom>
    </x:border>
    <x:border>
      <x:left style="thin">
        <x:color indexed="64"/>
      </x:left>
      <x:right style="thin">
        <x:color rgb="FFB4C6E7"/>
      </x:right>
      <x:top style="thin">
        <x:color indexed="64"/>
      </x:top>
      <x:bottom style="thin">
        <x:color rgb="FFB4C6E7"/>
      </x:bottom>
    </x:border>
    <x:border>
      <x:left style="thin">
        <x:color rgb="FFB4C6E7"/>
      </x:left>
      <x:right style="thin">
        <x:color indexed="64"/>
      </x:right>
      <x:top style="thin">
        <x:color rgb="FFB4C6E7"/>
      </x:top>
      <x:bottom style="thin">
        <x:color indexed="64"/>
      </x:bottom>
    </x:border>
    <x:border>
      <x:left style="thin">
        <x:color indexed="64"/>
      </x:left>
      <x:right style="thin">
        <x:color rgb="FFB4C6E7"/>
      </x:right>
      <x:top style="thin">
        <x:color rgb="FFB4C6E7"/>
      </x:top>
      <x:bottom style="thin">
        <x:color indexed="64"/>
      </x:bottom>
    </x:border>
    <x:border>
      <x:left style="thin">
        <x:color rgb="FFB4C6E7"/>
      </x:left>
      <x:right style="thin">
        <x:color indexed="64"/>
      </x:right>
      <x:top style="thin">
        <x:color rgb="FFB4C6E7"/>
      </x:top>
      <x:bottom style="thin">
        <x:color indexed="64"/>
      </x:bottom>
    </x:border>
    <x:border>
      <x:left style="thin">
        <x:color indexed="64"/>
      </x:left>
      <x:right style="thin">
        <x:color rgb="FFB4C6E7"/>
      </x:right>
      <x:top style="thin">
        <x:color rgb="FFB4C6E7"/>
      </x:top>
      <x:bottom style="thin">
        <x:color indexed="64"/>
      </x:bottom>
    </x:border>
    <x:border>
      <x:left style="thin">
        <x:color indexed="64"/>
      </x:left>
      <x:right style="thin">
        <x:color indexed="64"/>
      </x:right>
      <x:bottom style="thin">
        <x:color rgb="FFB4C6E7"/>
      </x:bottom>
    </x:border>
    <x:border>
      <x:left style="thin">
        <x:color indexed="64"/>
      </x:left>
      <x:right style="thin">
        <x:color indexed="64"/>
      </x:right>
      <x:bottom style="thin">
        <x:color rgb="FFB4C6E7"/>
      </x:bottom>
    </x:border>
  </x:borders>
  <x:cellStyleXfs count="1">
    <x:xf numFmtId="0" fontId="0" fillId="0" borderId="0"/>
  </x:cellStyleXfs>
  <x:cellXfs count="727">
    <x:xf numFmtId="0" fontId="0" fillId="0" borderId="0" xfId="0"/>
    <x:xf numFmtId="0" fontId="1" fillId="2" borderId="0" xfId="0" applyFont="1" applyFill="1" applyAlignment="1">
      <x:alignment vertical="center"/>
    </x:xf>
    <x:xf numFmtId="0" fontId="2" fillId="3" borderId="0" xfId="0" applyFont="1" applyFill="1" applyAlignment="1">
      <x:alignment vertical="center" wrapText="1"/>
    </x:xf>
    <x:xf numFmtId="0" fontId="3" fillId="4" borderId="1" xfId="0" applyFont="1" applyFill="1" applyBorder="1" applyAlignment="1">
      <x:alignment vertical="center"/>
    </x:xf>
    <x:xf numFmtId="0" fontId="0" fillId="5" borderId="2" xfId="0" applyFill="1" applyBorder="1"/>
    <x:xf numFmtId="0" fontId="0" fillId="6" borderId="3" xfId="0" applyFill="1" applyBorder="1"/>
    <x:xf numFmtId="0" fontId="3" fillId="7" borderId="0" xfId="0" applyFont="1" applyFill="1" applyAlignment="1">
      <x:alignment vertical="center"/>
    </x:xf>
    <x:xf numFmtId="0" fontId="0" fillId="0" borderId="6" xfId="0" applyBorder="1"/>
    <x:xf numFmtId="0" fontId="3" fillId="4" borderId="4" xfId="0" applyFont="1" applyFill="1" applyBorder="1" applyAlignment="1">
      <x:alignment vertical="center"/>
    </x:xf>
    <x:xf numFmtId="0" fontId="0" fillId="5" borderId="5" xfId="0" applyFill="1" applyBorder="1" applyAlignment="1">
      <x:alignment vertical="top" wrapText="1"/>
    </x:xf>
    <x:xf numFmtId="0" fontId="0" fillId="5" borderId="6" xfId="0" applyFill="1" applyBorder="1" applyAlignment="1">
      <x:alignment vertical="top" wrapText="1"/>
    </x:xf>
    <x:xf numFmtId="0" fontId="0" fillId="5" borderId="0" xfId="0" applyFill="1" applyAlignment="1">
      <x:alignment vertical="top" wrapText="1"/>
    </x:xf>
    <x:xf numFmtId="0" fontId="0" fillId="5" borderId="8" xfId="0" applyFill="1" applyBorder="1" applyAlignment="1">
      <x:alignment vertical="top" wrapText="1"/>
    </x:xf>
    <x:xf numFmtId="0" fontId="0" fillId="5" borderId="10" xfId="0" applyFill="1" applyBorder="1" applyAlignment="1">
      <x:alignment vertical="top" wrapText="1"/>
    </x:xf>
    <x:xf numFmtId="0" fontId="0" fillId="5" borderId="11" xfId="0" applyFill="1" applyBorder="1" applyAlignment="1">
      <x:alignment vertical="top" wrapText="1"/>
    </x:xf>
    <x:xf numFmtId="0" fontId="4" fillId="3" borderId="0" xfId="0" applyFont="1" applyFill="1" applyAlignment="1">
      <x:alignment horizontal="center" vertical="center" wrapText="1"/>
    </x:xf>
    <x:xf numFmtId="0" fontId="0" fillId="0" borderId="4" xfId="0" applyBorder="1" applyAlignment="1">
      <x:alignment wrapText="1"/>
    </x:xf>
    <x:xf numFmtId="0" fontId="0" fillId="0" borderId="5" xfId="0" applyBorder="1" applyAlignment="1">
      <x:alignment wrapText="1"/>
    </x:xf>
    <x:xf numFmtId="0" fontId="0" fillId="0" borderId="6" xfId="0" applyBorder="1" applyAlignment="1">
      <x:alignment wrapText="1"/>
    </x:xf>
    <x:xf numFmtId="0" fontId="0" fillId="0" borderId="7" xfId="0" applyBorder="1" applyAlignment="1">
      <x:alignment wrapText="1"/>
    </x:xf>
    <x:xf numFmtId="0" fontId="0" fillId="0" borderId="0" xfId="0" applyAlignment="1">
      <x:alignment wrapText="1"/>
    </x:xf>
    <x:xf numFmtId="0" fontId="0" fillId="0" borderId="8" xfId="0" applyBorder="1" applyAlignment="1">
      <x:alignment wrapText="1"/>
    </x:xf>
    <x:xf numFmtId="0" fontId="0" fillId="0" borderId="9" xfId="0" applyBorder="1" applyAlignment="1">
      <x:alignment wrapText="1"/>
    </x:xf>
    <x:xf numFmtId="0" fontId="0" fillId="0" borderId="10" xfId="0" applyBorder="1" applyAlignment="1">
      <x:alignment wrapText="1"/>
    </x:xf>
    <x:xf numFmtId="0" fontId="0" fillId="0" borderId="11" xfId="0" applyBorder="1" applyAlignment="1">
      <x:alignment wrapText="1"/>
    </x:xf>
    <x:xf numFmtId="0" fontId="0" fillId="0" borderId="5" xfId="0" applyBorder="1" applyAlignment="1">
      <x:alignment vertical="top" wrapText="1"/>
    </x:xf>
    <x:xf numFmtId="0" fontId="0" fillId="0" borderId="6" xfId="0" applyBorder="1" applyAlignment="1">
      <x:alignment vertical="top" wrapText="1"/>
    </x:xf>
    <x:xf numFmtId="0" fontId="0" fillId="0" borderId="0" xfId="0" applyAlignment="1">
      <x:alignment vertical="top" wrapText="1"/>
    </x:xf>
    <x:xf numFmtId="0" fontId="0" fillId="0" borderId="8" xfId="0" applyBorder="1" applyAlignment="1">
      <x:alignment vertical="top" wrapText="1"/>
    </x:xf>
    <x:xf numFmtId="0" fontId="0" fillId="0" borderId="10" xfId="0" applyBorder="1" applyAlignment="1">
      <x:alignment vertical="top" wrapText="1"/>
    </x:xf>
    <x:xf numFmtId="0" fontId="0" fillId="0" borderId="11" xfId="0" applyBorder="1" applyAlignment="1">
      <x:alignment vertical="top" wrapText="1"/>
    </x:xf>
    <x:xf numFmtId="0" fontId="3" fillId="6" borderId="0" xfId="0" applyFont="1" applyFill="1" applyAlignment="1">
      <x:alignment vertical="center"/>
    </x:xf>
    <x:xf numFmtId="0" fontId="3" fillId="4" borderId="4" xfId="0" applyFont="1" applyFill="1" applyBorder="1" applyAlignment="1">
      <x:alignment vertical="center" wrapText="1"/>
    </x:xf>
    <x:xf numFmtId="0" fontId="3" fillId="4" borderId="7" xfId="0" applyFont="1" applyFill="1" applyBorder="1" applyAlignment="1">
      <x:alignment vertical="center" wrapText="1"/>
    </x:xf>
    <x:xf numFmtId="0" fontId="3" fillId="4" borderId="9" xfId="0" applyFont="1" applyFill="1" applyBorder="1" applyAlignment="1">
      <x:alignment vertical="center" wrapText="1"/>
    </x:xf>
    <x:xf numFmtId="0" fontId="4" fillId="3" borderId="4" xfId="0" applyFont="1" applyFill="1" applyBorder="1" applyAlignment="1">
      <x:alignment horizontal="center" vertical="center" wrapText="1"/>
    </x:xf>
    <x:xf numFmtId="0" fontId="4" fillId="3" borderId="6" xfId="0" applyFont="1" applyFill="1" applyBorder="1" applyAlignment="1">
      <x:alignment horizontal="center" vertical="center" wrapText="1"/>
    </x:xf>
    <x:xf numFmtId="0" fontId="4" fillId="3" borderId="5" xfId="0" applyFont="1" applyFill="1" applyBorder="1" applyAlignment="1">
      <x:alignment horizontal="center" vertical="center" wrapText="1"/>
    </x:xf>
    <x:xf numFmtId="0" fontId="6" fillId="8" borderId="0" xfId="0" applyFont="1" applyFill="1"/>
    <x:xf numFmtId="0" fontId="0" fillId="9" borderId="0" xfId="0" applyFill="1"/>
    <x:xf numFmtId="0" fontId="4" fillId="10" borderId="12" xfId="0" applyFont="1" applyFill="1" applyBorder="1" applyAlignment="1">
      <x:alignment wrapText="1"/>
    </x:xf>
    <x:xf numFmtId="0" fontId="4" fillId="10" borderId="13" xfId="0" applyFont="1" applyFill="1" applyBorder="1" applyAlignment="1">
      <x:alignment wrapText="1"/>
    </x:xf>
    <x:xf numFmtId="0" fontId="4" fillId="10" borderId="14" xfId="0" applyFont="1" applyFill="1" applyBorder="1" applyAlignment="1">
      <x:alignment wrapText="1"/>
    </x:xf>
    <x:xf numFmtId="0" fontId="0" fillId="0" borderId="15" xfId="0" applyBorder="1" applyAlignment="1">
      <x:alignment vertical="top" wrapText="1"/>
    </x:xf>
    <x:xf numFmtId="0" fontId="0" fillId="0" borderId="16" xfId="0" applyBorder="1" applyAlignment="1">
      <x:alignment vertical="top" wrapText="1"/>
    </x:xf>
    <x:xf numFmtId="0" fontId="0" fillId="0" borderId="17" xfId="0" applyBorder="1" applyAlignment="1">
      <x:alignment vertical="top" wrapText="1"/>
    </x:xf>
    <x:xf numFmtId="0" fontId="0" fillId="0" borderId="18" xfId="0" applyBorder="1" applyAlignment="1">
      <x:alignment vertical="top" wrapText="1"/>
    </x:xf>
    <x:xf numFmtId="0" fontId="0" fillId="0" borderId="19" xfId="0" applyBorder="1" applyAlignment="1">
      <x:alignment vertical="top" wrapText="1"/>
    </x:xf>
    <x:xf numFmtId="0" fontId="7" fillId="12" borderId="0" xfId="0" applyFont="1" applyFill="1"/>
    <x:xf numFmtId="0" fontId="4" fillId="13" borderId="0" xfId="0" applyFont="1" applyFill="1" applyAlignment="1">
      <x:alignment wrapText="1"/>
    </x:xf>
    <x:xf numFmtId="0" fontId="6" fillId="11" borderId="21" xfId="0" applyFont="1" applyFill="1" applyBorder="1"/>
    <x:xf numFmtId="0" fontId="6" fillId="11" borderId="22" xfId="0" applyFont="1" applyFill="1" applyBorder="1"/>
    <x:xf numFmtId="0" fontId="6" fillId="11" borderId="23" xfId="0" applyFont="1" applyFill="1" applyBorder="1"/>
    <x:xf numFmtId="0" fontId="7" fillId="12" borderId="24" xfId="0" applyFont="1" applyFill="1" applyBorder="1"/>
    <x:xf numFmtId="0" fontId="7" fillId="12" borderId="25" xfId="0" applyFont="1" applyFill="1" applyBorder="1"/>
    <x:xf numFmtId="0" fontId="0" fillId="0" borderId="24" xfId="0" applyBorder="1"/>
    <x:xf numFmtId="0" fontId="0" fillId="0" borderId="25" xfId="0" applyBorder="1"/>
    <x:xf numFmtId="0" fontId="4" fillId="13" borderId="24" xfId="0" applyFont="1" applyFill="1" applyBorder="1" applyAlignment="1">
      <x:alignment wrapText="1"/>
    </x:xf>
    <x:xf numFmtId="0" fontId="4" fillId="13" borderId="25" xfId="0" applyFont="1" applyFill="1" applyBorder="1" applyAlignment="1">
      <x:alignment wrapText="1"/>
    </x:xf>
    <x:xf numFmtId="0" fontId="0" fillId="0" borderId="24" xfId="0" applyBorder="1" applyAlignment="1">
      <x:alignment wrapText="1"/>
    </x:xf>
    <x:xf numFmtId="0" fontId="0" fillId="0" borderId="25" xfId="0" applyBorder="1" applyAlignment="1">
      <x:alignment wrapText="1"/>
    </x:xf>
    <x:xf numFmtId="0" fontId="0" fillId="0" borderId="26" xfId="0" applyBorder="1" applyAlignment="1">
      <x:alignment wrapText="1"/>
    </x:xf>
    <x:xf numFmtId="0" fontId="0" fillId="0" borderId="27" xfId="0" applyBorder="1" applyAlignment="1">
      <x:alignment wrapText="1"/>
    </x:xf>
    <x:xf numFmtId="0" fontId="0" fillId="0" borderId="28" xfId="0" applyBorder="1" applyAlignment="1">
      <x:alignment wrapText="1"/>
    </x:xf>
    <x:xf numFmtId="0" fontId="3" fillId="4" borderId="4" xfId="0" applyFont="1" applyFill="1" applyBorder="1" applyAlignment="1">
      <x:alignment vertical="top"/>
    </x:xf>
    <x:xf numFmtId="0" fontId="3" fillId="4" borderId="5" xfId="0" applyFont="1" applyFill="1" applyBorder="1" applyAlignment="1">
      <x:alignment vertical="top"/>
    </x:xf>
    <x:xf numFmtId="0" fontId="3" fillId="4" borderId="7" xfId="0" applyFont="1" applyFill="1" applyBorder="1" applyAlignment="1">
      <x:alignment vertical="top"/>
    </x:xf>
    <x:xf numFmtId="0" fontId="3" fillId="4" borderId="0" xfId="0" applyFont="1" applyFill="1" applyAlignment="1">
      <x:alignment vertical="top"/>
    </x:xf>
    <x:xf numFmtId="0" fontId="3" fillId="4" borderId="9" xfId="0" applyFont="1" applyFill="1" applyBorder="1" applyAlignment="1">
      <x:alignment vertical="top"/>
    </x:xf>
    <x:xf numFmtId="0" fontId="3" fillId="4" borderId="10" xfId="0" applyFont="1" applyFill="1" applyBorder="1" applyAlignment="1">
      <x:alignment vertical="top"/>
    </x:xf>
    <x:xf numFmtId="0" fontId="5" fillId="0" borderId="29" xfId="0" applyFont="1" applyBorder="1" applyAlignment="1">
      <x:alignment vertical="top" wrapText="1"/>
    </x:xf>
    <x:xf numFmtId="0" fontId="5" fillId="0" borderId="29" xfId="0" applyFont="1" applyBorder="1" applyAlignment="1">
      <x:alignment horizontal="center" vertical="top" wrapText="1"/>
    </x:xf>
    <x:xf numFmtId="0" fontId="0" fillId="0" borderId="29" xfId="0" applyBorder="1" applyAlignment="1">
      <x:alignment vertical="top" wrapText="1"/>
    </x:xf>
    <x:xf numFmtId="0" fontId="0" fillId="5" borderId="29" xfId="0" applyFill="1" applyBorder="1" applyAlignment="1">
      <x:alignment vertical="top" wrapText="1"/>
    </x:xf>
    <x:xf numFmtId="0" fontId="0" fillId="6" borderId="29" xfId="0" applyFill="1" applyBorder="1" applyAlignment="1">
      <x:alignment vertical="center" wrapText="1"/>
    </x:xf>
    <x:xf numFmtId="0" fontId="3" fillId="4" borderId="29" xfId="0" applyFont="1" applyFill="1" applyBorder="1" applyAlignment="1">
      <x:alignment vertical="center"/>
    </x:xf>
    <x:xf numFmtId="0" fontId="0" fillId="6" borderId="29" xfId="0" applyFill="1" applyBorder="1" applyAlignment="1">
      <x:alignment horizontal="center" vertical="center" wrapText="1"/>
    </x:xf>
    <x:xf numFmtId="0" fontId="0" fillId="0" borderId="0" xfId="0" applyAlignment="1">
      <x:alignment horizontal="center" vertical="top" wrapText="1"/>
    </x:xf>
    <x:xf numFmtId="0" fontId="0" fillId="0" borderId="5" xfId="0" applyBorder="1" applyAlignment="1">
      <x:alignment horizontal="center" vertical="top" wrapText="1"/>
    </x:xf>
    <x:xf numFmtId="0" fontId="3" fillId="4" borderId="29" xfId="0" applyFont="1" applyFill="1" applyBorder="1" applyAlignment="1">
      <x:alignment vertical="center" wrapText="1"/>
    </x:xf>
    <x:xf numFmtId="0" fontId="0" fillId="0" borderId="29" xfId="0" applyBorder="1" applyAlignment="1">
      <x:alignment horizontal="center" vertical="top" wrapText="1"/>
    </x:xf>
    <x:xf numFmtId="0" fontId="3" fillId="0" borderId="0" xfId="0" applyFont="1" applyAlignment="1">
      <x:alignment vertical="center"/>
    </x:xf>
    <x:xf numFmtId="164" fontId="0" fillId="5" borderId="29" xfId="0" applyNumberFormat="1" applyFill="1" applyBorder="1" applyAlignment="1">
      <x:alignment vertical="top" wrapText="1"/>
    </x:xf>
    <x:xf numFmtId="0" fontId="0" fillId="0" borderId="0" xfId="0" applyAlignment="1">
      <x:alignment vertical="top"/>
    </x:xf>
    <x:xf numFmtId="0" fontId="0" fillId="6" borderId="29" xfId="0" applyFill="1" applyBorder="1" applyAlignment="1">
      <x:alignment vertical="top" wrapText="1"/>
    </x:xf>
    <x:xf numFmtId="0" fontId="0" fillId="5" borderId="29" xfId="0" applyFill="1" applyBorder="1" applyAlignment="1">
      <x:alignment horizontal="left" vertical="top" wrapText="1"/>
    </x:xf>
    <x:xf numFmtId="0" fontId="3" fillId="4" borderId="29" xfId="0" applyFont="1" applyFill="1" applyBorder="1" applyAlignment="1">
      <x:alignment vertical="top" wrapText="1"/>
    </x:xf>
    <x:xf numFmtId="0" fontId="3" fillId="4" borderId="29" xfId="0" applyFont="1" applyFill="1" applyBorder="1" applyAlignment="1">
      <x:alignment horizontal="left" vertical="top" wrapText="1"/>
    </x:xf>
    <x:xf numFmtId="0" fontId="0" fillId="0" borderId="20" xfId="0" applyBorder="1" applyAlignment="1">
      <x:alignment horizontal="center"/>
    </x:xf>
    <x:xf numFmtId="0" fontId="3" fillId="0" borderId="29" xfId="0" applyFont="1" applyBorder="1" applyAlignment="1">
      <x:alignment horizontal="center" vertical="center"/>
    </x:xf>
    <x:xf numFmtId="0" fontId="0" fillId="0" borderId="29" xfId="0" applyBorder="1" applyAlignment="1">
      <x:alignment horizontal="center" vertical="top" wrapText="1"/>
    </x:xf>
    <x:xf numFmtId="164" fontId="0" fillId="0" borderId="29" xfId="0" applyNumberFormat="1" applyBorder="1" applyAlignment="1">
      <x:alignment horizontal="center" vertical="top" wrapText="1"/>
    </x:xf>
    <x:xf numFmtId="0" fontId="3" fillId="0" borderId="29" xfId="0" applyFont="1" applyBorder="1" applyAlignment="1">
      <x:alignment vertical="center"/>
    </x:xf>
    <x:xf numFmtId="0" fontId="0" fillId="0" borderId="7" xfId="0" applyBorder="1" applyAlignment="1">
      <x:alignment vertical="top" wrapText="1"/>
    </x:xf>
    <x:xf numFmtId="0" fontId="0" fillId="0" borderId="9" xfId="0" applyBorder="1" applyAlignment="1">
      <x:alignment vertical="top" wrapText="1"/>
    </x:xf>
    <x:xf numFmtId="164" fontId="0" fillId="0" borderId="29" xfId="0" applyNumberFormat="1" applyBorder="1" applyAlignment="1">
      <x:alignment vertical="top" wrapText="1"/>
    </x:xf>
    <x:xf numFmtId="0" fontId="8" fillId="14" borderId="0" xfId="0" applyFont="1" applyFill="1" applyAlignment="1">
      <x:alignment vertical="top" wrapText="1"/>
    </x:xf>
    <x:xf numFmtId="0" fontId="0" fillId="0" borderId="29" xfId="0" applyBorder="1" applyAlignment="1">
      <x:alignment horizontal="center" vertical="top" wrapText="1"/>
    </x:xf>
    <x:xf numFmtId="0" fontId="0" fillId="6" borderId="30" xfId="0" applyFill="1" applyBorder="1" applyAlignment="1">
      <x:alignment horizontal="center" vertical="center" wrapText="1"/>
    </x:xf>
    <x:xf numFmtId="0" fontId="0" fillId="6" borderId="31" xfId="0" applyFill="1" applyBorder="1" applyAlignment="1">
      <x:alignment horizontal="center" vertical="center" wrapText="1"/>
    </x:xf>
    <x:xf numFmtId="0" fontId="0" fillId="6" borderId="29" xfId="0" applyFill="1" applyBorder="1" applyAlignment="1">
      <x:alignment horizontal="center" vertical="center" wrapText="1"/>
    </x:xf>
    <x:xf numFmtId="0" fontId="0" fillId="15" borderId="29" xfId="0" applyFill="1" applyBorder="1" applyAlignment="1">
      <x:alignment horizontal="center" vertical="center" wrapText="1"/>
    </x:xf>
    <x:xf numFmtId="2" fontId="0" fillId="6" borderId="30" xfId="0" applyNumberFormat="1" applyFill="1" applyBorder="1" applyAlignment="1">
      <x:alignment horizontal="center" vertical="center" wrapText="1"/>
    </x:xf>
    <x:xf numFmtId="2" fontId="0" fillId="6" borderId="31" xfId="0" applyNumberFormat="1" applyFill="1" applyBorder="1" applyAlignment="1">
      <x:alignment horizontal="center" vertical="center" wrapText="1"/>
    </x:xf>
    <x:xf numFmtId="2" fontId="0" fillId="15" borderId="30" xfId="0" applyNumberFormat="1" applyFill="1" applyBorder="1" applyAlignment="1">
      <x:alignment horizontal="center" vertical="center" wrapText="1"/>
    </x:xf>
    <x:xf numFmtId="2" fontId="0" fillId="15" borderId="31" xfId="0" applyNumberFormat="1" applyFill="1" applyBorder="1" applyAlignment="1">
      <x:alignment horizontal="center" vertical="center" wrapText="1"/>
    </x:xf>
    <x:xf numFmtId="0" fontId="0" fillId="5" borderId="5" xfId="0" applyFill="1" applyBorder="1" applyAlignment="1">
      <x:alignment horizontal="center" vertical="top" wrapText="1"/>
    </x:xf>
    <x:xf numFmtId="0" fontId="0" fillId="5" borderId="0" xfId="0" applyFill="1" applyAlignment="1">
      <x:alignment horizontal="center" vertical="top" wrapText="1"/>
    </x:xf>
    <x:xf numFmtId="0" fontId="0" fillId="5" borderId="10" xfId="0" applyFill="1" applyBorder="1" applyAlignment="1">
      <x:alignment horizontal="center" vertical="top" wrapText="1"/>
    </x:xf>
    <x:xf numFmtId="0" fontId="0" fillId="5" borderId="29" xfId="0" applyFill="1" applyBorder="1" applyAlignment="1">
      <x:alignment horizontal="left" vertical="top" wrapText="1"/>
    </x:xf>
    <x:xf numFmtId="0" fontId="3" fillId="4" borderId="29" xfId="0" applyFont="1" applyFill="1" applyBorder="1" applyAlignment="1">
      <x:alignment horizontal="left" vertical="top" wrapText="1"/>
    </x:xf>
    <x:xf numFmtId="0" fontId="0" fillId="0" borderId="29" xfId="0" applyBorder="1" applyAlignment="1">
      <x:alignment horizontal="center" vertical="center" wrapText="1"/>
    </x:xf>
    <x:xf numFmtId="0" fontId="3" fillId="4" borderId="32" xfId="0" applyFont="1" applyFill="1" applyBorder="1" applyAlignment="1">
      <x:alignment horizontal="center" vertical="center" wrapText="1"/>
    </x:xf>
    <x:xf numFmtId="0" fontId="3" fillId="4" borderId="33" xfId="0" applyFont="1" applyFill="1" applyBorder="1" applyAlignment="1">
      <x:alignment horizontal="center" vertical="center" wrapText="1"/>
    </x:xf>
    <x:xf numFmtId="0" fontId="2" fillId="3" borderId="0" xfId="0" applyFont="1" applyFill="1" applyAlignment="1">
      <x:alignment horizontal="center" vertical="center" wrapText="1"/>
    </x:xf>
    <x:xf numFmtId="0" fontId="2" fillId="3" borderId="0" xfId="0" applyFont="1" applyFill="1" applyAlignment="1">
      <x:alignment horizontal="center" vertical="center" wrapText="1"/>
    </x:xf>
    <x:xf numFmtId="0" fontId="1" fillId="2" borderId="0" xfId="0" applyFont="1" applyFill="1" applyAlignment="1">
      <x:alignment horizontal="center" vertical="center"/>
    </x:xf>
    <x:xf numFmtId="0" fontId="5" fillId="0" borderId="4" xfId="0" applyFont="1" applyBorder="1" applyAlignment="1">
      <x:alignment horizontal="center" vertical="top" wrapText="1"/>
    </x:xf>
    <x:xf numFmtId="0" fontId="5" fillId="0" borderId="5" xfId="0" applyFont="1" applyBorder="1" applyAlignment="1">
      <x:alignment horizontal="center" vertical="top" wrapText="1"/>
    </x:xf>
    <x:xf numFmtId="0" fontId="0" fillId="0" borderId="6" xfId="0" applyBorder="1" applyAlignment="1">
      <x:alignment horizontal="center" vertical="top" wrapText="1"/>
    </x:xf>
    <x:xf numFmtId="0" fontId="5" fillId="0" borderId="7" xfId="0" applyFont="1" applyBorder="1" applyAlignment="1">
      <x:alignment horizontal="center" vertical="top" wrapText="1"/>
    </x:xf>
    <x:xf numFmtId="0" fontId="5" fillId="0" borderId="0" xfId="0" applyFont="1" applyAlignment="1">
      <x:alignment horizontal="center" vertical="top" wrapText="1"/>
    </x:xf>
    <x:xf numFmtId="0" fontId="0" fillId="0" borderId="8" xfId="0" applyBorder="1" applyAlignment="1">
      <x:alignment horizontal="center" vertical="top" wrapText="1"/>
    </x:xf>
    <x:xf numFmtId="0" fontId="5" fillId="0" borderId="9" xfId="0" applyFont="1" applyBorder="1" applyAlignment="1">
      <x:alignment horizontal="center" vertical="top" wrapText="1"/>
    </x:xf>
    <x:xf numFmtId="0" fontId="5" fillId="0" borderId="10" xfId="0" applyFont="1" applyBorder="1" applyAlignment="1">
      <x:alignment horizontal="center" vertical="top" wrapText="1"/>
    </x:xf>
    <x:xf numFmtId="0" fontId="0" fillId="0" borderId="10" xfId="0" applyBorder="1" applyAlignment="1">
      <x:alignment horizontal="center" vertical="top" wrapText="1"/>
    </x:xf>
    <x:xf numFmtId="0" fontId="0" fillId="0" borderId="11" xfId="0" applyBorder="1" applyAlignment="1">
      <x:alignment horizontal="center" vertical="top" wrapText="1"/>
    </x:xf>
    <x:xf numFmtId="0" fontId="0" fillId="0" borderId="0" xfId="0" applyAlignment="1">
      <x:alignment horizontal="center"/>
    </x:xf>
    <x:xf numFmtId="0" fontId="0" fillId="0" borderId="20" xfId="0" applyBorder="1"/>
    <x:xf numFmtId="0" fontId="0" fillId="0" borderId="20" xfId="0" applyBorder="1" applyAlignment="1">
      <x:alignment wrapText="1"/>
    </x:xf>
    <x:xf numFmtId="0" fontId="0" fillId="0" borderId="34" xfId="0" applyBorder="1"/>
    <x:xf numFmtId="0" fontId="0" fillId="5" borderId="29" xfId="0" applyFill="1" applyBorder="1" applyAlignment="1">
      <x:alignment horizontal="center" vertical="top" wrapText="1"/>
    </x:xf>
    <x:xf numFmtId="0" fontId="3" fillId="4" borderId="29" xfId="0" applyFont="1" applyFill="1" applyBorder="1" applyAlignment="1">
      <x:alignment horizontal="center" vertical="center"/>
    </x:xf>
    <x:xf numFmtId="0" fontId="3" fillId="4" borderId="32" xfId="0" applyFont="1" applyFill="1" applyBorder="1" applyAlignment="1">
      <x:alignment horizontal="center" vertical="center"/>
    </x:xf>
    <x:xf numFmtId="0" fontId="3" fillId="4" borderId="35" xfId="0" applyFont="1" applyFill="1" applyBorder="1" applyAlignment="1">
      <x:alignment horizontal="center" vertical="center"/>
    </x:xf>
    <x:xf numFmtId="0" fontId="3" fillId="4" borderId="33" xfId="0" applyFont="1" applyFill="1" applyBorder="1" applyAlignment="1">
      <x:alignment horizontal="center" vertical="center"/>
    </x:xf>
    <x:xf numFmtId="2" fontId="0" fillId="6" borderId="29" xfId="0" applyNumberFormat="1" applyFill="1" applyBorder="1" applyAlignment="1">
      <x:alignment horizontal="center" vertical="center" wrapText="1"/>
    </x:xf>
    <x:xf numFmtId="0" fontId="3" fillId="4" borderId="29" xfId="0" applyFont="1" applyFill="1" applyBorder="1" applyAlignment="1">
      <x:alignment vertical="top"/>
    </x:xf>
    <x:xf numFmtId="2" fontId="0" fillId="6" borderId="29" xfId="0" applyNumberFormat="1" applyFill="1" applyBorder="1" applyAlignment="1">
      <x:alignment vertical="top" wrapText="1"/>
    </x:xf>
    <x:xf numFmtId="164" fontId="0" fillId="5" borderId="29" xfId="0" applyNumberFormat="1" applyFill="1" applyBorder="1" applyAlignment="1">
      <x:alignment horizontal="left" vertical="top" wrapText="1"/>
    </x:xf>
    <x:xf numFmtId="0" fontId="3" fillId="4" borderId="32" xfId="0" applyFont="1" applyFill="1" applyBorder="1" applyAlignment="1">
      <x:alignment horizontal="center" vertical="top"/>
    </x:xf>
    <x:xf numFmtId="0" fontId="3" fillId="4" borderId="35" xfId="0" applyFont="1" applyFill="1" applyBorder="1" applyAlignment="1">
      <x:alignment horizontal="center" vertical="top"/>
    </x:xf>
    <x:xf numFmtId="0" fontId="3" fillId="4" borderId="33" xfId="0" applyFont="1" applyFill="1" applyBorder="1" applyAlignment="1">
      <x:alignment horizontal="center" vertical="top"/>
    </x:xf>
    <x:xf numFmtId="0" fontId="3" fillId="0" borderId="29" xfId="0" applyFont="1" applyBorder="1" applyAlignment="1">
      <x:alignment vertical="top"/>
    </x:xf>
    <x:xf numFmtId="0" fontId="3" fillId="0" borderId="29" xfId="0" applyFont="1" applyBorder="1" applyAlignment="1">
      <x:alignment horizontal="left" vertical="top" wrapText="1"/>
    </x:xf>
    <x:xf numFmtId="0" fontId="0" fillId="0" borderId="36" xfId="0" applyNumberFormat="1" applyFont="1" applyFill="1" applyBorder="1"/>
    <x:xf numFmtId="0" fontId="1" fillId="2" borderId="36" xfId="0" applyNumberFormat="1" applyFont="1" applyFill="1" applyBorder="1" applyAlignment="1">
      <x:alignment vertical="center"/>
    </x:xf>
    <x:xf numFmtId="0" fontId="2" fillId="3" borderId="36" xfId="0" applyNumberFormat="1" applyFont="1" applyFill="1" applyBorder="1" applyAlignment="1">
      <x:alignment vertical="center" wrapText="1"/>
    </x:xf>
    <x:xf numFmtId="0" fontId="3" fillId="4" borderId="36" xfId="0" applyNumberFormat="1" applyFont="1" applyFill="1" applyBorder="1" applyAlignment="1">
      <x:alignment vertical="center"/>
    </x:xf>
    <x:xf numFmtId="0" fontId="0" fillId="5" borderId="36" xfId="0" applyNumberFormat="1" applyFont="1" applyFill="1" applyBorder="1"/>
    <x:xf numFmtId="0" fontId="0" fillId="6" borderId="36" xfId="0" applyNumberFormat="1" applyFont="1" applyFill="1" applyBorder="1"/>
    <x:xf numFmtId="0" fontId="3" fillId="7" borderId="36" xfId="0" applyNumberFormat="1" applyFont="1" applyFill="1" applyBorder="1" applyAlignment="1">
      <x:alignment vertical="center"/>
    </x:xf>
    <x:xf numFmtId="0" fontId="0" fillId="5" borderId="36" xfId="0" applyNumberFormat="1" applyFont="1" applyFill="1" applyBorder="1" applyAlignment="1">
      <x:alignment vertical="top" wrapText="1"/>
    </x:xf>
    <x:xf numFmtId="0" fontId="4" fillId="3" borderId="36" xfId="0" applyNumberFormat="1" applyFont="1" applyFill="1" applyBorder="1" applyAlignment="1">
      <x:alignment horizontal="center" vertical="center" wrapText="1"/>
    </x:xf>
    <x:xf numFmtId="0" fontId="0" fillId="0" borderId="36" xfId="0" applyNumberFormat="1" applyFont="1" applyFill="1" applyBorder="1" applyAlignment="1">
      <x:alignment wrapText="1"/>
    </x:xf>
    <x:xf numFmtId="0" fontId="0" fillId="0" borderId="36" xfId="0" applyNumberFormat="1" applyFont="1" applyFill="1" applyBorder="1" applyAlignment="1">
      <x:alignment vertical="top" wrapText="1"/>
    </x:xf>
    <x:xf numFmtId="0" fontId="3" fillId="6" borderId="36" xfId="0" applyNumberFormat="1" applyFont="1" applyFill="1" applyBorder="1" applyAlignment="1">
      <x:alignment vertical="center"/>
    </x:xf>
    <x:xf numFmtId="0" fontId="3" fillId="4" borderId="36" xfId="0" applyNumberFormat="1" applyFont="1" applyFill="1" applyBorder="1" applyAlignment="1">
      <x:alignment vertical="center" wrapText="1"/>
    </x:xf>
    <x:xf numFmtId="0" fontId="6" fillId="2" borderId="36" xfId="0" applyNumberFormat="1" applyFont="1" applyFill="1" applyBorder="1"/>
    <x:xf numFmtId="0" fontId="4" fillId="3" borderId="36" xfId="0" applyNumberFormat="1" applyFont="1" applyFill="1" applyBorder="1" applyAlignment="1">
      <x:alignment wrapText="1"/>
    </x:xf>
    <x:xf numFmtId="0" fontId="7" fillId="6" borderId="36" xfId="0" applyNumberFormat="1" applyFont="1" applyFill="1" applyBorder="1"/>
    <x:xf numFmtId="0" fontId="4" fillId="13" borderId="36" xfId="0" applyNumberFormat="1" applyFont="1" applyFill="1" applyBorder="1" applyAlignment="1">
      <x:alignment wrapText="1"/>
    </x:xf>
    <x:xf numFmtId="0" fontId="6" fillId="11" borderId="37" xfId="0" applyNumberFormat="1" applyFont="1" applyFill="1" applyBorder="1"/>
    <x:xf numFmtId="0" fontId="6" fillId="11" borderId="38" xfId="0" applyNumberFormat="1" applyFont="1" applyFill="1" applyBorder="1"/>
    <x:xf numFmtId="0" fontId="6" fillId="11" borderId="39" xfId="0" applyNumberFormat="1" applyFont="1" applyFill="1" applyBorder="1"/>
    <x:xf numFmtId="0" fontId="7" fillId="6" borderId="40" xfId="0" applyNumberFormat="1" applyFont="1" applyFill="1" applyBorder="1"/>
    <x:xf numFmtId="0" fontId="7" fillId="6" borderId="41"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4" fillId="13" borderId="40" xfId="0" applyNumberFormat="1" applyFont="1" applyFill="1" applyBorder="1" applyAlignment="1">
      <x:alignment wrapText="1"/>
    </x:xf>
    <x:xf numFmtId="0" fontId="4" fillId="13" borderId="41"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3" fillId="4" borderId="36" xfId="0" applyNumberFormat="1" applyFont="1" applyFill="1" applyBorder="1" applyAlignment="1">
      <x:alignment vertical="top"/>
    </x:xf>
    <x:xf numFmtId="0" fontId="5" fillId="0" borderId="45" xfId="0" applyNumberFormat="1" applyFont="1" applyFill="1" applyBorder="1" applyAlignment="1">
      <x:alignment vertical="top" wrapText="1"/>
    </x:xf>
    <x:xf numFmtId="0" fontId="5" fillId="0" borderId="45" xfId="0" applyNumberFormat="1" applyFont="1" applyFill="1" applyBorder="1" applyAlignment="1">
      <x:alignment horizontal="center" vertical="top" wrapText="1"/>
    </x:xf>
    <x:xf numFmtId="0" fontId="0" fillId="0" borderId="45" xfId="0" applyNumberFormat="1" applyFont="1" applyFill="1" applyBorder="1" applyAlignment="1">
      <x:alignment vertical="top" wrapText="1"/>
    </x:xf>
    <x:xf numFmtId="0" fontId="0" fillId="5" borderId="45" xfId="0" applyNumberFormat="1" applyFont="1" applyFill="1" applyBorder="1" applyAlignment="1">
      <x:alignment vertical="top" wrapText="1"/>
    </x:xf>
    <x:xf numFmtId="0" fontId="0" fillId="6" borderId="45" xfId="0" applyNumberFormat="1" applyFont="1" applyFill="1" applyBorder="1" applyAlignment="1">
      <x:alignment vertical="center" wrapText="1"/>
    </x:xf>
    <x:xf numFmtId="0" fontId="3" fillId="4" borderId="45" xfId="0" applyNumberFormat="1" applyFont="1" applyFill="1" applyBorder="1" applyAlignment="1">
      <x:alignment vertical="center"/>
    </x:xf>
    <x:xf numFmtId="0" fontId="0" fillId="6" borderId="45" xfId="0" applyNumberFormat="1" applyFont="1" applyFill="1" applyBorder="1" applyAlignment="1">
      <x:alignment horizontal="center" vertical="center" wrapText="1"/>
    </x:xf>
    <x:xf numFmtId="0" fontId="0" fillId="0" borderId="36" xfId="0" applyNumberFormat="1" applyFont="1" applyFill="1" applyBorder="1" applyAlignment="1">
      <x:alignment horizontal="center" vertical="top" wrapText="1"/>
    </x:xf>
    <x:xf numFmtId="0" fontId="3" fillId="4" borderId="45" xfId="0" applyNumberFormat="1" applyFont="1" applyFill="1" applyBorder="1" applyAlignment="1">
      <x:alignment vertical="center" wrapText="1"/>
    </x:xf>
    <x:xf numFmtId="0" fontId="0" fillId="0" borderId="45" xfId="0" applyNumberFormat="1" applyFont="1" applyFill="1" applyBorder="1" applyAlignment="1">
      <x:alignment horizontal="center" vertical="top" wrapText="1"/>
    </x:xf>
    <x:xf numFmtId="0" fontId="3" fillId="0" borderId="36" xfId="0" applyNumberFormat="1" applyFont="1" applyFill="1" applyBorder="1" applyAlignment="1">
      <x:alignment vertical="center"/>
    </x:xf>
    <x:xf numFmtId="164" fontId="0" fillId="5" borderId="45" xfId="0" applyNumberFormat="1" applyFont="1" applyFill="1" applyBorder="1" applyAlignment="1">
      <x:alignment vertical="top" wrapText="1"/>
    </x:xf>
    <x:xf numFmtId="0" fontId="0" fillId="0" borderId="36" xfId="0" applyNumberFormat="1" applyFont="1" applyFill="1" applyBorder="1" applyAlignment="1">
      <x:alignment vertical="top"/>
    </x:xf>
    <x:xf numFmtId="0" fontId="0" fillId="6" borderId="45" xfId="0" applyNumberFormat="1" applyFont="1" applyFill="1" applyBorder="1" applyAlignment="1">
      <x:alignment vertical="top" wrapText="1"/>
    </x:xf>
    <x:xf numFmtId="0" fontId="0" fillId="5" borderId="45" xfId="0" applyNumberFormat="1" applyFont="1" applyFill="1" applyBorder="1" applyAlignment="1">
      <x:alignment horizontal="left" vertical="top" wrapText="1"/>
    </x:xf>
    <x:xf numFmtId="0" fontId="3" fillId="4" borderId="45" xfId="0" applyNumberFormat="1" applyFont="1" applyFill="1" applyBorder="1" applyAlignment="1">
      <x:alignment vertical="top" wrapText="1"/>
    </x:xf>
    <x:xf numFmtId="0" fontId="3" fillId="4" borderId="45" xfId="0" applyNumberFormat="1" applyFont="1" applyFill="1" applyBorder="1" applyAlignment="1">
      <x:alignment horizontal="left" vertical="top" wrapText="1"/>
    </x:xf>
    <x:xf numFmtId="0" fontId="0" fillId="0" borderId="36" xfId="0" applyNumberFormat="1" applyFont="1" applyFill="1" applyBorder="1" applyAlignment="1">
      <x:alignment horizontal="center"/>
    </x:xf>
    <x:xf numFmtId="0" fontId="3" fillId="0" borderId="45" xfId="0" applyNumberFormat="1" applyFont="1" applyFill="1" applyBorder="1" applyAlignment="1">
      <x:alignment horizontal="center" vertical="center"/>
    </x:xf>
    <x:xf numFmtId="164" fontId="0" fillId="0" borderId="45" xfId="0" applyNumberFormat="1" applyFont="1" applyFill="1" applyBorder="1" applyAlignment="1">
      <x:alignment horizontal="center" vertical="top" wrapText="1"/>
    </x:xf>
    <x:xf numFmtId="0" fontId="3" fillId="0" borderId="45" xfId="0" applyNumberFormat="1" applyFont="1" applyFill="1" applyBorder="1" applyAlignment="1">
      <x:alignment vertical="center"/>
    </x:xf>
    <x:xf numFmtId="164" fontId="0" fillId="0" borderId="45" xfId="0" applyNumberFormat="1" applyFont="1" applyFill="1" applyBorder="1" applyAlignment="1">
      <x:alignment vertical="top" wrapText="1"/>
    </x:xf>
    <x:xf numFmtId="0" fontId="8" fillId="6" borderId="36" xfId="0" applyNumberFormat="1" applyFont="1" applyFill="1" applyBorder="1" applyAlignment="1">
      <x:alignment vertical="top" wrapText="1"/>
    </x:xf>
    <x:xf numFmtId="0" fontId="0" fillId="6" borderId="46" xfId="0" applyNumberFormat="1" applyFont="1" applyFill="1" applyBorder="1" applyAlignment="1">
      <x:alignment horizontal="center" vertical="center" wrapText="1"/>
    </x:xf>
    <x:xf numFmtId="0" fontId="0" fillId="6" borderId="47" xfId="0" applyNumberFormat="1" applyFont="1" applyFill="1" applyBorder="1" applyAlignment="1">
      <x:alignment horizontal="center" vertical="center" wrapText="1"/>
    </x:xf>
    <x:xf numFmtId="0" fontId="0" fillId="15" borderId="45" xfId="0" applyNumberFormat="1" applyFont="1" applyFill="1" applyBorder="1" applyAlignment="1">
      <x:alignment horizontal="center" vertical="center" wrapText="1"/>
    </x:xf>
    <x:xf numFmtId="2" fontId="0" fillId="6" borderId="46" xfId="0" applyNumberFormat="1" applyFont="1" applyFill="1" applyBorder="1" applyAlignment="1">
      <x:alignment horizontal="center" vertical="center" wrapText="1"/>
    </x:xf>
    <x:xf numFmtId="2" fontId="0" fillId="6" borderId="47" xfId="0" applyNumberFormat="1" applyFont="1" applyFill="1" applyBorder="1" applyAlignment="1">
      <x:alignment horizontal="center" vertical="center" wrapText="1"/>
    </x:xf>
    <x:xf numFmtId="2" fontId="0" fillId="15" borderId="46" xfId="0" applyNumberFormat="1" applyFont="1" applyFill="1" applyBorder="1" applyAlignment="1">
      <x:alignment horizontal="center" vertical="center" wrapText="1"/>
    </x:xf>
    <x:xf numFmtId="2" fontId="0" fillId="15" borderId="47" xfId="0" applyNumberFormat="1" applyFont="1" applyFill="1" applyBorder="1" applyAlignment="1">
      <x:alignment horizontal="center" vertical="center" wrapText="1"/>
    </x:xf>
    <x:xf numFmtId="0" fontId="0" fillId="5" borderId="36"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center" wrapText="1"/>
    </x:xf>
    <x:xf numFmtId="0" fontId="3" fillId="4" borderId="48" xfId="0" applyNumberFormat="1" applyFont="1" applyFill="1" applyBorder="1" applyAlignment="1">
      <x:alignment horizontal="center" vertical="center" wrapText="1"/>
    </x:xf>
    <x:xf numFmtId="0" fontId="3" fillId="4" borderId="49" xfId="0" applyNumberFormat="1" applyFont="1" applyFill="1" applyBorder="1" applyAlignment="1">
      <x:alignment horizontal="center" vertical="center" wrapText="1"/>
    </x:xf>
    <x:xf numFmtId="0" fontId="2" fillId="3" borderId="36" xfId="0" applyNumberFormat="1" applyFont="1" applyFill="1" applyBorder="1" applyAlignment="1">
      <x:alignment horizontal="center" vertical="center" wrapText="1"/>
    </x:xf>
    <x:xf numFmtId="0" fontId="1" fillId="2" borderId="36" xfId="0" applyNumberFormat="1" applyFont="1" applyFill="1" applyBorder="1" applyAlignment="1">
      <x:alignment horizontal="center" vertical="center"/>
    </x:xf>
    <x:xf numFmtId="0" fontId="5" fillId="0" borderId="36" xfId="0" applyNumberFormat="1" applyFont="1" applyFill="1" applyBorder="1" applyAlignment="1">
      <x:alignment horizontal="center" vertical="top" wrapText="1"/>
    </x:xf>
    <x:xf numFmtId="0" fontId="0" fillId="0" borderId="50" xfId="0" applyNumberFormat="1" applyFont="1" applyFill="1" applyBorder="1"/>
    <x:xf numFmtId="0" fontId="0" fillId="5" borderId="45" xfId="0" applyNumberFormat="1" applyFont="1" applyFill="1" applyBorder="1" applyAlignment="1">
      <x:alignment horizontal="center" vertical="top" wrapText="1"/>
    </x:xf>
    <x:xf numFmtId="0" fontId="3" fillId="4" borderId="45" xfId="0" applyNumberFormat="1" applyFont="1" applyFill="1" applyBorder="1" applyAlignment="1">
      <x:alignment horizontal="center" vertical="center"/>
    </x:xf>
    <x:xf numFmtId="0" fontId="3" fillId="4" borderId="48" xfId="0" applyNumberFormat="1" applyFont="1" applyFill="1" applyBorder="1" applyAlignment="1">
      <x:alignment horizontal="center" vertical="center"/>
    </x:xf>
    <x:xf numFmtId="0" fontId="3" fillId="4" borderId="51" xfId="0" applyNumberFormat="1" applyFont="1" applyFill="1" applyBorder="1" applyAlignment="1">
      <x:alignment horizontal="center" vertical="center"/>
    </x:xf>
    <x:xf numFmtId="0" fontId="3" fillId="4" borderId="49" xfId="0" applyNumberFormat="1" applyFont="1" applyFill="1" applyBorder="1" applyAlignment="1">
      <x:alignment horizontal="center" vertical="center"/>
    </x:xf>
    <x:xf numFmtId="2" fontId="0" fillId="6" borderId="45" xfId="0" applyNumberFormat="1" applyFont="1" applyFill="1" applyBorder="1" applyAlignment="1">
      <x:alignment horizontal="center" vertical="center" wrapText="1"/>
    </x:xf>
    <x:xf numFmtId="0" fontId="3" fillId="4" borderId="45" xfId="0" applyNumberFormat="1" applyFont="1" applyFill="1" applyBorder="1" applyAlignment="1">
      <x:alignment vertical="top"/>
    </x:xf>
    <x:xf numFmtId="2" fontId="0" fillId="6" borderId="45" xfId="0" applyNumberFormat="1" applyFont="1" applyFill="1" applyBorder="1" applyAlignment="1">
      <x:alignment vertical="top" wrapText="1"/>
    </x:xf>
    <x:xf numFmtId="164" fontId="0" fillId="5" borderId="45" xfId="0" applyNumberFormat="1" applyFont="1" applyFill="1" applyBorder="1" applyAlignment="1">
      <x:alignment horizontal="left" vertical="top" wrapText="1"/>
    </x:xf>
    <x:xf numFmtId="0" fontId="3" fillId="4" borderId="48" xfId="0" applyNumberFormat="1" applyFont="1" applyFill="1" applyBorder="1" applyAlignment="1">
      <x:alignment horizontal="center" vertical="top"/>
    </x:xf>
    <x:xf numFmtId="0" fontId="3" fillId="4" borderId="51" xfId="0" applyNumberFormat="1" applyFont="1" applyFill="1" applyBorder="1" applyAlignment="1">
      <x:alignment horizontal="center" vertical="top"/>
    </x:xf>
    <x:xf numFmtId="0" fontId="3" fillId="4" borderId="49" xfId="0" applyNumberFormat="1" applyFont="1" applyFill="1" applyBorder="1" applyAlignment="1">
      <x:alignment horizontal="center" vertical="top"/>
    </x:xf>
    <x:xf numFmtId="0" fontId="3" fillId="0" borderId="45" xfId="0" applyNumberFormat="1" applyFont="1" applyFill="1" applyBorder="1" applyAlignment="1">
      <x:alignment vertical="top"/>
    </x:xf>
    <x:xf numFmtId="0" fontId="3" fillId="0" borderId="45" xfId="0" applyNumberFormat="1" applyFont="1" applyFill="1" applyBorder="1" applyAlignment="1">
      <x:alignment horizontal="left" vertical="top" wrapText="1"/>
    </x:xf>
    <x:xf numFmtId="0" fontId="0" fillId="16" borderId="0" xfId="0" applyNumberFormat="1" applyFont="1" applyFill="1" applyBorder="1"/>
    <x:xf numFmtId="0" fontId="0" fillId="16" borderId="36" xfId="0" applyNumberFormat="1" applyFont="1" applyFill="1" applyBorder="1"/>
    <x:xf numFmtId="0" fontId="8" fillId="16" borderId="0" xfId="0" applyNumberFormat="1" applyFont="1" applyFill="1" applyBorder="1"/>
    <x:xf numFmtId="0" fontId="8" fillId="16" borderId="36" xfId="0" applyNumberFormat="1" applyFont="1" applyFill="1" applyBorder="1"/>
    <x:xf numFmtId="0" fontId="0" fillId="17" borderId="0" xfId="0" applyNumberFormat="1" applyFont="1" applyFill="1" applyBorder="1"/>
    <x:xf numFmtId="0" fontId="0" fillId="17" borderId="36" xfId="0" applyNumberFormat="1" applyFont="1" applyFill="1" applyBorder="1"/>
    <x:xf numFmtId="0" fontId="8" fillId="17" borderId="0" xfId="0" applyNumberFormat="1" applyFont="1" applyFill="1" applyBorder="1"/>
    <x:xf numFmtId="0" fontId="8" fillId="17" borderId="36" xfId="0" applyNumberFormat="1" applyFont="1" applyFill="1" applyBorder="1"/>
    <x:xf numFmtId="0" fontId="0" fillId="18" borderId="0" xfId="0" applyNumberFormat="1" applyFont="1" applyFill="1" applyBorder="1"/>
    <x:xf numFmtId="0" fontId="0" fillId="18" borderId="36" xfId="0" applyNumberFormat="1" applyFont="1" applyFill="1" applyBorder="1"/>
    <x:xf numFmtId="0" fontId="8" fillId="18" borderId="0" xfId="0" applyNumberFormat="1" applyFont="1" applyFill="1" applyBorder="1"/>
    <x:xf numFmtId="0" fontId="8" fillId="18" borderId="36" xfId="0" applyNumberFormat="1" applyFont="1" applyFill="1" applyBorder="1"/>
    <x:xf numFmtId="0" fontId="0" fillId="19" borderId="0" xfId="0" applyNumberFormat="1" applyFont="1" applyFill="1" applyBorder="1"/>
    <x:xf numFmtId="0" fontId="0" fillId="19" borderId="36" xfId="0" applyNumberFormat="1" applyFont="1" applyFill="1" applyBorder="1"/>
    <x:xf numFmtId="0" fontId="8" fillId="19" borderId="0" xfId="0" applyNumberFormat="1" applyFont="1" applyFill="1" applyBorder="1"/>
    <x:xf numFmtId="0" fontId="8" fillId="19" borderId="36" xfId="0" applyNumberFormat="1" applyFont="1" applyFill="1" applyBorder="1"/>
    <x:xf numFmtId="0" fontId="0" fillId="20" borderId="0" xfId="0" applyNumberFormat="1" applyFont="1" applyFill="1" applyBorder="1" applyAlignment="1">
      <x:alignment horizontal="center" vertical="top" wrapText="1"/>
    </x:xf>
    <x:xf numFmtId="0" fontId="0" fillId="20" borderId="36" xfId="0" applyNumberFormat="1" applyFont="1" applyFill="1" applyBorder="1" applyAlignment="1">
      <x:alignment horizontal="center" vertical="top" wrapText="1"/>
    </x:xf>
    <x:xf numFmtId="0" fontId="0" fillId="20" borderId="0" xfId="0" applyNumberFormat="1" applyFont="1" applyFill="1" applyBorder="1" applyAlignment="1">
      <x:alignment vertical="top" wrapText="1"/>
    </x:xf>
    <x:xf numFmtId="0" fontId="0" fillId="20" borderId="36" xfId="0" applyNumberFormat="1" applyFont="1" applyFill="1" applyBorder="1" applyAlignment="1">
      <x:alignment vertical="top" wrapText="1"/>
    </x:xf>
    <x:xf numFmtId="0" fontId="0" fillId="16" borderId="0" xfId="0" applyNumberFormat="1" applyFont="1" applyFill="1" applyBorder="1" applyAlignment="1">
      <x:alignment horizontal="center" vertical="top" wrapText="1"/>
    </x:xf>
    <x:xf numFmtId="0" fontId="0" fillId="16" borderId="36" xfId="0" applyNumberFormat="1" applyFont="1" applyFill="1" applyBorder="1" applyAlignment="1">
      <x:alignment horizontal="center" vertical="top" wrapText="1"/>
    </x:xf>
    <x:xf numFmtId="0" fontId="0" fillId="16" borderId="0" xfId="0" applyNumberFormat="1" applyFont="1" applyFill="1" applyBorder="1" applyAlignment="1">
      <x:alignment vertical="top" wrapText="1"/>
    </x:xf>
    <x:xf numFmtId="0" fontId="0" fillId="16" borderId="36" xfId="0" applyNumberFormat="1" applyFont="1" applyFill="1" applyBorder="1" applyAlignment="1">
      <x:alignment vertical="top" wrapText="1"/>
    </x:xf>
    <x:xf numFmtId="0" fontId="0" fillId="17" borderId="29" xfId="0" applyNumberFormat="1" applyFont="1" applyFill="1" applyBorder="1" applyAlignment="1">
      <x:alignment vertical="top" wrapText="1"/>
    </x:xf>
    <x:xf numFmtId="0" fontId="0" fillId="17" borderId="45" xfId="0" applyNumberFormat="1" applyFont="1" applyFill="1" applyBorder="1" applyAlignment="1">
      <x:alignment vertical="top" wrapText="1"/>
    </x:xf>
    <x:xf numFmtId="0" fontId="0" fillId="20" borderId="29" xfId="0" applyNumberFormat="1" applyFont="1" applyFill="1" applyBorder="1" applyAlignment="1">
      <x:alignment vertical="top" wrapText="1"/>
    </x:xf>
    <x:xf numFmtId="0" fontId="0" fillId="20" borderId="45" xfId="0" applyNumberFormat="1" applyFont="1" applyFill="1" applyBorder="1" applyAlignment="1">
      <x:alignment vertical="top" wrapText="1"/>
    </x:xf>
    <x:xf numFmtId="0" fontId="0" fillId="16" borderId="29" xfId="0" applyNumberFormat="1" applyFont="1" applyFill="1" applyBorder="1" applyAlignment="1">
      <x:alignment vertical="top" wrapText="1"/>
    </x:xf>
    <x:xf numFmtId="0" fontId="0" fillId="16" borderId="45" xfId="0" applyNumberFormat="1" applyFont="1" applyFill="1" applyBorder="1" applyAlignment="1">
      <x:alignment vertical="top" wrapText="1"/>
    </x:xf>
    <x:xf numFmtId="0" fontId="0" fillId="17" borderId="29" xfId="0" applyNumberFormat="1" applyFont="1" applyFill="1" applyBorder="1" applyAlignment="1">
      <x:alignment vertical="center" wrapText="1"/>
    </x:xf>
    <x:xf numFmtId="0" fontId="0" fillId="17" borderId="45" xfId="0" applyNumberFormat="1" applyFont="1" applyFill="1" applyBorder="1" applyAlignment="1">
      <x:alignment vertical="center" wrapText="1"/>
    </x:xf>
    <x:xf numFmtId="0" fontId="0" fillId="18" borderId="29" xfId="0" applyNumberFormat="1" applyFont="1" applyFill="1" applyBorder="1" applyAlignment="1">
      <x:alignment vertical="top" wrapText="1"/>
    </x:xf>
    <x:xf numFmtId="0" fontId="0" fillId="18" borderId="45" xfId="0" applyNumberFormat="1" applyFont="1" applyFill="1" applyBorder="1" applyAlignment="1">
      <x:alignment vertical="top" wrapText="1"/>
    </x:xf>
    <x:xf numFmtId="0" fontId="0" fillId="19" borderId="29" xfId="0" applyNumberFormat="1" applyFont="1" applyFill="1" applyBorder="1" applyAlignment="1">
      <x:alignment vertical="top" wrapText="1"/>
    </x:xf>
    <x:xf numFmtId="0" fontId="0" fillId="19" borderId="45" xfId="0" applyNumberFormat="1" applyFont="1" applyFill="1" applyBorder="1" applyAlignment="1">
      <x:alignment vertical="top" wrapText="1"/>
    </x:xf>
    <x:xf numFmtId="0" fontId="0" fillId="19" borderId="29" xfId="0" applyNumberFormat="1" applyFont="1" applyFill="1" applyBorder="1" applyAlignment="1">
      <x:alignment vertical="center" wrapText="1"/>
    </x:xf>
    <x:xf numFmtId="0" fontId="0" fillId="19" borderId="45" xfId="0" applyNumberFormat="1" applyFont="1" applyFill="1" applyBorder="1" applyAlignment="1">
      <x:alignment vertical="center" wrapText="1"/>
    </x:xf>
    <x:xf numFmtId="0" fontId="4" fillId="3" borderId="21" xfId="0" applyNumberFormat="1" applyFont="1" applyFill="1" applyBorder="1" applyAlignment="1">
      <x:alignment horizontal="center" vertical="center" wrapText="1"/>
    </x:xf>
    <x:xf numFmtId="0" fontId="4" fillId="3" borderId="22" xfId="0" applyNumberFormat="1" applyFont="1" applyFill="1" applyBorder="1" applyAlignment="1">
      <x:alignment horizontal="center" vertical="center" wrapText="1"/>
    </x:xf>
    <x:xf numFmtId="0" fontId="4" fillId="3" borderId="23" xfId="0" applyNumberFormat="1" applyFont="1" applyFill="1" applyBorder="1" applyAlignment="1">
      <x:alignment horizontal="center" vertical="center" wrapText="1"/>
    </x:xf>
    <x:xf numFmtId="0" fontId="5" fillId="0" borderId="52" xfId="0" applyNumberFormat="1" applyFont="1" applyFill="1" applyBorder="1" applyAlignment="1">
      <x:alignment vertical="top" wrapText="1"/>
    </x:xf>
    <x:xf numFmtId="0" fontId="5" fillId="0" borderId="29" xfId="0" applyNumberFormat="1" applyFont="1" applyFill="1" applyBorder="1" applyAlignment="1">
      <x:alignment horizontal="center" vertical="top" wrapText="1"/>
    </x:xf>
    <x:xf numFmtId="0" fontId="0" fillId="0" borderId="29" xfId="0" applyNumberFormat="1" applyFont="1" applyFill="1" applyBorder="1" applyAlignment="1">
      <x:alignment vertical="top" wrapText="1"/>
    </x:xf>
    <x:xf numFmtId="0" fontId="0" fillId="16" borderId="53" xfId="0" applyNumberFormat="1" applyFont="1" applyFill="1" applyBorder="1" applyAlignment="1">
      <x:alignment vertical="top" wrapText="1"/>
    </x:xf>
    <x:xf numFmtId="0" fontId="5" fillId="0" borderId="54" xfId="0" applyNumberFormat="1" applyFont="1" applyFill="1" applyBorder="1" applyAlignment="1">
      <x:alignment vertical="top" wrapText="1"/>
    </x:xf>
    <x:xf numFmtId="0" fontId="5" fillId="0" borderId="55" xfId="0" applyNumberFormat="1" applyFont="1" applyFill="1" applyBorder="1" applyAlignment="1">
      <x:alignment horizontal="center" vertical="top" wrapText="1"/>
    </x:xf>
    <x:xf numFmtId="0" fontId="0" fillId="0" borderId="55" xfId="0" applyNumberFormat="1" applyFont="1" applyFill="1" applyBorder="1" applyAlignment="1">
      <x:alignment vertical="top" wrapText="1"/>
    </x:xf>
    <x:xf numFmtId="0" fontId="0" fillId="17" borderId="55" xfId="0" applyNumberFormat="1" applyFont="1" applyFill="1" applyBorder="1" applyAlignment="1">
      <x:alignment vertical="top" wrapText="1"/>
    </x:xf>
    <x:xf numFmtId="0" fontId="0" fillId="20" borderId="55" xfId="0" applyNumberFormat="1" applyFont="1" applyFill="1" applyBorder="1" applyAlignment="1">
      <x:alignment vertical="top" wrapText="1"/>
    </x:xf>
    <x:xf numFmtId="0" fontId="0" fillId="18" borderId="55" xfId="0" applyNumberFormat="1" applyFont="1" applyFill="1" applyBorder="1" applyAlignment="1">
      <x:alignment vertical="top" wrapText="1"/>
    </x:xf>
    <x:xf numFmtId="0" fontId="0" fillId="16" borderId="55" xfId="0" applyNumberFormat="1" applyFont="1" applyFill="1" applyBorder="1" applyAlignment="1">
      <x:alignment vertical="top" wrapText="1"/>
    </x:xf>
    <x:xf numFmtId="0" fontId="0" fillId="17" borderId="55" xfId="0" applyNumberFormat="1" applyFont="1" applyFill="1" applyBorder="1" applyAlignment="1">
      <x:alignment vertical="center" wrapText="1"/>
    </x:xf>
    <x:xf numFmtId="0" fontId="0" fillId="16" borderId="56" xfId="0" applyNumberFormat="1" applyFont="1" applyFill="1" applyBorder="1" applyAlignment="1">
      <x:alignment vertical="top" wrapText="1"/>
    </x:xf>
    <x:xf numFmtId="0" fontId="4" fillId="3" borderId="37" xfId="0" applyNumberFormat="1" applyFont="1" applyFill="1" applyBorder="1" applyAlignment="1">
      <x:alignment horizontal="center" vertical="center" wrapText="1"/>
    </x:xf>
    <x:xf numFmtId="0" fontId="4" fillId="3" borderId="38" xfId="0" applyNumberFormat="1" applyFont="1" applyFill="1" applyBorder="1" applyAlignment="1">
      <x:alignment horizontal="center" vertical="center" wrapText="1"/>
    </x:xf>
    <x:xf numFmtId="0" fontId="4" fillId="3" borderId="39" xfId="0" applyNumberFormat="1" applyFont="1" applyFill="1" applyBorder="1" applyAlignment="1">
      <x:alignment horizontal="center" vertical="center" wrapText="1"/>
    </x:xf>
    <x:xf numFmtId="0" fontId="5" fillId="0" borderId="57" xfId="0" applyNumberFormat="1" applyFont="1" applyFill="1" applyBorder="1" applyAlignment="1">
      <x:alignment vertical="top" wrapText="1"/>
    </x:xf>
    <x:xf numFmtId="0" fontId="0" fillId="16" borderId="58" xfId="0" applyNumberFormat="1" applyFont="1" applyFill="1" applyBorder="1" applyAlignment="1">
      <x:alignment vertical="top" wrapText="1"/>
    </x:xf>
    <x:xf numFmtId="0" fontId="5" fillId="0" borderId="59" xfId="0" applyNumberFormat="1" applyFont="1" applyFill="1" applyBorder="1" applyAlignment="1">
      <x:alignment vertical="top" wrapText="1"/>
    </x:xf>
    <x:xf numFmtId="0" fontId="5" fillId="0" borderId="60" xfId="0" applyNumberFormat="1" applyFont="1" applyFill="1" applyBorder="1" applyAlignment="1">
      <x:alignment horizontal="center" vertical="top" wrapText="1"/>
    </x:xf>
    <x:xf numFmtId="0" fontId="0" fillId="0" borderId="60" xfId="0" applyNumberFormat="1" applyFont="1" applyFill="1" applyBorder="1" applyAlignment="1">
      <x:alignment vertical="top" wrapText="1"/>
    </x:xf>
    <x:xf numFmtId="0" fontId="0" fillId="17" borderId="60" xfId="0" applyNumberFormat="1" applyFont="1" applyFill="1" applyBorder="1" applyAlignment="1">
      <x:alignment vertical="top" wrapText="1"/>
    </x:xf>
    <x:xf numFmtId="0" fontId="0" fillId="20" borderId="60" xfId="0" applyNumberFormat="1" applyFont="1" applyFill="1" applyBorder="1" applyAlignment="1">
      <x:alignment vertical="top" wrapText="1"/>
    </x:xf>
    <x:xf numFmtId="0" fontId="0" fillId="18" borderId="60" xfId="0" applyNumberFormat="1" applyFont="1" applyFill="1" applyBorder="1" applyAlignment="1">
      <x:alignment vertical="top" wrapText="1"/>
    </x:xf>
    <x:xf numFmtId="0" fontId="0" fillId="16" borderId="60" xfId="0" applyNumberFormat="1" applyFont="1" applyFill="1" applyBorder="1" applyAlignment="1">
      <x:alignment vertical="top" wrapText="1"/>
    </x:xf>
    <x:xf numFmtId="0" fontId="0" fillId="17" borderId="60" xfId="0" applyNumberFormat="1" applyFont="1" applyFill="1" applyBorder="1" applyAlignment="1">
      <x:alignment vertical="center" wrapText="1"/>
    </x:xf>
    <x:xf numFmtId="0" fontId="0" fillId="16" borderId="61" xfId="0" applyNumberFormat="1" applyFont="1" applyFill="1" applyBorder="1" applyAlignment="1">
      <x:alignment vertical="top" wrapText="1"/>
    </x:xf>
    <x:xf numFmtId="0" fontId="0" fillId="18" borderId="29" xfId="0" applyNumberFormat="1" applyFont="1" applyFill="1" applyBorder="1" applyAlignment="1">
      <x:alignment horizontal="center" vertical="top" wrapText="1"/>
    </x:xf>
    <x:xf numFmtId="0" fontId="0" fillId="20" borderId="29" xfId="0" applyNumberFormat="1" applyFont="1" applyFill="1" applyBorder="1" applyAlignment="1">
      <x:alignment horizontal="center" vertical="top" wrapText="1"/>
    </x:xf>
    <x:xf numFmtId="0" fontId="0" fillId="16" borderId="29" xfId="0" applyNumberFormat="1" applyFont="1" applyFill="1" applyBorder="1" applyAlignment="1">
      <x:alignment horizontal="center" vertical="top" wrapText="1"/>
    </x:xf>
    <x:xf numFmtId="0" fontId="0" fillId="17" borderId="29" xfId="0" applyNumberFormat="1" applyFont="1" applyFill="1" applyBorder="1" applyAlignment="1">
      <x:alignment horizontal="center" vertical="top" wrapText="1"/>
    </x:xf>
    <x:xf numFmtId="0" fontId="0" fillId="19" borderId="29" xfId="0" applyNumberFormat="1" applyFont="1" applyFill="1" applyBorder="1" applyAlignment="1">
      <x:alignment horizontal="center" vertical="top" wrapText="1"/>
    </x:xf>
    <x:xf numFmtId="0" fontId="0" fillId="18" borderId="55" xfId="0" applyNumberFormat="1" applyFont="1" applyFill="1" applyBorder="1" applyAlignment="1">
      <x:alignment horizontal="center" vertical="top" wrapText="1"/>
    </x:xf>
    <x:xf numFmtId="0" fontId="0" fillId="20" borderId="55" xfId="0" applyNumberFormat="1" applyFont="1" applyFill="1" applyBorder="1" applyAlignment="1">
      <x:alignment horizontal="center" vertical="top" wrapText="1"/>
    </x:xf>
    <x:xf numFmtId="0" fontId="0" fillId="16" borderId="55" xfId="0" applyNumberFormat="1" applyFont="1" applyFill="1" applyBorder="1" applyAlignment="1">
      <x:alignment horizontal="center" vertical="top" wrapText="1"/>
    </x:xf>
    <x:xf numFmtId="0" fontId="0" fillId="17" borderId="55" xfId="0" applyNumberFormat="1" applyFont="1" applyFill="1" applyBorder="1" applyAlignment="1">
      <x:alignment horizontal="center" vertical="top" wrapText="1"/>
    </x:xf>
    <x:xf numFmtId="0" fontId="0" fillId="18" borderId="45" xfId="0" applyNumberFormat="1" applyFont="1" applyFill="1" applyBorder="1" applyAlignment="1">
      <x:alignment horizontal="center" vertical="top" wrapText="1"/>
    </x:xf>
    <x:xf numFmtId="0" fontId="0" fillId="20" borderId="45" xfId="0" applyNumberFormat="1" applyFont="1" applyFill="1" applyBorder="1" applyAlignment="1">
      <x:alignment horizontal="center" vertical="top" wrapText="1"/>
    </x:xf>
    <x:xf numFmtId="0" fontId="0" fillId="16" borderId="45" xfId="0" applyNumberFormat="1" applyFont="1" applyFill="1" applyBorder="1" applyAlignment="1">
      <x:alignment horizontal="center" vertical="top" wrapText="1"/>
    </x:xf>
    <x:xf numFmtId="0" fontId="0" fillId="17" borderId="45" xfId="0" applyNumberFormat="1" applyFont="1" applyFill="1" applyBorder="1" applyAlignment="1">
      <x:alignment horizontal="center" vertical="top" wrapText="1"/>
    </x:xf>
    <x:xf numFmtId="0" fontId="0" fillId="19" borderId="45" xfId="0" applyNumberFormat="1" applyFont="1" applyFill="1" applyBorder="1" applyAlignment="1">
      <x:alignment horizontal="center" vertical="top" wrapText="1"/>
    </x:xf>
    <x:xf numFmtId="0" fontId="0" fillId="18" borderId="60" xfId="0" applyNumberFormat="1" applyFont="1" applyFill="1" applyBorder="1" applyAlignment="1">
      <x:alignment horizontal="center" vertical="top" wrapText="1"/>
    </x:xf>
    <x:xf numFmtId="0" fontId="0" fillId="20" borderId="60" xfId="0" applyNumberFormat="1" applyFont="1" applyFill="1" applyBorder="1" applyAlignment="1">
      <x:alignment horizontal="center" vertical="top" wrapText="1"/>
    </x:xf>
    <x:xf numFmtId="0" fontId="0" fillId="16" borderId="60" xfId="0" applyNumberFormat="1" applyFont="1" applyFill="1" applyBorder="1" applyAlignment="1">
      <x:alignment horizontal="center" vertical="top" wrapText="1"/>
    </x:xf>
    <x:xf numFmtId="0" fontId="0" fillId="17" borderId="60" xfId="0" applyNumberFormat="1" applyFont="1" applyFill="1" applyBorder="1" applyAlignment="1">
      <x:alignment horizontal="center" vertical="top" wrapText="1"/>
    </x:xf>
    <x:xf numFmtId="0" fontId="0" fillId="18" borderId="29" xfId="0" applyNumberFormat="1" applyFont="1" applyFill="1" applyBorder="1" applyAlignment="1">
      <x:alignment horizontal="center" vertical="center" wrapText="1"/>
    </x:xf>
    <x:xf numFmtId="0" fontId="0" fillId="20" borderId="29" xfId="0" applyNumberFormat="1" applyFont="1" applyFill="1" applyBorder="1" applyAlignment="1">
      <x:alignment horizontal="center" vertical="center" wrapText="1"/>
    </x:xf>
    <x:xf numFmtId="0" fontId="0" fillId="16" borderId="29" xfId="0" applyNumberFormat="1" applyFont="1" applyFill="1" applyBorder="1" applyAlignment="1">
      <x:alignment horizontal="center" vertical="center" wrapText="1"/>
    </x:xf>
    <x:xf numFmtId="0" fontId="0" fillId="17" borderId="29" xfId="0" applyNumberFormat="1" applyFont="1" applyFill="1" applyBorder="1" applyAlignment="1">
      <x:alignment horizontal="center" vertical="center" wrapText="1"/>
    </x:xf>
    <x:xf numFmtId="0" fontId="0" fillId="19" borderId="29" xfId="0" applyNumberFormat="1" applyFont="1" applyFill="1" applyBorder="1" applyAlignment="1">
      <x:alignment horizontal="center" vertical="center" wrapText="1"/>
    </x:xf>
    <x:xf numFmtId="0" fontId="0" fillId="18" borderId="55" xfId="0" applyNumberFormat="1" applyFont="1" applyFill="1" applyBorder="1" applyAlignment="1">
      <x:alignment horizontal="center" vertical="center" wrapText="1"/>
    </x:xf>
    <x:xf numFmtId="0" fontId="0" fillId="20" borderId="55" xfId="0" applyNumberFormat="1" applyFont="1" applyFill="1" applyBorder="1" applyAlignment="1">
      <x:alignment horizontal="center" vertical="center" wrapText="1"/>
    </x:xf>
    <x:xf numFmtId="0" fontId="0" fillId="16" borderId="55" xfId="0" applyNumberFormat="1" applyFont="1" applyFill="1" applyBorder="1" applyAlignment="1">
      <x:alignment horizontal="center" vertical="center" wrapText="1"/>
    </x:xf>
    <x:xf numFmtId="0" fontId="0" fillId="17" borderId="55" xfId="0" applyNumberFormat="1" applyFont="1" applyFill="1" applyBorder="1" applyAlignment="1">
      <x:alignment horizontal="center" vertical="center" wrapText="1"/>
    </x:xf>
    <x:xf numFmtId="0" fontId="0" fillId="18" borderId="45" xfId="0" applyNumberFormat="1" applyFont="1" applyFill="1" applyBorder="1" applyAlignment="1">
      <x:alignment horizontal="center" vertical="center" wrapText="1"/>
    </x:xf>
    <x:xf numFmtId="0" fontId="0" fillId="20" borderId="45" xfId="0" applyNumberFormat="1" applyFont="1" applyFill="1" applyBorder="1" applyAlignment="1">
      <x:alignment horizontal="center" vertical="center" wrapText="1"/>
    </x:xf>
    <x:xf numFmtId="0" fontId="0" fillId="16" borderId="45" xfId="0" applyNumberFormat="1" applyFont="1" applyFill="1" applyBorder="1" applyAlignment="1">
      <x:alignment horizontal="center" vertical="center" wrapText="1"/>
    </x:xf>
    <x:xf numFmtId="0" fontId="0" fillId="17" borderId="45" xfId="0" applyNumberFormat="1" applyFont="1" applyFill="1" applyBorder="1" applyAlignment="1">
      <x:alignment horizontal="center" vertical="center" wrapText="1"/>
    </x:xf>
    <x:xf numFmtId="0" fontId="0" fillId="19" borderId="45" xfId="0" applyNumberFormat="1" applyFont="1" applyFill="1" applyBorder="1" applyAlignment="1">
      <x:alignment horizontal="center" vertical="center" wrapText="1"/>
    </x:xf>
    <x:xf numFmtId="0" fontId="0" fillId="18" borderId="60" xfId="0" applyNumberFormat="1" applyFont="1" applyFill="1" applyBorder="1" applyAlignment="1">
      <x:alignment horizontal="center" vertical="center" wrapText="1"/>
    </x:xf>
    <x:xf numFmtId="0" fontId="0" fillId="20" borderId="60" xfId="0" applyNumberFormat="1" applyFont="1" applyFill="1" applyBorder="1" applyAlignment="1">
      <x:alignment horizontal="center" vertical="center" wrapText="1"/>
    </x:xf>
    <x:xf numFmtId="0" fontId="0" fillId="16" borderId="60" xfId="0" applyNumberFormat="1" applyFont="1" applyFill="1" applyBorder="1" applyAlignment="1">
      <x:alignment horizontal="center" vertical="center" wrapText="1"/>
    </x:xf>
    <x:xf numFmtId="0" fontId="0" fillId="17" borderId="60" xfId="0" applyNumberFormat="1" applyFont="1" applyFill="1" applyBorder="1" applyAlignment="1">
      <x:alignment horizontal="center" vertical="center" wrapText="1"/>
    </x:xf>
    <x:xf numFmtId="0" fontId="0" fillId="17" borderId="30" xfId="0" applyNumberFormat="1" applyFont="1" applyFill="1" applyBorder="1" applyAlignment="1">
      <x:alignment horizontal="center" vertical="center" wrapText="1"/>
    </x:xf>
    <x:xf numFmtId="2" fontId="0" fillId="17" borderId="30" xfId="0" applyNumberFormat="1" applyFont="1" applyFill="1" applyBorder="1" applyAlignment="1">
      <x:alignment horizontal="center" vertical="center" wrapText="1"/>
    </x:xf>
    <x:xf numFmtId="0" fontId="0" fillId="17" borderId="46" xfId="0" applyNumberFormat="1" applyFont="1" applyFill="1" applyBorder="1" applyAlignment="1">
      <x:alignment horizontal="center" vertical="center" wrapText="1"/>
    </x:xf>
    <x:xf numFmtId="2" fontId="0" fillId="17" borderId="46" xfId="0" applyNumberFormat="1" applyFont="1" applyFill="1" applyBorder="1" applyAlignment="1">
      <x:alignment horizontal="center" vertical="center" wrapText="1"/>
    </x:xf>
    <x:xf numFmtId="0" fontId="3" fillId="17" borderId="30" xfId="0" applyNumberFormat="1" applyFont="1" applyFill="1" applyBorder="1" applyAlignment="1">
      <x:alignment horizontal="center" vertical="center" wrapText="1"/>
    </x:xf>
    <x:xf numFmtId="2" fontId="3" fillId="17" borderId="30" xfId="0" applyNumberFormat="1" applyFont="1" applyFill="1" applyBorder="1" applyAlignment="1">
      <x:alignment horizontal="center" vertical="center" wrapText="1"/>
    </x:xf>
    <x:xf numFmtId="0" fontId="3" fillId="17" borderId="29" xfId="0" applyNumberFormat="1" applyFont="1" applyFill="1" applyBorder="1" applyAlignment="1">
      <x:alignment horizontal="center" vertical="center" wrapText="1"/>
    </x:xf>
    <x:xf numFmtId="0" fontId="3" fillId="17" borderId="46" xfId="0" applyNumberFormat="1" applyFont="1" applyFill="1" applyBorder="1" applyAlignment="1">
      <x:alignment horizontal="center" vertical="center" wrapText="1"/>
    </x:xf>
    <x:xf numFmtId="2" fontId="3" fillId="17" borderId="46" xfId="0" applyNumberFormat="1" applyFont="1" applyFill="1" applyBorder="1" applyAlignment="1">
      <x:alignment horizontal="center" vertical="center" wrapText="1"/>
    </x:xf>
    <x:xf numFmtId="0" fontId="3" fillId="17" borderId="45" xfId="0" applyNumberFormat="1" applyFont="1" applyFill="1" applyBorder="1" applyAlignment="1">
      <x:alignment horizontal="center" vertical="center" wrapText="1"/>
    </x:xf>
    <x:xf numFmtId="0" fontId="3" fillId="4" borderId="62" xfId="0" applyNumberFormat="1" applyFont="1" applyFill="1" applyBorder="1" applyAlignment="1">
      <x:alignment vertical="center"/>
    </x:xf>
    <x:xf numFmtId="0" fontId="3" fillId="17" borderId="63" xfId="0" applyNumberFormat="1" applyFont="1" applyFill="1" applyBorder="1" applyAlignment="1">
      <x:alignment horizontal="center" vertical="center" wrapText="1"/>
    </x:xf>
    <x:xf numFmtId="0" fontId="3" fillId="4" borderId="52" xfId="0" applyNumberFormat="1" applyFont="1" applyFill="1" applyBorder="1" applyAlignment="1">
      <x:alignment vertical="center"/>
    </x:xf>
    <x:xf numFmtId="0" fontId="3" fillId="17" borderId="53" xfId="0" applyNumberFormat="1" applyFont="1" applyFill="1" applyBorder="1" applyAlignment="1">
      <x:alignment horizontal="center" vertical="center" wrapText="1"/>
    </x:xf>
    <x:xf numFmtId="2" fontId="3" fillId="17" borderId="53" xfId="0" applyNumberFormat="1" applyFont="1" applyFill="1" applyBorder="1" applyAlignment="1">
      <x:alignment horizontal="center" vertical="center" wrapText="1"/>
    </x:xf>
    <x:xf numFmtId="0" fontId="3" fillId="4" borderId="54" xfId="0" applyNumberFormat="1" applyFont="1" applyFill="1" applyBorder="1" applyAlignment="1">
      <x:alignment vertical="center"/>
    </x:xf>
    <x:xf numFmtId="0" fontId="3" fillId="17" borderId="56" xfId="0" applyNumberFormat="1" applyFont="1" applyFill="1" applyBorder="1" applyAlignment="1">
      <x:alignment horizontal="center" vertical="center" wrapText="1"/>
    </x:xf>
    <x:xf numFmtId="0" fontId="3" fillId="4" borderId="64" xfId="0" applyNumberFormat="1" applyFont="1" applyFill="1" applyBorder="1" applyAlignment="1">
      <x:alignment vertical="center"/>
    </x:xf>
    <x:xf numFmtId="0" fontId="3" fillId="17" borderId="65" xfId="0" applyNumberFormat="1" applyFont="1" applyFill="1" applyBorder="1" applyAlignment="1">
      <x:alignment horizontal="center" vertical="center" wrapText="1"/>
    </x:xf>
    <x:xf numFmtId="0" fontId="3" fillId="4" borderId="57" xfId="0" applyNumberFormat="1" applyFont="1" applyFill="1" applyBorder="1" applyAlignment="1">
      <x:alignment vertical="center"/>
    </x:xf>
    <x:xf numFmtId="0" fontId="3" fillId="17" borderId="58" xfId="0" applyNumberFormat="1" applyFont="1" applyFill="1" applyBorder="1" applyAlignment="1">
      <x:alignment horizontal="center" vertical="center" wrapText="1"/>
    </x:xf>
    <x:xf numFmtId="2" fontId="3" fillId="17" borderId="58" xfId="0" applyNumberFormat="1" applyFont="1" applyFill="1" applyBorder="1" applyAlignment="1">
      <x:alignment horizontal="center" vertical="center" wrapText="1"/>
    </x:xf>
    <x:xf numFmtId="0" fontId="3" fillId="4" borderId="59" xfId="0" applyNumberFormat="1" applyFont="1" applyFill="1" applyBorder="1" applyAlignment="1">
      <x:alignment vertical="center"/>
    </x:xf>
    <x:xf numFmtId="0" fontId="3" fillId="17" borderId="61" xfId="0" applyNumberFormat="1" applyFont="1" applyFill="1" applyBorder="1" applyAlignment="1">
      <x:alignment horizontal="center" vertical="center" wrapText="1"/>
    </x:xf>
    <x:xf numFmtId="2" fontId="0" fillId="17" borderId="29" xfId="0" applyNumberFormat="1" applyFont="1" applyFill="1" applyBorder="1" applyAlignment="1">
      <x:alignment horizontal="center" vertical="center" wrapText="1"/>
    </x:xf>
    <x:xf numFmtId="2" fontId="0" fillId="17" borderId="45" xfId="0" applyNumberFormat="1" applyFont="1" applyFill="1" applyBorder="1" applyAlignment="1">
      <x:alignment horizontal="center" vertical="center" wrapText="1"/>
    </x:xf>
    <x:xf numFmtId="2" fontId="3" fillId="17" borderId="29" xfId="0" applyNumberFormat="1" applyFont="1" applyFill="1" applyBorder="1" applyAlignment="1">
      <x:alignment horizontal="center" vertical="center" wrapText="1"/>
    </x:xf>
    <x:xf numFmtId="2" fontId="3" fillId="17" borderId="45" xfId="0" applyNumberFormat="1" applyFont="1" applyFill="1" applyBorder="1" applyAlignment="1">
      <x:alignment horizontal="center" vertical="center" wrapText="1"/>
    </x:xf>
    <x:xf numFmtId="0" fontId="0" fillId="21" borderId="29" xfId="0" applyNumberFormat="1" applyFont="1" applyFill="1" applyBorder="1" applyAlignment="1">
      <x:alignment vertical="top" wrapText="1"/>
    </x:xf>
    <x:xf numFmtId="164" fontId="0" fillId="21" borderId="29" xfId="0" applyNumberFormat="1" applyFont="1" applyFill="1" applyBorder="1" applyAlignment="1">
      <x:alignment vertical="top" wrapText="1"/>
    </x:xf>
    <x:xf numFmtId="0" fontId="0" fillId="21" borderId="45" xfId="0" applyNumberFormat="1" applyFont="1" applyFill="1" applyBorder="1" applyAlignment="1">
      <x:alignment vertical="top" wrapText="1"/>
    </x:xf>
    <x:xf numFmtId="164" fontId="0" fillId="21" borderId="45" xfId="0" applyNumberFormat="1" applyFont="1" applyFill="1" applyBorder="1" applyAlignment="1">
      <x:alignment vertical="top" wrapText="1"/>
    </x:xf>
    <x:xf numFmtId="0" fontId="3" fillId="20" borderId="29" xfId="0" applyNumberFormat="1" applyFont="1" applyFill="1" applyBorder="1" applyAlignment="1">
      <x:alignment vertical="top" wrapText="1"/>
    </x:xf>
    <x:xf numFmtId="0" fontId="3" fillId="20" borderId="29" xfId="0" applyNumberFormat="1" applyFont="1" applyFill="1" applyBorder="1" applyAlignment="1">
      <x:alignment horizontal="left" vertical="top" wrapText="1"/>
    </x:xf>
    <x:xf numFmtId="0" fontId="0" fillId="20" borderId="29" xfId="0" applyNumberFormat="1" applyFont="1" applyFill="1" applyBorder="1" applyAlignment="1">
      <x:alignment horizontal="left" vertical="top" wrapText="1"/>
    </x:xf>
    <x:xf numFmtId="0" fontId="3" fillId="20" borderId="45" xfId="0" applyNumberFormat="1" applyFont="1" applyFill="1" applyBorder="1" applyAlignment="1">
      <x:alignment vertical="top" wrapText="1"/>
    </x:xf>
    <x:xf numFmtId="0" fontId="3" fillId="20" borderId="45" xfId="0" applyNumberFormat="1" applyFont="1" applyFill="1" applyBorder="1" applyAlignment="1">
      <x:alignment horizontal="left" vertical="top" wrapText="1"/>
    </x:xf>
    <x:xf numFmtId="0" fontId="0" fillId="20" borderId="45" xfId="0" applyNumberFormat="1" applyFont="1" applyFill="1" applyBorder="1" applyAlignment="1">
      <x:alignment horizontal="left" vertical="top" wrapText="1"/>
    </x:xf>
    <x:xf numFmtId="0" fontId="0" fillId="0" borderId="22" xfId="0" applyNumberFormat="1" applyFont="1" applyFill="1" applyBorder="1"/>
    <x:xf numFmtId="0" fontId="3" fillId="4" borderId="22" xfId="0" applyNumberFormat="1" applyFont="1" applyFill="1" applyBorder="1" applyAlignment="1">
      <x:alignment vertical="center"/>
    </x:xf>
    <x:xf numFmtId="0" fontId="0" fillId="0" borderId="23" xfId="0" applyNumberFormat="1" applyFont="1" applyFill="1" applyBorder="1"/>
    <x:xf numFmtId="0" fontId="0" fillId="0" borderId="0" xfId="0" applyNumberFormat="1" applyFont="1" applyFill="1" applyBorder="1"/>
    <x:xf numFmtId="0" fontId="0" fillId="20" borderId="53" xfId="0" applyNumberFormat="1" applyFont="1" applyFill="1" applyBorder="1" applyAlignment="1">
      <x:alignment vertical="top" wrapText="1"/>
    </x:xf>
    <x:xf numFmtId="0" fontId="0" fillId="20" borderId="53" xfId="0" applyNumberFormat="1" applyFont="1" applyFill="1" applyBorder="1" applyAlignment="1">
      <x:alignment horizontal="left" vertical="top" wrapText="1"/>
    </x:xf>
    <x:xf numFmtId="0" fontId="0" fillId="21" borderId="55" xfId="0" applyNumberFormat="1" applyFont="1" applyFill="1" applyBorder="1" applyAlignment="1">
      <x:alignment vertical="top" wrapText="1"/>
    </x:xf>
    <x:xf numFmtId="164" fontId="0" fillId="21" borderId="55" xfId="0" applyNumberFormat="1" applyFont="1" applyFill="1" applyBorder="1" applyAlignment="1">
      <x:alignment vertical="top" wrapText="1"/>
    </x:xf>
    <x:xf numFmtId="0" fontId="0" fillId="0" borderId="27" xfId="0" applyNumberFormat="1" applyFont="1" applyFill="1" applyBorder="1"/>
    <x:xf numFmtId="0" fontId="3" fillId="4" borderId="55" xfId="0" applyNumberFormat="1" applyFont="1" applyFill="1" applyBorder="1" applyAlignment="1">
      <x:alignment horizontal="left" vertical="top" wrapText="1"/>
    </x:xf>
    <x:xf numFmtId="0" fontId="0" fillId="5" borderId="56" xfId="0" applyNumberFormat="1" applyFont="1" applyFill="1" applyBorder="1" applyAlignment="1">
      <x:alignment horizontal="left" vertical="top" wrapText="1"/>
    </x:xf>
    <x:xf numFmtId="0" fontId="0" fillId="0" borderId="38" xfId="0" applyNumberFormat="1" applyFont="1" applyFill="1" applyBorder="1"/>
    <x:xf numFmtId="0" fontId="3" fillId="4" borderId="38" xfId="0" applyNumberFormat="1" applyFont="1" applyFill="1" applyBorder="1" applyAlignment="1">
      <x:alignment vertical="center"/>
    </x:xf>
    <x:xf numFmtId="0" fontId="0" fillId="0" borderId="39" xfId="0" applyNumberFormat="1" applyFont="1" applyFill="1" applyBorder="1"/>
    <x:xf numFmtId="0" fontId="0" fillId="20" borderId="58" xfId="0" applyNumberFormat="1" applyFont="1" applyFill="1" applyBorder="1" applyAlignment="1">
      <x:alignment vertical="top" wrapText="1"/>
    </x:xf>
    <x:xf numFmtId="0" fontId="0" fillId="20" borderId="58" xfId="0" applyNumberFormat="1" applyFont="1" applyFill="1" applyBorder="1" applyAlignment="1">
      <x:alignment horizontal="left" vertical="top" wrapText="1"/>
    </x:xf>
    <x:xf numFmtId="0" fontId="0" fillId="21" borderId="60" xfId="0" applyNumberFormat="1" applyFont="1" applyFill="1" applyBorder="1" applyAlignment="1">
      <x:alignment vertical="top" wrapText="1"/>
    </x:xf>
    <x:xf numFmtId="164" fontId="0" fillId="21" borderId="60" xfId="0" applyNumberFormat="1" applyFont="1" applyFill="1" applyBorder="1" applyAlignment="1">
      <x:alignment vertical="top" wrapText="1"/>
    </x:xf>
    <x:xf numFmtId="0" fontId="0" fillId="0" borderId="43" xfId="0" applyNumberFormat="1" applyFont="1" applyFill="1" applyBorder="1"/>
    <x:xf numFmtId="0" fontId="3" fillId="4" borderId="60" xfId="0" applyNumberFormat="1" applyFont="1" applyFill="1" applyBorder="1" applyAlignment="1">
      <x:alignment horizontal="left" vertical="top" wrapText="1"/>
    </x:xf>
    <x:xf numFmtId="0" fontId="0" fillId="5" borderId="61" xfId="0" applyNumberFormat="1" applyFont="1" applyFill="1" applyBorder="1" applyAlignment="1">
      <x:alignment horizontal="left" vertical="top" wrapText="1"/>
    </x:xf>
    <x:xf numFmtId="0" fontId="0" fillId="0" borderId="22" xfId="0" applyNumberFormat="1" applyFont="1" applyFill="1" applyBorder="1" applyAlignment="1">
      <x:alignment wrapText="1"/>
    </x:xf>
    <x:xf numFmtId="0" fontId="3" fillId="4" borderId="22" xfId="0" applyNumberFormat="1" applyFont="1" applyFill="1" applyBorder="1" applyAlignment="1">
      <x:alignment vertical="center" wrapText="1"/>
    </x:xf>
    <x:xf numFmtId="0" fontId="0" fillId="0" borderId="23"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38" xfId="0" applyNumberFormat="1" applyFont="1" applyFill="1" applyBorder="1" applyAlignment="1">
      <x:alignment wrapText="1"/>
    </x:xf>
    <x:xf numFmtId="0" fontId="3" fillId="4" borderId="38" xfId="0" applyNumberFormat="1" applyFont="1" applyFill="1" applyBorder="1" applyAlignment="1">
      <x:alignment vertical="center" wrapText="1"/>
    </x:xf>
    <x:xf numFmtId="0" fontId="0" fillId="0" borderId="39" xfId="0" applyNumberFormat="1" applyFont="1" applyFill="1" applyBorder="1" applyAlignment="1">
      <x:alignment wrapText="1"/>
    </x:xf>
    <x:xf numFmtId="0" fontId="4" fillId="3" borderId="21" xfId="0" applyNumberFormat="1" applyFont="1" applyFill="1" applyBorder="1" applyAlignment="1">
      <x:alignment horizontal="center" vertical="top" wrapText="1"/>
    </x:xf>
    <x:xf numFmtId="0" fontId="4" fillId="3" borderId="22" xfId="0" applyNumberFormat="1" applyFont="1" applyFill="1" applyBorder="1" applyAlignment="1">
      <x:alignment horizontal="center" vertical="top" wrapText="1"/>
    </x:xf>
    <x:xf numFmtId="0" fontId="0" fillId="0" borderId="22" xfId="0" applyNumberFormat="1" applyFont="1" applyFill="1" applyBorder="1" applyAlignment="1">
      <x:alignment vertical="top" wrapText="1"/>
    </x:xf>
    <x:xf numFmtId="0" fontId="3" fillId="4"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4" fillId="3" borderId="37" xfId="0" applyNumberFormat="1" applyFont="1" applyFill="1" applyBorder="1" applyAlignment="1">
      <x:alignment horizontal="center" vertical="top" wrapText="1"/>
    </x:xf>
    <x:xf numFmtId="0" fontId="4" fillId="3" borderId="38" xfId="0" applyNumberFormat="1" applyFont="1" applyFill="1" applyBorder="1" applyAlignment="1">
      <x:alignment horizontal="center" vertical="top" wrapText="1"/>
    </x:xf>
    <x:xf numFmtId="0" fontId="0" fillId="0" borderId="38" xfId="0" applyNumberFormat="1" applyFont="1" applyFill="1" applyBorder="1" applyAlignment="1">
      <x:alignment vertical="top" wrapText="1"/>
    </x:xf>
    <x:xf numFmtId="0" fontId="3" fillId="4"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16" borderId="63" xfId="0" applyNumberFormat="1" applyFont="1" applyFill="1" applyBorder="1" applyAlignment="1">
      <x:alignment vertical="top" wrapText="1"/>
    </x:xf>
    <x:xf numFmtId="0" fontId="0" fillId="16" borderId="65" xfId="0" applyNumberFormat="1" applyFont="1" applyFill="1" applyBorder="1" applyAlignment="1">
      <x:alignment vertical="top" wrapText="1"/>
    </x:xf>
    <x:xf numFmtId="0" fontId="3" fillId="4" borderId="62" xfId="0" applyNumberFormat="1" applyFont="1" applyFill="1" applyBorder="1" applyAlignment="1">
      <x:alignment vertical="center" wrapText="1"/>
    </x:xf>
    <x:xf numFmtId="0" fontId="3" fillId="4" borderId="52" xfId="0" applyNumberFormat="1" applyFont="1" applyFill="1" applyBorder="1" applyAlignment="1">
      <x:alignment vertical="center" wrapText="1"/>
    </x:xf>
    <x:xf numFmtId="0" fontId="3" fillId="4" borderId="54" xfId="0" applyNumberFormat="1" applyFont="1" applyFill="1" applyBorder="1" applyAlignment="1">
      <x:alignment vertical="center" wrapText="1"/>
    </x:xf>
    <x:xf numFmtId="0" fontId="3" fillId="4" borderId="64" xfId="0" applyNumberFormat="1" applyFont="1" applyFill="1" applyBorder="1" applyAlignment="1">
      <x:alignment vertical="center" wrapText="1"/>
    </x:xf>
    <x:xf numFmtId="0" fontId="3" fillId="4" borderId="57" xfId="0" applyNumberFormat="1" applyFont="1" applyFill="1" applyBorder="1" applyAlignment="1">
      <x:alignment vertical="center" wrapText="1"/>
    </x:xf>
    <x:xf numFmtId="0" fontId="3" fillId="4" borderId="59" xfId="0" applyNumberFormat="1" applyFont="1" applyFill="1" applyBorder="1" applyAlignment="1">
      <x:alignment vertical="center" wrapText="1"/>
    </x:xf>
    <x:xf numFmtId="2" fontId="0" fillId="17" borderId="29" xfId="0" applyNumberFormat="1" applyFont="1" applyFill="1" applyBorder="1" applyAlignment="1">
      <x:alignment vertical="top" wrapText="1"/>
    </x:xf>
    <x:xf numFmtId="2" fontId="0" fillId="17" borderId="45" xfId="0" applyNumberFormat="1" applyFont="1" applyFill="1" applyBorder="1" applyAlignment="1">
      <x:alignment vertical="top" wrapText="1"/>
    </x:xf>
    <x:xf numFmtId="0" fontId="3" fillId="17" borderId="29" xfId="0" applyNumberFormat="1" applyFont="1" applyFill="1" applyBorder="1" applyAlignment="1">
      <x:alignment vertical="top" wrapText="1"/>
    </x:xf>
    <x:xf numFmtId="2" fontId="3" fillId="17" borderId="29" xfId="0" applyNumberFormat="1" applyFont="1" applyFill="1" applyBorder="1" applyAlignment="1">
      <x:alignment vertical="top" wrapText="1"/>
    </x:xf>
    <x:xf numFmtId="0" fontId="3" fillId="17" borderId="45" xfId="0" applyNumberFormat="1" applyFont="1" applyFill="1" applyBorder="1" applyAlignment="1">
      <x:alignment vertical="top" wrapText="1"/>
    </x:xf>
    <x:xf numFmtId="2" fontId="3" fillId="17" borderId="45" xfId="0" applyNumberFormat="1" applyFont="1" applyFill="1" applyBorder="1" applyAlignment="1">
      <x:alignment vertical="top" wrapText="1"/>
    </x:xf>
    <x:xf numFmtId="164" fontId="0" fillId="16" borderId="29" xfId="0" applyNumberFormat="1" applyFont="1" applyFill="1" applyBorder="1" applyAlignment="1">
      <x:alignment horizontal="left" vertical="top" wrapText="1"/>
    </x:xf>
    <x:xf numFmtId="0" fontId="0" fillId="16" borderId="29" xfId="0" applyNumberFormat="1" applyFont="1" applyFill="1" applyBorder="1" applyAlignment="1">
      <x:alignment horizontal="left" vertical="top" wrapText="1"/>
    </x:xf>
    <x:xf numFmtId="164" fontId="0" fillId="16" borderId="45" xfId="0" applyNumberFormat="1" applyFont="1" applyFill="1" applyBorder="1" applyAlignment="1">
      <x:alignment horizontal="left" vertical="top" wrapText="1"/>
    </x:xf>
    <x:xf numFmtId="0" fontId="0" fillId="16" borderId="45" xfId="0" applyNumberFormat="1" applyFont="1" applyFill="1" applyBorder="1" applyAlignment="1">
      <x:alignment horizontal="left" vertical="top" wrapText="1"/>
    </x:xf>
    <x:xf numFmtId="164" fontId="0" fillId="16" borderId="29" xfId="0" applyNumberFormat="1" applyFont="1" applyFill="1" applyBorder="1" applyAlignment="1">
      <x:alignment vertical="top" wrapText="1"/>
    </x:xf>
    <x:xf numFmtId="164" fontId="0" fillId="16" borderId="45" xfId="0" applyNumberFormat="1" applyFont="1" applyFill="1" applyBorder="1" applyAlignment="1">
      <x:alignment vertical="top" wrapText="1"/>
    </x:xf>
    <x:xf numFmtId="164" fontId="0" fillId="16" borderId="29" xfId="0" applyNumberFormat="1" applyFont="1" applyFill="1" applyBorder="1" applyAlignment="1">
      <x:alignment horizontal="center" vertical="top" wrapText="1"/>
    </x:xf>
    <x:xf numFmtId="164" fontId="0" fillId="16" borderId="45" xfId="0" applyNumberFormat="1" applyFont="1" applyFill="1" applyBorder="1" applyAlignment="1">
      <x:alignment horizontal="center" vertical="top" wrapText="1"/>
    </x:xf>
    <x:xf numFmtId="0" fontId="3" fillId="0" borderId="21" xfId="0" applyNumberFormat="1" applyFont="1" applyFill="1" applyBorder="1" applyAlignment="1">
      <x:alignment vertical="center"/>
    </x:xf>
    <x:xf numFmtId="0" fontId="3" fillId="0" borderId="22" xfId="0" applyNumberFormat="1" applyFont="1" applyFill="1" applyBorder="1" applyAlignment="1">
      <x:alignment vertical="center"/>
    </x:xf>
    <x:xf numFmtId="0" fontId="3" fillId="0" borderId="23" xfId="0" applyNumberFormat="1" applyFont="1" applyFill="1" applyBorder="1" applyAlignment="1">
      <x:alignment vertical="center"/>
    </x:xf>
    <x:xf numFmtId="0" fontId="3" fillId="4" borderId="52" xfId="0" applyNumberFormat="1" applyFont="1" applyFill="1" applyBorder="1" applyAlignment="1">
      <x:alignment vertical="top"/>
    </x:xf>
    <x:xf numFmtId="0" fontId="0" fillId="0" borderId="0" xfId="0" applyNumberFormat="1" applyFont="1" applyFill="1" applyBorder="1" applyAlignment="1">
      <x:alignment vertical="top"/>
    </x:xf>
    <x:xf numFmtId="0" fontId="3" fillId="4" borderId="29" xfId="0" applyNumberFormat="1" applyFont="1" applyFill="1" applyBorder="1" applyAlignment="1">
      <x:alignment vertical="top"/>
    </x:xf>
    <x:xf numFmtId="164" fontId="0" fillId="16" borderId="53" xfId="0" applyNumberFormat="1" applyFont="1" applyFill="1" applyBorder="1" applyAlignment="1">
      <x:alignment horizontal="left" vertical="top" wrapText="1"/>
    </x:xf>
    <x:xf numFmtId="0" fontId="3" fillId="4" borderId="32" xfId="0" applyNumberFormat="1" applyFont="1" applyFill="1" applyBorder="1" applyAlignment="1">
      <x:alignment horizontal="center" vertical="top"/>
    </x:xf>
    <x:xf numFmtId="0" fontId="0" fillId="16" borderId="53" xfId="0" applyNumberFormat="1" applyFont="1" applyFill="1" applyBorder="1" applyAlignment="1">
      <x:alignment horizontal="left" vertical="top" wrapText="1"/>
    </x:xf>
    <x:xf numFmtId="0" fontId="3" fillId="4" borderId="35" xfId="0" applyNumberFormat="1" applyFont="1" applyFill="1" applyBorder="1" applyAlignment="1">
      <x:alignment horizontal="center" vertical="top"/>
    </x:xf>
    <x:xf numFmtId="0" fontId="0" fillId="5" borderId="53" xfId="0" applyNumberFormat="1" applyFont="1" applyFill="1" applyBorder="1" applyAlignment="1">
      <x:alignment horizontal="left" vertical="top" wrapText="1"/>
    </x:xf>
    <x:xf numFmtId="0" fontId="3" fillId="4" borderId="54" xfId="0" applyNumberFormat="1" applyFont="1" applyFill="1" applyBorder="1" applyAlignment="1">
      <x:alignment vertical="top"/>
    </x:xf>
    <x:xf numFmtId="2" fontId="3" fillId="17" borderId="55" xfId="0" applyNumberFormat="1" applyFont="1" applyFill="1" applyBorder="1" applyAlignment="1">
      <x:alignment vertical="top" wrapText="1"/>
    </x:xf>
    <x:xf numFmtId="0" fontId="0" fillId="0" borderId="27" xfId="0" applyNumberFormat="1" applyFont="1" applyFill="1" applyBorder="1" applyAlignment="1">
      <x:alignment vertical="top"/>
    </x:xf>
    <x:xf numFmtId="0" fontId="3" fillId="4" borderId="66" xfId="0" applyNumberFormat="1" applyFont="1" applyFill="1" applyBorder="1" applyAlignment="1">
      <x:alignment horizontal="center" vertical="top"/>
    </x:xf>
    <x:xf numFmtId="0" fontId="3" fillId="0" borderId="37" xfId="0" applyNumberFormat="1" applyFont="1" applyFill="1" applyBorder="1" applyAlignment="1">
      <x:alignment vertical="center"/>
    </x:xf>
    <x:xf numFmtId="0" fontId="3" fillId="0" borderId="38" xfId="0" applyNumberFormat="1" applyFont="1" applyFill="1" applyBorder="1" applyAlignment="1">
      <x:alignment vertical="center"/>
    </x:xf>
    <x:xf numFmtId="0" fontId="3" fillId="0" borderId="39" xfId="0" applyNumberFormat="1" applyFont="1" applyFill="1" applyBorder="1" applyAlignment="1">
      <x:alignment vertical="center"/>
    </x:xf>
    <x:xf numFmtId="0" fontId="3" fillId="4" borderId="57" xfId="0" applyNumberFormat="1" applyFont="1" applyFill="1" applyBorder="1" applyAlignment="1">
      <x:alignment vertical="top"/>
    </x:xf>
    <x:xf numFmtId="164" fontId="0" fillId="16" borderId="58" xfId="0" applyNumberFormat="1" applyFont="1" applyFill="1" applyBorder="1" applyAlignment="1">
      <x:alignment horizontal="left" vertical="top" wrapText="1"/>
    </x:xf>
    <x:xf numFmtId="0" fontId="0" fillId="16" borderId="58" xfId="0" applyNumberFormat="1" applyFont="1" applyFill="1" applyBorder="1" applyAlignment="1">
      <x:alignment horizontal="left" vertical="top" wrapText="1"/>
    </x:xf>
    <x:xf numFmtId="0" fontId="0" fillId="5" borderId="58" xfId="0" applyNumberFormat="1" applyFont="1" applyFill="1" applyBorder="1" applyAlignment="1">
      <x:alignment horizontal="left" vertical="top" wrapText="1"/>
    </x:xf>
    <x:xf numFmtId="0" fontId="3" fillId="4" borderId="59" xfId="0" applyNumberFormat="1" applyFont="1" applyFill="1" applyBorder="1" applyAlignment="1">
      <x:alignment vertical="top"/>
    </x:xf>
    <x:xf numFmtId="2" fontId="3" fillId="17" borderId="60" xfId="0" applyNumberFormat="1" applyFont="1" applyFill="1" applyBorder="1" applyAlignment="1">
      <x:alignment vertical="top" wrapText="1"/>
    </x:xf>
    <x:xf numFmtId="0" fontId="0" fillId="0" borderId="43" xfId="0" applyNumberFormat="1" applyFont="1" applyFill="1" applyBorder="1" applyAlignment="1">
      <x:alignment vertical="top"/>
    </x:xf>
    <x:xf numFmtId="0" fontId="3" fillId="4" borderId="67" xfId="0" applyNumberFormat="1" applyFont="1" applyFill="1" applyBorder="1" applyAlignment="1">
      <x:alignment horizontal="center" vertical="top"/>
    </x:xf>
    <x:xf numFmtId="0" fontId="3" fillId="0" borderId="52" xfId="0" applyNumberFormat="1" applyFont="1" applyFill="1" applyBorder="1" applyAlignment="1">
      <x:alignment vertical="top"/>
    </x:xf>
    <x:xf numFmtId="0" fontId="3" fillId="0" borderId="29" xfId="0" applyNumberFormat="1" applyFont="1" applyFill="1" applyBorder="1" applyAlignment="1">
      <x:alignment horizontal="left" vertical="top" wrapText="1"/>
    </x:xf>
    <x:xf numFmtId="0" fontId="0" fillId="0" borderId="53"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3" fillId="0" borderId="54" xfId="0" applyNumberFormat="1" applyFont="1" applyFill="1" applyBorder="1" applyAlignment="1">
      <x:alignment vertical="center"/>
    </x:xf>
    <x:xf numFmtId="164" fontId="0" fillId="16" borderId="55"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3" fillId="0" borderId="57" xfId="0" applyNumberFormat="1" applyFont="1" applyFill="1" applyBorder="1" applyAlignment="1">
      <x:alignment vertical="top"/>
    </x:xf>
    <x:xf numFmtId="0" fontId="0" fillId="0" borderId="58"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3" fillId="0" borderId="59" xfId="0" applyNumberFormat="1" applyFont="1" applyFill="1" applyBorder="1" applyAlignment="1">
      <x:alignment vertical="center"/>
    </x:xf>
    <x:xf numFmtId="164" fontId="0" fillId="16" borderId="60"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3" fillId="0" borderId="52" xfId="0" applyNumberFormat="1" applyFont="1" applyFill="1" applyBorder="1" applyAlignment="1">
      <x:alignment horizontal="center" vertical="center"/>
    </x:xf>
    <x:xf numFmtId="0" fontId="0" fillId="16" borderId="53" xfId="0" applyNumberFormat="1" applyFont="1" applyFill="1" applyBorder="1" applyAlignment="1">
      <x:alignment horizontal="center" vertical="top" wrapText="1"/>
    </x:xf>
    <x:xf numFmtId="164" fontId="0" fillId="16" borderId="53" xfId="0" applyNumberFormat="1" applyFont="1" applyFill="1" applyBorder="1" applyAlignment="1">
      <x:alignment horizontal="center" vertical="top" wrapText="1"/>
    </x:xf>
    <x:xf numFmtId="0" fontId="3" fillId="0" borderId="54" xfId="0" applyNumberFormat="1" applyFont="1" applyFill="1" applyBorder="1" applyAlignment="1">
      <x:alignment horizontal="center" vertical="center"/>
    </x:xf>
    <x:xf numFmtId="164" fontId="0" fillId="16" borderId="56" xfId="0" applyNumberFormat="1" applyFont="1" applyFill="1" applyBorder="1" applyAlignment="1">
      <x:alignment horizontal="center" vertical="top" wrapText="1"/>
    </x:xf>
    <x:xf numFmtId="0" fontId="3" fillId="0" borderId="57" xfId="0" applyNumberFormat="1" applyFont="1" applyFill="1" applyBorder="1" applyAlignment="1">
      <x:alignment horizontal="center" vertical="center"/>
    </x:xf>
    <x:xf numFmtId="0" fontId="0" fillId="16" borderId="58" xfId="0" applyNumberFormat="1" applyFont="1" applyFill="1" applyBorder="1" applyAlignment="1">
      <x:alignment horizontal="center" vertical="top" wrapText="1"/>
    </x:xf>
    <x:xf numFmtId="164" fontId="0" fillId="16" borderId="58" xfId="0" applyNumberFormat="1" applyFont="1" applyFill="1" applyBorder="1" applyAlignment="1">
      <x:alignment horizontal="center" vertical="top" wrapText="1"/>
    </x:xf>
    <x:xf numFmtId="0" fontId="3" fillId="0" borderId="59" xfId="0" applyNumberFormat="1" applyFont="1" applyFill="1" applyBorder="1" applyAlignment="1">
      <x:alignment horizontal="center" vertical="center"/>
    </x:xf>
    <x:xf numFmtId="164" fontId="0" fillId="16" borderId="61" xfId="0" applyNumberFormat="1" applyFont="1" applyFill="1" applyBorder="1" applyAlignment="1">
      <x:alignment horizontal="center" vertical="top" wrapText="1"/>
    </x:xf>
    <x:xf numFmtId="0" fontId="3" fillId="0" borderId="21" xfId="0" applyNumberFormat="1" applyFont="1" applyFill="1" applyBorder="1" applyAlignment="1">
      <x:alignment vertical="center" wrapText="1"/>
    </x:xf>
    <x:xf numFmtId="0" fontId="3" fillId="0" borderId="22" xfId="0" applyNumberFormat="1" applyFont="1" applyFill="1" applyBorder="1" applyAlignment="1">
      <x:alignment vertical="center" wrapText="1"/>
    </x:xf>
    <x:xf numFmtId="0" fontId="3" fillId="0" borderId="23" xfId="0" applyNumberFormat="1" applyFont="1" applyFill="1" applyBorder="1" applyAlignment="1">
      <x:alignment vertical="center" wrapText="1"/>
    </x:xf>
    <x:xf numFmtId="0" fontId="3" fillId="4" borderId="52" xfId="0" applyNumberFormat="1" applyFont="1" applyFill="1" applyBorder="1" applyAlignment="1">
      <x:alignment vertical="top" wrapText="1"/>
    </x:xf>
    <x:xf numFmtId="0" fontId="3" fillId="4" borderId="29" xfId="0" applyNumberFormat="1" applyFont="1" applyFill="1" applyBorder="1" applyAlignment="1">
      <x:alignment vertical="top" wrapText="1"/>
    </x:xf>
    <x:xf numFmtId="0" fontId="3" fillId="4" borderId="32" xfId="0" applyNumberFormat="1" applyFont="1" applyFill="1" applyBorder="1" applyAlignment="1">
      <x:alignment horizontal="center" vertical="top" wrapText="1"/>
    </x:xf>
    <x:xf numFmtId="0" fontId="3" fillId="4" borderId="35" xfId="0" applyNumberFormat="1" applyFont="1" applyFill="1" applyBorder="1" applyAlignment="1">
      <x:alignment horizontal="center" vertical="top" wrapText="1"/>
    </x:xf>
    <x:xf numFmtId="0" fontId="3" fillId="4" borderId="54" xfId="0" applyNumberFormat="1" applyFont="1" applyFill="1" applyBorder="1" applyAlignment="1">
      <x:alignment vertical="top" wrapText="1"/>
    </x:xf>
    <x:xf numFmtId="0" fontId="3" fillId="4" borderId="66" xfId="0" applyNumberFormat="1" applyFont="1" applyFill="1" applyBorder="1" applyAlignment="1">
      <x:alignment horizontal="center" vertical="top" wrapText="1"/>
    </x:xf>
    <x:xf numFmtId="0" fontId="3" fillId="0" borderId="52" xfId="0" applyNumberFormat="1" applyFont="1" applyFill="1" applyBorder="1" applyAlignment="1">
      <x:alignment vertical="top" wrapText="1"/>
    </x:xf>
    <x:xf numFmtId="0" fontId="3" fillId="0" borderId="54"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52" xfId="0" applyNumberFormat="1" applyFont="1" applyFill="1" applyBorder="1" applyAlignment="1">
      <x:alignment horizontal="center" vertical="center" wrapText="1"/>
    </x:xf>
    <x:xf numFmtId="0" fontId="3" fillId="0" borderId="54" xfId="0" applyNumberFormat="1" applyFont="1" applyFill="1" applyBorder="1" applyAlignment="1">
      <x:alignment horizontal="center" vertical="center" wrapText="1"/>
    </x:xf>
    <x:xf numFmtId="0" fontId="3" fillId="0" borderId="37" xfId="0" applyNumberFormat="1" applyFont="1" applyFill="1" applyBorder="1" applyAlignment="1">
      <x:alignment vertical="center" wrapText="1"/>
    </x:xf>
    <x:xf numFmtId="0" fontId="3" fillId="0" borderId="38" xfId="0" applyNumberFormat="1" applyFont="1" applyFill="1" applyBorder="1" applyAlignment="1">
      <x:alignment vertical="center" wrapText="1"/>
    </x:xf>
    <x:xf numFmtId="0" fontId="3" fillId="0" borderId="39" xfId="0" applyNumberFormat="1" applyFont="1" applyFill="1" applyBorder="1" applyAlignment="1">
      <x:alignment vertical="center" wrapText="1"/>
    </x:xf>
    <x:xf numFmtId="0" fontId="3" fillId="4" borderId="57" xfId="0" applyNumberFormat="1" applyFont="1" applyFill="1" applyBorder="1" applyAlignment="1">
      <x:alignment vertical="top" wrapText="1"/>
    </x:xf>
    <x:xf numFmtId="0" fontId="3" fillId="4" borderId="48" xfId="0" applyNumberFormat="1" applyFont="1" applyFill="1" applyBorder="1" applyAlignment="1">
      <x:alignment horizontal="center" vertical="top" wrapText="1"/>
    </x:xf>
    <x:xf numFmtId="0" fontId="3" fillId="4" borderId="51" xfId="0" applyNumberFormat="1" applyFont="1" applyFill="1" applyBorder="1" applyAlignment="1">
      <x:alignment horizontal="center" vertical="top" wrapText="1"/>
    </x:xf>
    <x:xf numFmtId="0" fontId="3" fillId="4" borderId="59" xfId="0" applyNumberFormat="1" applyFont="1" applyFill="1" applyBorder="1" applyAlignment="1">
      <x:alignment vertical="top" wrapText="1"/>
    </x:xf>
    <x:xf numFmtId="0" fontId="3" fillId="4" borderId="67" xfId="0" applyNumberFormat="1" applyFont="1" applyFill="1" applyBorder="1" applyAlignment="1">
      <x:alignment horizontal="center" vertical="top" wrapText="1"/>
    </x:xf>
    <x:xf numFmtId="0" fontId="3" fillId="0" borderId="57" xfId="0" applyNumberFormat="1" applyFont="1" applyFill="1" applyBorder="1" applyAlignment="1">
      <x:alignment vertical="top" wrapText="1"/>
    </x:xf>
    <x:xf numFmtId="0" fontId="3" fillId="0" borderId="59" xfId="0" applyNumberFormat="1" applyFont="1" applyFill="1" applyBorder="1" applyAlignment="1">
      <x:alignment vertical="center" wrapText="1"/>
    </x:xf>
    <x:xf numFmtId="0" fontId="3" fillId="0" borderId="36" xfId="0" applyNumberFormat="1" applyFont="1" applyFill="1" applyBorder="1" applyAlignment="1">
      <x:alignment vertical="center" wrapText="1"/>
    </x:xf>
    <x:xf numFmtId="0" fontId="3" fillId="0" borderId="57" xfId="0" applyNumberFormat="1" applyFont="1" applyFill="1" applyBorder="1" applyAlignment="1">
      <x:alignment horizontal="center" vertical="center" wrapText="1"/>
    </x:xf>
    <x:xf numFmtId="0" fontId="3" fillId="0" borderId="59" xfId="0" applyNumberFormat="1" applyFont="1" applyFill="1" applyBorder="1" applyAlignment="1">
      <x:alignment horizontal="center" vertical="center" wrapText="1"/>
    </x:xf>
    <x:xf numFmtId="0" fontId="3" fillId="0" borderId="21"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3" fillId="0" borderId="23" xfId="0" applyNumberFormat="1" applyFont="1" applyFill="1" applyBorder="1" applyAlignment="1">
      <x:alignment vertical="top" wrapText="1"/>
    </x:xf>
    <x:xf numFmtId="0" fontId="3" fillId="0" borderId="5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52" xfId="0" applyNumberFormat="1" applyFont="1" applyFill="1" applyBorder="1" applyAlignment="1">
      <x:alignment horizontal="center" vertical="top" wrapText="1"/>
    </x:xf>
    <x:xf numFmtId="0" fontId="3" fillId="0" borderId="54" xfId="0" applyNumberFormat="1" applyFont="1" applyFill="1" applyBorder="1" applyAlignment="1">
      <x:alignment horizontal="center" vertical="top" wrapText="1"/>
    </x:xf>
    <x:xf numFmtId="0" fontId="3" fillId="0" borderId="37" xfId="0" applyNumberFormat="1" applyFont="1" applyFill="1" applyBorder="1" applyAlignment="1">
      <x:alignment vertical="top" wrapText="1"/>
    </x:xf>
    <x:xf numFmtId="0" fontId="3" fillId="0" borderId="38" xfId="0" applyNumberFormat="1" applyFont="1" applyFill="1" applyBorder="1" applyAlignment="1">
      <x:alignment vertical="top" wrapText="1"/>
    </x:xf>
    <x:xf numFmtId="0" fontId="3" fillId="0" borderId="39" xfId="0" applyNumberFormat="1" applyFont="1" applyFill="1" applyBorder="1" applyAlignment="1">
      <x:alignment vertical="top" wrapText="1"/>
    </x:xf>
    <x:xf numFmtId="0" fontId="3" fillId="0" borderId="59" xfId="0" applyNumberFormat="1" applyFont="1" applyFill="1" applyBorder="1" applyAlignment="1">
      <x:alignment vertical="top" wrapText="1"/>
    </x:xf>
    <x:xf numFmtId="0" fontId="3" fillId="0" borderId="36" xfId="0" applyNumberFormat="1" applyFont="1" applyFill="1" applyBorder="1" applyAlignment="1">
      <x:alignment vertical="top" wrapText="1"/>
    </x:xf>
    <x:xf numFmtId="0" fontId="3" fillId="0" borderId="57" xfId="0" applyNumberFormat="1" applyFont="1" applyFill="1" applyBorder="1" applyAlignment="1">
      <x:alignment horizontal="center" vertical="top" wrapText="1"/>
    </x:xf>
    <x:xf numFmtId="0" fontId="3" fillId="0" borderId="59" xfId="0" applyNumberFormat="1" applyFont="1" applyFill="1" applyBorder="1" applyAlignment="1">
      <x:alignment horizontal="center" vertical="top" wrapText="1"/>
    </x:xf>
    <x:xf numFmtId="0" fontId="0" fillId="20" borderId="0" xfId="0" applyNumberFormat="1" applyFont="1" applyFill="1" applyBorder="1"/>
    <x:xf numFmtId="0" fontId="0" fillId="20" borderId="36" xfId="0" applyNumberFormat="1" applyFont="1" applyFill="1" applyBorder="1"/>
    <x:xf numFmtId="0" fontId="8" fillId="20" borderId="0" xfId="0" applyNumberFormat="1" applyFont="1" applyFill="1" applyBorder="1"/>
    <x:xf numFmtId="0" fontId="8" fillId="20" borderId="36" xfId="0" applyNumberFormat="1" applyFont="1" applyFill="1" applyBorder="1"/>
    <x:xf numFmtId="0" fontId="8" fillId="20" borderId="0" xfId="0" applyNumberFormat="1" applyFont="1" applyFill="1" applyBorder="1" applyAlignment="1">
      <x:alignment wrapText="1"/>
    </x:xf>
    <x:xf numFmtId="0" fontId="8" fillId="20" borderId="36" xfId="0" applyNumberFormat="1" applyFont="1" applyFill="1" applyBorder="1" applyAlignment="1">
      <x:alignment wrapText="1"/>
    </x:xf>
    <x:xf numFmtId="0" fontId="8" fillId="16" borderId="0" xfId="0" applyNumberFormat="1" applyFont="1" applyFill="1" applyBorder="1" applyAlignment="1">
      <x:alignment horizontal="center"/>
    </x:xf>
    <x:xf numFmtId="0" fontId="8" fillId="16" borderId="36" xfId="0" applyNumberFormat="1" applyFont="1" applyFill="1" applyBorder="1" applyAlignment="1">
      <x:alignment horizontal="center"/>
    </x:xf>
    <x:xf numFmtId="0" fontId="8" fillId="16" borderId="0" xfId="0" applyNumberFormat="1" applyFont="1" applyFill="1" applyBorder="1" applyAlignment="1">
      <x:alignment horizontal="center" vertical="center"/>
    </x:xf>
    <x:xf numFmtId="0" fontId="8" fillId="16" borderId="36" xfId="0" applyNumberFormat="1" applyFont="1" applyFill="1" applyBorder="1" applyAlignment="1">
      <x:alignment horizontal="center" vertical="center"/>
    </x:xf>
    <x:xf numFmtId="0" fontId="8" fillId="17" borderId="0" xfId="0" applyNumberFormat="1" applyFont="1" applyFill="1" applyBorder="1" applyAlignment="1">
      <x:alignment horizontal="center"/>
    </x:xf>
    <x:xf numFmtId="0" fontId="8" fillId="17" borderId="36" xfId="0" applyNumberFormat="1" applyFont="1" applyFill="1" applyBorder="1" applyAlignment="1">
      <x:alignment horizontal="center"/>
    </x:xf>
    <x:xf numFmtId="0" fontId="8" fillId="17" borderId="0" xfId="0" applyNumberFormat="1" applyFont="1" applyFill="1" applyBorder="1" applyAlignment="1">
      <x:alignment horizontal="center" vertical="center"/>
    </x:xf>
    <x:xf numFmtId="0" fontId="8" fillId="17" borderId="36" xfId="0" applyNumberFormat="1" applyFont="1" applyFill="1" applyBorder="1" applyAlignment="1">
      <x:alignment horizontal="center" vertical="center"/>
    </x:xf>
    <x:xf numFmtId="0" fontId="8" fillId="18" borderId="0" xfId="0" applyNumberFormat="1" applyFont="1" applyFill="1" applyBorder="1" applyAlignment="1">
      <x:alignment horizontal="center"/>
    </x:xf>
    <x:xf numFmtId="0" fontId="8" fillId="18" borderId="36" xfId="0" applyNumberFormat="1" applyFont="1" applyFill="1" applyBorder="1" applyAlignment="1">
      <x:alignment horizontal="center"/>
    </x:xf>
    <x:xf numFmtId="0" fontId="8" fillId="18" borderId="0" xfId="0" applyNumberFormat="1" applyFont="1" applyFill="1" applyBorder="1" applyAlignment="1">
      <x:alignment horizontal="center" vertical="center"/>
    </x:xf>
    <x:xf numFmtId="0" fontId="8" fillId="18" borderId="36" xfId="0" applyNumberFormat="1" applyFont="1" applyFill="1" applyBorder="1" applyAlignment="1">
      <x:alignment horizontal="center" vertical="center"/>
    </x:xf>
    <x:xf numFmtId="0" fontId="8" fillId="19" borderId="0" xfId="0" applyNumberFormat="1" applyFont="1" applyFill="1" applyBorder="1" applyAlignment="1">
      <x:alignment horizontal="center"/>
    </x:xf>
    <x:xf numFmtId="0" fontId="8" fillId="19" borderId="36" xfId="0" applyNumberFormat="1" applyFont="1" applyFill="1" applyBorder="1" applyAlignment="1">
      <x:alignment horizontal="center"/>
    </x:xf>
    <x:xf numFmtId="0" fontId="8" fillId="19" borderId="0" xfId="0" applyNumberFormat="1" applyFont="1" applyFill="1" applyBorder="1" applyAlignment="1">
      <x:alignment horizontal="center" vertical="center"/>
    </x:xf>
    <x:xf numFmtId="0" fontId="8" fillId="19" borderId="36" xfId="0" applyNumberFormat="1" applyFont="1" applyFill="1" applyBorder="1" applyAlignment="1">
      <x:alignment horizontal="center" vertical="center"/>
    </x:xf>
    <x:xf numFmtId="0" fontId="8" fillId="16" borderId="0" xfId="0" applyNumberFormat="1" applyFont="1" applyFill="1" applyBorder="1" applyAlignment="1">
      <x:alignment horizontal="center" vertical="center" wrapText="1"/>
    </x:xf>
    <x:xf numFmtId="0" fontId="8" fillId="17" borderId="0" xfId="0" applyNumberFormat="1" applyFont="1" applyFill="1" applyBorder="1" applyAlignment="1">
      <x:alignment horizontal="center" vertical="center" wrapText="1"/>
    </x:xf>
    <x:xf numFmtId="0" fontId="8" fillId="18" borderId="0" xfId="0" applyNumberFormat="1" applyFont="1" applyFill="1" applyBorder="1" applyAlignment="1">
      <x:alignment horizontal="center" vertical="center" wrapText="1"/>
    </x:xf>
    <x:xf numFmtId="0" fontId="8" fillId="19" borderId="0" xfId="0" applyNumberFormat="1" applyFont="1" applyFill="1" applyBorder="1" applyAlignment="1">
      <x:alignment horizontal="center" vertical="center" wrapText="1"/>
    </x:xf>
    <x:xf numFmtId="0" fontId="8" fillId="16" borderId="36" xfId="0" applyNumberFormat="1" applyFont="1" applyFill="1" applyBorder="1" applyAlignment="1">
      <x:alignment horizontal="center" vertical="center" wrapText="1"/>
    </x:xf>
    <x:xf numFmtId="0" fontId="8" fillId="17" borderId="36" xfId="0" applyNumberFormat="1" applyFont="1" applyFill="1" applyBorder="1" applyAlignment="1">
      <x:alignment horizontal="center" vertical="center" wrapText="1"/>
    </x:xf>
    <x:xf numFmtId="0" fontId="8" fillId="18" borderId="36" xfId="0" applyNumberFormat="1" applyFont="1" applyFill="1" applyBorder="1" applyAlignment="1">
      <x:alignment horizontal="center" vertical="center" wrapText="1"/>
    </x:xf>
    <x:xf numFmtId="0" fontId="8" fillId="19" borderId="36" xfId="0" applyNumberFormat="1" applyFont="1" applyFill="1" applyBorder="1" applyAlignment="1">
      <x:alignment horizontal="center" vertical="center" wrapText="1"/>
    </x:xf>
    <x:xf numFmtId="0" fontId="3" fillId="21" borderId="0" xfId="0" applyNumberFormat="1" applyFont="1" applyFill="1" applyBorder="1" applyAlignment="1">
      <x:alignment vertical="center"/>
    </x:xf>
    <x:xf numFmtId="0" fontId="0" fillId="21" borderId="0" xfId="0" applyNumberFormat="1" applyFont="1" applyFill="1" applyBorder="1" applyAlignment="1">
      <x:alignment vertical="top" wrapText="1"/>
    </x:xf>
    <x:xf numFmtId="0" fontId="3" fillId="21" borderId="36" xfId="0" applyNumberFormat="1" applyFont="1" applyFill="1" applyBorder="1" applyAlignment="1">
      <x:alignment vertical="center"/>
    </x:xf>
    <x:xf numFmtId="0" fontId="0" fillId="21" borderId="36" xfId="0" applyNumberFormat="1" applyFont="1" applyFill="1" applyBorder="1" applyAlignment="1">
      <x:alignment vertical="top" wrapText="1"/>
    </x:xf>
    <x:xf numFmtId="0" fontId="9" fillId="18" borderId="29" xfId="0" applyNumberFormat="1" applyFont="1" applyFill="1" applyBorder="1" applyAlignment="1">
      <x:alignment horizontal="center" vertical="center" wrapText="1"/>
    </x:xf>
    <x:xf numFmtId="0" fontId="9" fillId="20" borderId="29" xfId="0" applyNumberFormat="1" applyFont="1" applyFill="1" applyBorder="1" applyAlignment="1">
      <x:alignment horizontal="center" vertical="center" wrapText="1"/>
    </x:xf>
    <x:xf numFmtId="0" fontId="9" fillId="16" borderId="29" xfId="0" applyNumberFormat="1" applyFont="1" applyFill="1" applyBorder="1" applyAlignment="1">
      <x:alignment horizontal="center" vertical="center" wrapText="1"/>
    </x:xf>
    <x:xf numFmtId="0" fontId="9" fillId="17" borderId="29" xfId="0" applyNumberFormat="1" applyFont="1" applyFill="1" applyBorder="1" applyAlignment="1">
      <x:alignment horizontal="center" vertical="center" wrapText="1"/>
    </x:xf>
    <x:xf numFmtId="0" fontId="9" fillId="19" borderId="29" xfId="0" applyNumberFormat="1" applyFont="1" applyFill="1" applyBorder="1" applyAlignment="1">
      <x:alignment horizontal="center" vertical="center" wrapText="1"/>
    </x:xf>
    <x:xf numFmtId="0" fontId="9" fillId="18" borderId="55" xfId="0" applyNumberFormat="1" applyFont="1" applyFill="1" applyBorder="1" applyAlignment="1">
      <x:alignment horizontal="center" vertical="center" wrapText="1"/>
    </x:xf>
    <x:xf numFmtId="0" fontId="9" fillId="20" borderId="55" xfId="0" applyNumberFormat="1" applyFont="1" applyFill="1" applyBorder="1" applyAlignment="1">
      <x:alignment horizontal="center" vertical="center" wrapText="1"/>
    </x:xf>
    <x:xf numFmtId="0" fontId="9" fillId="16" borderId="55" xfId="0" applyNumberFormat="1" applyFont="1" applyFill="1" applyBorder="1" applyAlignment="1">
      <x:alignment horizontal="center" vertical="center" wrapText="1"/>
    </x:xf>
    <x:xf numFmtId="0" fontId="9" fillId="17" borderId="55" xfId="0" applyNumberFormat="1" applyFont="1" applyFill="1" applyBorder="1" applyAlignment="1">
      <x:alignment horizontal="center" vertical="center" wrapText="1"/>
    </x:xf>
    <x:xf numFmtId="0" fontId="9" fillId="18" borderId="45" xfId="0" applyNumberFormat="1" applyFont="1" applyFill="1" applyBorder="1" applyAlignment="1">
      <x:alignment horizontal="center" vertical="center" wrapText="1"/>
    </x:xf>
    <x:xf numFmtId="0" fontId="9" fillId="20" borderId="45" xfId="0" applyNumberFormat="1" applyFont="1" applyFill="1" applyBorder="1" applyAlignment="1">
      <x:alignment horizontal="center" vertical="center" wrapText="1"/>
    </x:xf>
    <x:xf numFmtId="0" fontId="9" fillId="16" borderId="45" xfId="0" applyNumberFormat="1" applyFont="1" applyFill="1" applyBorder="1" applyAlignment="1">
      <x:alignment horizontal="center" vertical="center" wrapText="1"/>
    </x:xf>
    <x:xf numFmtId="0" fontId="9" fillId="17" borderId="45" xfId="0" applyNumberFormat="1" applyFont="1" applyFill="1" applyBorder="1" applyAlignment="1">
      <x:alignment horizontal="center" vertical="center" wrapText="1"/>
    </x:xf>
    <x:xf numFmtId="0" fontId="9" fillId="19" borderId="45" xfId="0" applyNumberFormat="1" applyFont="1" applyFill="1" applyBorder="1" applyAlignment="1">
      <x:alignment horizontal="center" vertical="center" wrapText="1"/>
    </x:xf>
    <x:xf numFmtId="0" fontId="9" fillId="18" borderId="60" xfId="0" applyNumberFormat="1" applyFont="1" applyFill="1" applyBorder="1" applyAlignment="1">
      <x:alignment horizontal="center" vertical="center" wrapText="1"/>
    </x:xf>
    <x:xf numFmtId="0" fontId="9" fillId="20" borderId="60" xfId="0" applyNumberFormat="1" applyFont="1" applyFill="1" applyBorder="1" applyAlignment="1">
      <x:alignment horizontal="center" vertical="center" wrapText="1"/>
    </x:xf>
    <x:xf numFmtId="0" fontId="9" fillId="16" borderId="60" xfId="0" applyNumberFormat="1" applyFont="1" applyFill="1" applyBorder="1" applyAlignment="1">
      <x:alignment horizontal="center" vertical="center" wrapText="1"/>
    </x:xf>
    <x:xf numFmtId="0" fontId="9" fillId="17" borderId="60" xfId="0" applyNumberFormat="1" applyFont="1" applyFill="1" applyBorder="1" applyAlignment="1">
      <x:alignment horizontal="center" vertical="center" wrapText="1"/>
    </x:xf>
    <x:xf numFmtId="0" fontId="3" fillId="16" borderId="63" xfId="0" applyNumberFormat="1" applyFont="1" applyFill="1" applyBorder="1" applyAlignment="1">
      <x:alignment vertical="top" wrapText="1"/>
    </x:xf>
    <x:xf numFmtId="0" fontId="3" fillId="16" borderId="65" xfId="0" applyNumberFormat="1" applyFont="1" applyFill="1" applyBorder="1" applyAlignment="1">
      <x:alignment vertical="top" wrapText="1"/>
    </x:xf>
    <x:xf numFmtId="0" fontId="3" fillId="16" borderId="63" xfId="0" applyNumberFormat="1" applyFont="1" applyFill="1" applyBorder="1" applyAlignment="1">
      <x:alignment horizontal="center" vertical="top" wrapText="1"/>
    </x:xf>
    <x:xf numFmtId="0" fontId="3" fillId="16" borderId="65" xfId="0" applyNumberFormat="1" applyFont="1" applyFill="1" applyBorder="1" applyAlignment="1">
      <x:alignment horizontal="center" vertical="top" wrapText="1"/>
    </x:xf>
    <x:xf numFmtId="0" fontId="3" fillId="16" borderId="63" xfId="0" applyNumberFormat="1" applyFont="1" applyFill="1" applyBorder="1" applyAlignment="1">
      <x:alignment horizontal="center" vertical="center" wrapText="1"/>
    </x:xf>
    <x:xf numFmtId="0" fontId="0" fillId="16" borderId="53" xfId="0" applyNumberFormat="1" applyFont="1" applyFill="1" applyBorder="1" applyAlignment="1">
      <x:alignment vertical="center" wrapText="1"/>
    </x:xf>
    <x:xf numFmtId="0" fontId="0" fillId="16" borderId="56" xfId="0" applyNumberFormat="1" applyFont="1" applyFill="1" applyBorder="1" applyAlignment="1">
      <x:alignment vertical="center" wrapText="1"/>
    </x:xf>
    <x:xf numFmtId="0" fontId="3" fillId="16" borderId="65" xfId="0" applyNumberFormat="1" applyFont="1" applyFill="1" applyBorder="1" applyAlignment="1">
      <x:alignment horizontal="center" vertical="center" wrapText="1"/>
    </x:xf>
    <x:xf numFmtId="0" fontId="0" fillId="16" borderId="58" xfId="0" applyNumberFormat="1" applyFont="1" applyFill="1" applyBorder="1" applyAlignment="1">
      <x:alignment vertical="center" wrapText="1"/>
    </x:xf>
    <x:xf numFmtId="0" fontId="0" fillId="16" borderId="61"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0" fillId="5" borderId="0" xfId="0" applyNumberFormat="1" applyFont="1" applyFill="1" applyBorder="1"/>
    <x:xf numFmtId="0" fontId="0" fillId="6" borderId="0" xfId="0" applyNumberFormat="1" applyFont="1" applyFill="1" applyBorder="1"/>
    <x:xf numFmtId="0" fontId="3" fillId="7" borderId="0" xfId="0" applyNumberFormat="1" applyFont="1" applyFill="1" applyBorder="1" applyAlignment="1">
      <x:alignment vertical="center"/>
    </x:xf>
    <x:xf numFmtId="0" fontId="0" fillId="5" borderId="0"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3" fillId="6"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6" fillId="2" borderId="0" xfId="0" applyNumberFormat="1" applyFont="1" applyFill="1" applyBorder="1"/>
    <x:xf numFmtId="0" fontId="4" fillId="3" borderId="0" xfId="0" applyNumberFormat="1" applyFont="1" applyFill="1" applyBorder="1" applyAlignment="1">
      <x:alignment wrapText="1"/>
    </x:xf>
    <x:xf numFmtId="0" fontId="7" fillId="6" borderId="0" xfId="0" applyNumberFormat="1" applyFont="1" applyFill="1" applyBorder="1"/>
    <x:xf numFmtId="0" fontId="4" fillId="13" borderId="0" xfId="0" applyNumberFormat="1" applyFont="1" applyFill="1" applyBorder="1" applyAlignment="1">
      <x:alignment wrapText="1"/>
    </x:xf>
    <x:xf numFmtId="0" fontId="6" fillId="11" borderId="21" xfId="0" applyNumberFormat="1" applyFont="1" applyFill="1" applyBorder="1"/>
    <x:xf numFmtId="0" fontId="6" fillId="11" borderId="22" xfId="0" applyNumberFormat="1" applyFont="1" applyFill="1" applyBorder="1"/>
    <x:xf numFmtId="0" fontId="6" fillId="11" borderId="23" xfId="0" applyNumberFormat="1" applyFont="1" applyFill="1" applyBorder="1"/>
    <x:xf numFmtId="0" fontId="7" fillId="6" borderId="24" xfId="0" applyNumberFormat="1" applyFont="1" applyFill="1" applyBorder="1"/>
    <x:xf numFmtId="0" fontId="7" fillId="6" borderId="25"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4" fillId="13" borderId="24" xfId="0" applyNumberFormat="1" applyFont="1" applyFill="1" applyBorder="1" applyAlignment="1">
      <x:alignment wrapText="1"/>
    </x:xf>
    <x:xf numFmtId="0" fontId="4" fillId="13" borderId="25"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8" xfId="0" applyNumberFormat="1" applyFont="1" applyFill="1" applyBorder="1" applyAlignment="1">
      <x:alignment wrapText="1"/>
    </x:xf>
    <x:xf numFmtId="0" fontId="3" fillId="4" borderId="0" xfId="0" applyNumberFormat="1" applyFont="1" applyFill="1" applyBorder="1" applyAlignment="1">
      <x:alignment vertical="top"/>
    </x:xf>
    <x:xf numFmtId="0" fontId="5" fillId="0" borderId="29" xfId="0" applyNumberFormat="1" applyFont="1" applyFill="1" applyBorder="1" applyAlignment="1">
      <x:alignment vertical="top" wrapText="1"/>
    </x:xf>
    <x:xf numFmtId="0" fontId="0" fillId="5" borderId="29" xfId="0" applyNumberFormat="1" applyFont="1" applyFill="1" applyBorder="1" applyAlignment="1">
      <x:alignment vertical="top" wrapText="1"/>
    </x:xf>
    <x:xf numFmtId="0" fontId="0" fillId="6" borderId="29" xfId="0" applyNumberFormat="1" applyFont="1" applyFill="1" applyBorder="1" applyAlignment="1">
      <x:alignment vertical="center" wrapText="1"/>
    </x:xf>
    <x:xf numFmtId="0" fontId="3" fillId="4" borderId="29" xfId="0" applyNumberFormat="1" applyFont="1" applyFill="1" applyBorder="1" applyAlignment="1">
      <x:alignment vertical="center"/>
    </x:xf>
    <x:xf numFmtId="0" fontId="0" fillId="6" borderId="29"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3" fillId="4" borderId="29" xfId="0" applyNumberFormat="1" applyFont="1" applyFill="1" applyBorder="1" applyAlignment="1">
      <x:alignment vertical="center" wrapText="1"/>
    </x:xf>
    <x:xf numFmtId="0" fontId="0" fillId="0" borderId="29" xfId="0" applyNumberFormat="1" applyFont="1" applyFill="1" applyBorder="1" applyAlignment="1">
      <x:alignment horizontal="center" vertical="top" wrapText="1"/>
    </x:xf>
    <x:xf numFmtId="0" fontId="3" fillId="0" borderId="0" xfId="0" applyNumberFormat="1" applyFont="1" applyFill="1" applyBorder="1" applyAlignment="1">
      <x:alignment vertical="center"/>
    </x:xf>
    <x:xf numFmtId="164" fontId="0" fillId="5" borderId="29" xfId="0" applyNumberFormat="1" applyFont="1" applyFill="1" applyBorder="1" applyAlignment="1">
      <x:alignment vertical="top" wrapText="1"/>
    </x:xf>
    <x:xf numFmtId="0" fontId="0" fillId="6" borderId="29" xfId="0" applyNumberFormat="1" applyFont="1" applyFill="1" applyBorder="1" applyAlignment="1">
      <x:alignment vertical="top" wrapText="1"/>
    </x:xf>
    <x:xf numFmtId="0" fontId="0" fillId="5" borderId="29" xfId="0" applyNumberFormat="1" applyFont="1" applyFill="1" applyBorder="1" applyAlignment="1">
      <x:alignment horizontal="left" vertical="top" wrapText="1"/>
    </x:xf>
    <x:xf numFmtId="0" fontId="3" fillId="4" borderId="29" xfId="0" applyNumberFormat="1" applyFont="1" applyFill="1" applyBorder="1" applyAlignment="1">
      <x:alignment horizontal="left" vertical="top" wrapText="1"/>
    </x:xf>
    <x:xf numFmtId="0" fontId="0" fillId="0" borderId="0" xfId="0" applyNumberFormat="1" applyFont="1" applyFill="1" applyBorder="1" applyAlignment="1">
      <x:alignment horizontal="center"/>
    </x:xf>
    <x:xf numFmtId="0" fontId="3" fillId="0" borderId="29" xfId="0" applyNumberFormat="1" applyFont="1" applyFill="1" applyBorder="1" applyAlignment="1">
      <x:alignment horizontal="center" vertical="center"/>
    </x:xf>
    <x:xf numFmtId="164" fontId="0" fillId="0" borderId="29" xfId="0" applyNumberFormat="1" applyFont="1" applyFill="1" applyBorder="1" applyAlignment="1">
      <x:alignment horizontal="center" vertical="top" wrapText="1"/>
    </x:xf>
    <x:xf numFmtId="0" fontId="3" fillId="0" borderId="29" xfId="0" applyNumberFormat="1" applyFont="1" applyFill="1" applyBorder="1" applyAlignment="1">
      <x:alignment vertical="center"/>
    </x:xf>
    <x:xf numFmtId="164" fontId="0" fillId="0" borderId="29"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0" fillId="6" borderId="30" xfId="0" applyNumberFormat="1" applyFont="1" applyFill="1" applyBorder="1" applyAlignment="1">
      <x:alignment horizontal="center" vertical="center" wrapText="1"/>
    </x:xf>
    <x:xf numFmtId="0" fontId="0" fillId="6" borderId="31" xfId="0" applyNumberFormat="1" applyFont="1" applyFill="1" applyBorder="1" applyAlignment="1">
      <x:alignment horizontal="center" vertical="center" wrapText="1"/>
    </x:xf>
    <x:xf numFmtId="0" fontId="0" fillId="15" borderId="29" xfId="0" applyNumberFormat="1" applyFont="1" applyFill="1" applyBorder="1" applyAlignment="1">
      <x:alignment horizontal="center" vertical="center" wrapText="1"/>
    </x:xf>
    <x:xf numFmtId="2" fontId="0" fillId="6" borderId="30" xfId="0" applyNumberFormat="1" applyFont="1" applyFill="1" applyBorder="1" applyAlignment="1">
      <x:alignment horizontal="center" vertical="center" wrapText="1"/>
    </x:xf>
    <x:xf numFmtId="2" fontId="0" fillId="6" borderId="31" xfId="0" applyNumberFormat="1" applyFont="1" applyFill="1" applyBorder="1" applyAlignment="1">
      <x:alignment horizontal="center" vertical="center" wrapText="1"/>
    </x:xf>
    <x:xf numFmtId="2" fontId="0" fillId="15" borderId="30" xfId="0" applyNumberFormat="1" applyFont="1" applyFill="1" applyBorder="1" applyAlignment="1">
      <x:alignment horizontal="center" vertical="center" wrapText="1"/>
    </x:xf>
    <x:xf numFmtId="2" fontId="0" fillId="15" borderId="31"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top" wrapText="1"/>
    </x:xf>
    <x:xf numFmtId="0" fontId="0" fillId="0" borderId="29" xfId="0" applyNumberFormat="1" applyFont="1" applyFill="1" applyBorder="1" applyAlignment="1">
      <x:alignment horizontal="center" vertical="center" wrapText="1"/>
    </x:xf>
    <x:xf numFmtId="0" fontId="3" fillId="4" borderId="32" xfId="0" applyNumberFormat="1" applyFont="1" applyFill="1" applyBorder="1" applyAlignment="1">
      <x:alignment horizontal="center" vertical="center" wrapText="1"/>
    </x:xf>
    <x:xf numFmtId="0" fontId="3" fillId="4" borderId="33"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x:xf>
    <x:xf numFmtId="0" fontId="5" fillId="0" borderId="0" xfId="0" applyNumberFormat="1" applyFont="1" applyFill="1" applyBorder="1" applyAlignment="1">
      <x:alignment horizontal="center" vertical="top" wrapText="1"/>
    </x:xf>
    <x:xf numFmtId="0" fontId="0" fillId="0" borderId="34" xfId="0" applyNumberFormat="1" applyFont="1" applyFill="1" applyBorder="1"/>
    <x:xf numFmtId="0" fontId="0" fillId="5" borderId="29" xfId="0" applyNumberFormat="1" applyFont="1" applyFill="1" applyBorder="1" applyAlignment="1">
      <x:alignment horizontal="center" vertical="top" wrapText="1"/>
    </x:xf>
    <x:xf numFmtId="0" fontId="3" fillId="4" borderId="29" xfId="0" applyNumberFormat="1" applyFont="1" applyFill="1" applyBorder="1" applyAlignment="1">
      <x:alignment horizontal="center" vertical="center"/>
    </x:xf>
    <x:xf numFmtId="0" fontId="3" fillId="4" borderId="32" xfId="0" applyNumberFormat="1" applyFont="1" applyFill="1" applyBorder="1" applyAlignment="1">
      <x:alignment horizontal="center" vertical="center"/>
    </x:xf>
    <x:xf numFmtId="0" fontId="3" fillId="4" borderId="35" xfId="0" applyNumberFormat="1" applyFont="1" applyFill="1" applyBorder="1" applyAlignment="1">
      <x:alignment horizontal="center" vertical="center"/>
    </x:xf>
    <x:xf numFmtId="0" fontId="3" fillId="4" borderId="33" xfId="0" applyNumberFormat="1" applyFont="1" applyFill="1" applyBorder="1" applyAlignment="1">
      <x:alignment horizontal="center" vertical="center"/>
    </x:xf>
    <x:xf numFmtId="2" fontId="0" fillId="6" borderId="29" xfId="0" applyNumberFormat="1" applyFont="1" applyFill="1" applyBorder="1" applyAlignment="1">
      <x:alignment horizontal="center" vertical="center" wrapText="1"/>
    </x:xf>
    <x:xf numFmtId="2" fontId="0" fillId="6" borderId="29" xfId="0" applyNumberFormat="1" applyFont="1" applyFill="1" applyBorder="1" applyAlignment="1">
      <x:alignment vertical="top" wrapText="1"/>
    </x:xf>
    <x:xf numFmtId="164" fontId="0" fillId="5" borderId="29" xfId="0" applyNumberFormat="1" applyFont="1" applyFill="1" applyBorder="1" applyAlignment="1">
      <x:alignment horizontal="left" vertical="top" wrapText="1"/>
    </x:xf>
    <x:xf numFmtId="0" fontId="3" fillId="4" borderId="33" xfId="0" applyNumberFormat="1" applyFont="1" applyFill="1" applyBorder="1" applyAlignment="1">
      <x:alignment horizontal="center" vertical="top"/>
    </x:xf>
    <x:xf numFmtId="0" fontId="3" fillId="0" borderId="29" xfId="0" applyNumberFormat="1" applyFont="1" applyFill="1" applyBorder="1" applyAlignment="1">
      <x:alignment vertical="top"/>
    </x:xf>
    <x:xf numFmtId="0" fontId="8" fillId="5" borderId="0" xfId="0" applyNumberFormat="1" applyFont="1" applyFill="1" applyBorder="1"/>
    <x:xf numFmtId="0" fontId="8" fillId="6" borderId="0" xfId="0" applyNumberFormat="1" applyFont="1" applyFill="1" applyBorder="1"/>
    <x:xf numFmtId="0" fontId="0" fillId="4" borderId="0"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0" fillId="4" borderId="29" xfId="0" applyNumberFormat="1" applyFont="1" applyFill="1" applyBorder="1" applyAlignment="1">
      <x:alignment vertical="top" wrapText="1"/>
    </x:xf>
    <x:xf numFmtId="0" fontId="0" fillId="5" borderId="53" xfId="0" applyNumberFormat="1" applyFont="1" applyFill="1" applyBorder="1" applyAlignment="1">
      <x:alignment vertical="top" wrapText="1"/>
    </x:xf>
    <x:xf numFmtId="0" fontId="0" fillId="6" borderId="55" xfId="0" applyNumberFormat="1" applyFont="1" applyFill="1" applyBorder="1" applyAlignment="1">
      <x:alignment vertical="top" wrapText="1"/>
    </x:xf>
    <x:xf numFmtId="0" fontId="0" fillId="4" borderId="55" xfId="0" applyNumberFormat="1" applyFont="1" applyFill="1" applyBorder="1" applyAlignment="1">
      <x:alignment vertical="top" wrapText="1"/>
    </x:xf>
    <x:xf numFmtId="0" fontId="0" fillId="5" borderId="55" xfId="0" applyNumberFormat="1" applyFont="1" applyFill="1" applyBorder="1" applyAlignment="1">
      <x:alignment vertical="top" wrapText="1"/>
    </x:xf>
    <x:xf numFmtId="0" fontId="0" fillId="6" borderId="55" xfId="0" applyNumberFormat="1" applyFont="1" applyFill="1" applyBorder="1" applyAlignment="1">
      <x:alignment vertical="center" wrapText="1"/>
    </x:xf>
    <x:xf numFmtId="0" fontId="0" fillId="5" borderId="56" xfId="0" applyNumberFormat="1" applyFont="1" applyFill="1" applyBorder="1" applyAlignment="1">
      <x:alignment vertical="top" wrapText="1"/>
    </x:xf>
    <x:xf numFmtId="0" fontId="0" fillId="4" borderId="29" xfId="0" applyNumberFormat="1" applyFont="1" applyFill="1" applyBorder="1" applyAlignment="1">
      <x:alignment horizontal="center" vertical="top" wrapText="1"/>
    </x:xf>
    <x:xf numFmtId="0" fontId="0" fillId="6" borderId="29" xfId="0" applyNumberFormat="1" applyFont="1" applyFill="1" applyBorder="1" applyAlignment="1">
      <x:alignment horizontal="center" vertical="top" wrapText="1"/>
    </x:xf>
    <x:xf numFmtId="0" fontId="0" fillId="4" borderId="55" xfId="0" applyNumberFormat="1" applyFont="1" applyFill="1" applyBorder="1" applyAlignment="1">
      <x:alignment horizontal="center" vertical="top" wrapText="1"/>
    </x:xf>
    <x:xf numFmtId="0" fontId="0" fillId="5" borderId="55" xfId="0" applyNumberFormat="1" applyFont="1" applyFill="1" applyBorder="1" applyAlignment="1">
      <x:alignment horizontal="center" vertical="top" wrapText="1"/>
    </x:xf>
    <x:xf numFmtId="0" fontId="0" fillId="6" borderId="55" xfId="0" applyNumberFormat="1" applyFont="1" applyFill="1" applyBorder="1" applyAlignment="1">
      <x:alignment horizontal="center" vertical="top" wrapText="1"/>
    </x:xf>
    <x:xf numFmtId="0" fontId="0" fillId="4" borderId="29" xfId="0" applyNumberFormat="1" applyFont="1" applyFill="1" applyBorder="1" applyAlignment="1">
      <x:alignment horizontal="center" vertical="center" wrapText="1"/>
    </x:xf>
    <x:xf numFmtId="0" fontId="0" fillId="5" borderId="29" xfId="0" applyNumberFormat="1" applyFont="1" applyFill="1" applyBorder="1" applyAlignment="1">
      <x:alignment horizontal="center" vertical="center" wrapText="1"/>
    </x:xf>
    <x:xf numFmtId="0" fontId="0" fillId="4" borderId="55" xfId="0" applyNumberFormat="1" applyFont="1" applyFill="1" applyBorder="1" applyAlignment="1">
      <x:alignment horizontal="center" vertical="center" wrapText="1"/>
    </x:xf>
    <x:xf numFmtId="0" fontId="0" fillId="5" borderId="55" xfId="0" applyNumberFormat="1" applyFont="1" applyFill="1" applyBorder="1" applyAlignment="1">
      <x:alignment horizontal="center" vertical="center" wrapText="1"/>
    </x:xf>
    <x:xf numFmtId="0" fontId="0" fillId="6" borderId="55" xfId="0" applyNumberFormat="1" applyFont="1" applyFill="1" applyBorder="1" applyAlignment="1">
      <x:alignment horizontal="center" vertical="center" wrapText="1"/>
    </x:xf>
    <x:xf numFmtId="0" fontId="3" fillId="6" borderId="30" xfId="0" applyNumberFormat="1" applyFont="1" applyFill="1" applyBorder="1" applyAlignment="1">
      <x:alignment horizontal="center" vertical="center" wrapText="1"/>
    </x:xf>
    <x:xf numFmtId="2" fontId="3" fillId="6" borderId="30" xfId="0" applyNumberFormat="1" applyFont="1" applyFill="1" applyBorder="1" applyAlignment="1">
      <x:alignment horizontal="center" vertical="center" wrapText="1"/>
    </x:xf>
    <x:xf numFmtId="0" fontId="3" fillId="6" borderId="29" xfId="0" applyNumberFormat="1" applyFont="1" applyFill="1" applyBorder="1" applyAlignment="1">
      <x:alignment horizontal="center" vertical="center" wrapText="1"/>
    </x:xf>
    <x:xf numFmtId="0" fontId="3" fillId="6" borderId="63" xfId="0" applyNumberFormat="1" applyFont="1" applyFill="1" applyBorder="1" applyAlignment="1">
      <x:alignment horizontal="center" vertical="center" wrapText="1"/>
    </x:xf>
    <x:xf numFmtId="0" fontId="3" fillId="6" borderId="53" xfId="0" applyNumberFormat="1" applyFont="1" applyFill="1" applyBorder="1" applyAlignment="1">
      <x:alignment horizontal="center" vertical="center" wrapText="1"/>
    </x:xf>
    <x:xf numFmtId="2" fontId="3" fillId="6" borderId="53" xfId="0" applyNumberFormat="1" applyFont="1" applyFill="1" applyBorder="1" applyAlignment="1">
      <x:alignment horizontal="center" vertical="center" wrapText="1"/>
    </x:xf>
    <x:xf numFmtId="0" fontId="3" fillId="6" borderId="56" xfId="0" applyNumberFormat="1" applyFont="1" applyFill="1" applyBorder="1" applyAlignment="1">
      <x:alignment horizontal="center" vertical="center" wrapText="1"/>
    </x:xf>
    <x:xf numFmtId="2" fontId="3" fillId="6" borderId="29" xfId="0" applyNumberFormat="1" applyFont="1" applyFill="1" applyBorder="1" applyAlignment="1">
      <x:alignment horizontal="center" vertical="center" wrapText="1"/>
    </x:xf>
    <x:xf numFmtId="0" fontId="0" fillId="4" borderId="29" xfId="0" applyNumberFormat="1" applyFont="1" applyFill="1" applyBorder="1" applyAlignment="1">
      <x:alignment horizontal="left" vertical="top" wrapText="1"/>
    </x:xf>
    <x:xf numFmtId="0" fontId="0" fillId="4" borderId="53" xfId="0" applyNumberFormat="1" applyFont="1" applyFill="1" applyBorder="1" applyAlignment="1">
      <x:alignment vertical="top" wrapText="1"/>
    </x:xf>
    <x:xf numFmtId="0" fontId="0" fillId="4" borderId="53" xfId="0" applyNumberFormat="1" applyFont="1" applyFill="1" applyBorder="1" applyAlignment="1">
      <x:alignment horizontal="left" vertical="top" wrapText="1"/>
    </x:xf>
    <x:xf numFmtId="0" fontId="0" fillId="5" borderId="63" xfId="0" applyNumberFormat="1" applyFont="1" applyFill="1" applyBorder="1" applyAlignment="1">
      <x:alignment vertical="top" wrapText="1"/>
    </x:xf>
    <x:xf numFmtId="0" fontId="3" fillId="6" borderId="29" xfId="0" applyNumberFormat="1" applyFont="1" applyFill="1" applyBorder="1" applyAlignment="1">
      <x:alignment vertical="top" wrapText="1"/>
    </x:xf>
    <x:xf numFmtId="2" fontId="3" fillId="6" borderId="29" xfId="0" applyNumberFormat="1" applyFont="1" applyFill="1" applyBorder="1" applyAlignment="1">
      <x:alignment vertical="top" wrapText="1"/>
    </x:xf>
    <x:xf numFmtId="164" fontId="0" fillId="5" borderId="29" xfId="0" applyNumberFormat="1" applyFont="1" applyFill="1" applyBorder="1" applyAlignment="1">
      <x:alignment horizontal="center" vertical="top" wrapText="1"/>
    </x:xf>
    <x:xf numFmtId="164" fontId="0" fillId="5" borderId="53" xfId="0" applyNumberFormat="1" applyFont="1" applyFill="1" applyBorder="1" applyAlignment="1">
      <x:alignment horizontal="left" vertical="top" wrapText="1"/>
    </x:xf>
    <x:xf numFmtId="2" fontId="3" fillId="6" borderId="55" xfId="0" applyNumberFormat="1" applyFont="1" applyFill="1" applyBorder="1" applyAlignment="1">
      <x:alignment vertical="top" wrapText="1"/>
    </x:xf>
    <x:xf numFmtId="164" fontId="0" fillId="5" borderId="55" xfId="0" applyNumberFormat="1" applyFont="1" applyFill="1" applyBorder="1" applyAlignment="1">
      <x:alignment vertical="top" wrapText="1"/>
    </x:xf>
    <x:xf numFmtId="0" fontId="0" fillId="5" borderId="53" xfId="0" applyNumberFormat="1" applyFont="1" applyFill="1" applyBorder="1" applyAlignment="1">
      <x:alignment horizontal="center" vertical="top" wrapText="1"/>
    </x:xf>
    <x:xf numFmtId="164" fontId="0" fillId="5" borderId="53" xfId="0" applyNumberFormat="1" applyFont="1" applyFill="1" applyBorder="1" applyAlignment="1">
      <x:alignment horizontal="center" vertical="top" wrapText="1"/>
    </x:xf>
    <x:xf numFmtId="164" fontId="0" fillId="5" borderId="56" xfId="0" applyNumberFormat="1" applyFont="1" applyFill="1" applyBorder="1" applyAlignment="1">
      <x:alignment horizontal="center" vertical="top" wrapText="1"/>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5" borderId="0" xfId="0" applyNumberFormat="1" applyFont="1" applyFill="1" applyBorder="1" applyAlignment="1">
      <x:alignment horizontal="center"/>
    </x:xf>
    <x:xf numFmtId="0" fontId="8" fillId="5" borderId="0" xfId="0" applyNumberFormat="1" applyFont="1" applyFill="1" applyBorder="1" applyAlignment="1">
      <x:alignment horizontal="center" vertical="center"/>
    </x:xf>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8" fillId="5" borderId="0" xfId="0" applyNumberFormat="1" applyFont="1" applyFill="1" applyBorder="1" applyAlignment="1">
      <x:alignment horizontal="center" vertical="center" wrapText="1"/>
    </x:xf>
    <x:xf numFmtId="0" fontId="8" fillId="6" borderId="0" xfId="0" applyNumberFormat="1" applyFont="1" applyFill="1" applyBorder="1" applyAlignment="1">
      <x:alignment horizontal="center" vertical="center" wrapText="1"/>
    </x:xf>
    <x:xf numFmtId="0" fontId="9" fillId="4" borderId="29" xfId="0" applyNumberFormat="1" applyFont="1" applyFill="1" applyBorder="1" applyAlignment="1">
      <x:alignment horizontal="center" vertical="center" wrapText="1"/>
    </x:xf>
    <x:xf numFmtId="0" fontId="9" fillId="5" borderId="29" xfId="0" applyNumberFormat="1" applyFont="1" applyFill="1" applyBorder="1" applyAlignment="1">
      <x:alignment horizontal="center" vertical="center" wrapText="1"/>
    </x:xf>
    <x:xf numFmtId="0" fontId="9" fillId="6" borderId="29" xfId="0" applyNumberFormat="1" applyFont="1" applyFill="1" applyBorder="1" applyAlignment="1">
      <x:alignment horizontal="center" vertical="center" wrapText="1"/>
    </x:xf>
    <x:xf numFmtId="0" fontId="9" fillId="4" borderId="55" xfId="0" applyNumberFormat="1" applyFont="1" applyFill="1" applyBorder="1" applyAlignment="1">
      <x:alignment horizontal="center" vertical="center" wrapText="1"/>
    </x:xf>
    <x:xf numFmtId="0" fontId="9" fillId="5" borderId="55" xfId="0" applyNumberFormat="1" applyFont="1" applyFill="1" applyBorder="1" applyAlignment="1">
      <x:alignment horizontal="center" vertical="center" wrapText="1"/>
    </x:xf>
    <x:xf numFmtId="0" fontId="9" fillId="6" borderId="55" xfId="0" applyNumberFormat="1" applyFont="1" applyFill="1" applyBorder="1" applyAlignment="1">
      <x:alignment horizontal="center" vertical="center" wrapText="1"/>
    </x:xf>
    <x:xf numFmtId="0" fontId="3" fillId="5" borderId="63" xfId="0" applyNumberFormat="1" applyFont="1" applyFill="1" applyBorder="1" applyAlignment="1">
      <x:alignment vertical="top" wrapText="1"/>
    </x:xf>
    <x:xf numFmtId="0" fontId="3" fillId="5" borderId="63" xfId="0" applyNumberFormat="1" applyFont="1" applyFill="1" applyBorder="1" applyAlignment="1">
      <x:alignment horizontal="center" vertical="top" wrapText="1"/>
    </x:xf>
    <x:xf numFmtId="0" fontId="3" fillId="5" borderId="63" xfId="0" applyNumberFormat="1" applyFont="1" applyFill="1" applyBorder="1" applyAlignment="1">
      <x:alignment horizontal="center" vertical="center" wrapText="1"/>
    </x:xf>
    <x:xf numFmtId="0" fontId="0" fillId="5" borderId="53" xfId="0" applyNumberFormat="1" applyFont="1" applyFill="1" applyBorder="1" applyAlignment="1">
      <x:alignment vertical="center" wrapText="1"/>
    </x:xf>
    <x:xf numFmtId="0" fontId="0" fillId="5" borderId="56" xfId="0" applyNumberFormat="1" applyFont="1" applyFill="1" applyBorder="1" applyAlignment="1">
      <x:alignment vertical="center" wrapText="1"/>
    </x:xf>
    <x:xf numFmtId="0" fontId="6" fillId="11" borderId="21" xfId="0" applyNumberFormat="1" applyFont="1" applyFill="1" applyBorder="1" applyAlignment="1">
      <x:alignment wrapText="1"/>
    </x:xf>
    <x:xf numFmtId="0" fontId="6" fillId="11" borderId="22" xfId="0" applyNumberFormat="1" applyFont="1" applyFill="1" applyBorder="1" applyAlignment="1">
      <x:alignment wrapText="1"/>
    </x:xf>
    <x:xf numFmtId="0" fontId="6" fillId="11" borderId="23" xfId="0" applyNumberFormat="1" applyFont="1" applyFill="1" applyBorder="1" applyAlignment="1">
      <x:alignment wrapText="1"/>
    </x:xf>
    <x:xf numFmtId="0" fontId="7" fillId="6" borderId="24"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25" xfId="0" applyNumberFormat="1" applyFont="1" applyFill="1" applyBorder="1" applyAlignment="1">
      <x:alignment wrapText="1"/>
    </x:xf>
  </x:cellXfs>
  <x:cellStyles count="1">
    <x:cellStyle name="Normal" xfId="0"/>
  </x:cellStyles>
  <x:dxfs count="10">
    <x:dxf>
      <x:fill>
        <x:patternFill>
          <x:bgColor rgb="FFF4CCCC"/>
        </x:patternFill>
      </x:fill>
    </x:dxf>
    <x:dxf>
      <x:fill>
        <x:patternFill>
          <x:bgColor rgb="FFFCE5CD"/>
        </x:patternFill>
      </x:fill>
    </x:dxf>
    <x:dxf>
      <x:fill>
        <x:patternFill>
          <x:bgColor rgb="FFFFF2CC"/>
        </x:patternFill>
      </x:fill>
    </x:dxf>
    <x:dxf>
      <x:fill>
        <x:patternFill>
          <x:bgColor rgb="FFE2F0D9"/>
        </x:patternFill>
      </x:fill>
    </x:dxf>
    <x:dxf>
      <x:fill>
        <x:patternFill>
          <x:bgColor rgb="FFE7E6E6"/>
        </x:patternFill>
      </x:fill>
    </x:dxf>
    <x:dxf>
      <x:fill>
        <x:patternFill>
          <x:bgColor rgb="FFF4CCCC"/>
        </x:patternFill>
      </x:fill>
    </x:dxf>
    <x:dxf>
      <x:fill>
        <x:patternFill>
          <x:bgColor rgb="FFFCE5CD"/>
        </x:patternFill>
      </x:fill>
    </x:dxf>
    <x:dxf>
      <x:fill>
        <x:patternFill>
          <x:bgColor rgb="FFE7E6E6"/>
        </x:patternFill>
      </x:fill>
    </x:dxf>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24d6a6ca164c4f" /><Relationship Type="http://schemas.openxmlformats.org/officeDocument/2006/relationships/theme" Target="/xl/theme/theme1.xml" Id="R94630dc195044928" /><Relationship Type="http://schemas.openxmlformats.org/officeDocument/2006/relationships/sharedStrings" Target="/xl/sharedStrings.xml" Id="R995ccd8e8ace4eaa" /><Relationship Type="http://schemas.openxmlformats.org/officeDocument/2006/relationships/worksheet" Target="/xl/worksheets/sheet1.xml" Id="Rebe95955f6e84218" /><Relationship Type="http://schemas.openxmlformats.org/officeDocument/2006/relationships/worksheet" Target="/xl/worksheets/sheet2.xml" Id="Re0c64f2105004480" /><Relationship Type="http://schemas.openxmlformats.org/officeDocument/2006/relationships/worksheet" Target="/xl/worksheets/sheet3.xml" Id="R8ca9b359166d4d4a" /><Relationship Type="http://schemas.openxmlformats.org/officeDocument/2006/relationships/worksheet" Target="/xl/worksheets/sheet4.xml" Id="R689cd7863b824a7a" /><Relationship Type="http://schemas.openxmlformats.org/officeDocument/2006/relationships/worksheet" Target="/xl/worksheets/sheet5.xml" Id="R9a165dd8072f438e" /><Relationship Type="http://schemas.openxmlformats.org/officeDocument/2006/relationships/worksheet" Target="/xl/worksheets/sheet6.xml" Id="R30cf94d3df864862" /><Relationship Type="http://schemas.openxmlformats.org/officeDocument/2006/relationships/worksheet" Target="/xl/worksheets/sheet7.xml" Id="R282efec9e8cb4ca2" /><Relationship Type="http://schemas.openxmlformats.org/officeDocument/2006/relationships/worksheet" Target="/xl/worksheets/sheet8.xml" Id="Rf6fa73e92285427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1" customWidth="1"/>
    <x:col min="2" max="2" width="8" customWidth="1"/>
    <x:col min="3" max="3" width="38" customWidth="1"/>
    <x:col min="4" max="5" width="27" customWidth="1"/>
    <x:col min="6" max="6" width="22" customWidth="1"/>
    <x:col min="7" max="7" width="31" customWidth="1"/>
    <x:col min="8" max="8" width="9" customWidth="1"/>
    <x:col min="9" max="9" width="12" customWidth="1"/>
    <x:col min="10" max="10" width="31" customWidth="1"/>
    <x:col min="11" max="11" width="28" customWidth="1"/>
  </x:cols>
  <x:sheetData>
    <x:row r="1" ht="19.5">
      <x:c r="A1" s="1" t="s">
        <x:v>0</x:v>
      </x:c>
      <x:c r="B1" s="1"/>
      <x:c r="C1" s="1"/>
      <x:c r="D1" s="1"/>
      <x:c r="E1" s="1"/>
      <x:c r="F1" s="1"/>
      <x:c r="G1" s="1"/>
      <x:c r="H1" s="1"/>
      <x:c r="I1" s="1"/>
      <x:c r="J1" s="1"/>
      <x:c r="K1" s="1"/>
    </x:row>
    <x:row r="2" ht="63.75">
      <x:c r="A2" s="2" t="s">
        <x:v>1</x:v>
      </x:c>
      <x:c r="B2" s="2"/>
      <x:c r="C2" s="2"/>
      <x:c r="D2" s="2"/>
      <x:c r="E2" s="2"/>
      <x:c r="F2" s="2"/>
      <x:c r="G2" s="2"/>
      <x:c r="H2" s="2"/>
      <x:c r="I2" s="2"/>
      <x:c r="J2" s="2"/>
      <x:c r="K2" s="2"/>
    </x:row>
    <x:row r="3" ht="24" customHeight="1">
      <x:c r="A3" s="3" t="s">
        <x:v>2</x:v>
      </x:c>
      <x:c r="B3" s="547" t="str">
        <x:v>KUNING = input/reviewer</x:v>
      </x:c>
      <x:c r="C3" s="547" t="s">
        <x:v>3</x:v>
      </x:c>
      <x:c r="D3" s="548" t="str">
        <x:v>BIRU = data/hasil otomatis</x:v>
      </x:c>
      <x:c r="E3" s="548" t="str">
        <x:v>ABU = belum dapat dinilai</x:v>
      </x:c>
      <x:c r="F3" s="549" t="str">
        <x:v>HIJAU = dapat dinilai</x:v>
      </x:c>
      <x:c r="G3" s="549"/>
      <x:c r="H3" s="550" t="str">
        <x:v>ABU = belum dapat dinilai</x:v>
      </x:c>
      <x:c r="I3" s="550"/>
    </x:row>
    <x:row r="5" ht="15">
      <x:c r="A5" s="6" t="s">
        <x:v>4</x:v>
      </x:c>
      <x:c r="B5" s="6"/>
      <x:c r="C5" s="6"/>
      <x:c r="D5" s="6"/>
      <x:c r="E5" s="6"/>
      <x:c r="F5" s="555"/>
      <x:c r="G5" s="555"/>
      <x:c r="H5" s="555"/>
      <x:c r="I5" s="555"/>
      <x:c r="J5" s="555"/>
      <x:c r="K5" s="555"/>
    </x:row>
    <x:row r="6" ht="99.75" customHeight="1">
      <x:c r="A6" s="64" t="s">
        <x:v>5</x:v>
      </x:c>
      <x:c r="B6" s="245" t="str">
        <x:v>Sekolah Tinggi Agama Islam Natuna</x:v>
      </x:c>
      <x:c r="C6" s="106"/>
      <x:c r="D6" s="65" t="s">
        <x:v>6</x:v>
      </x:c>
      <x:c r="E6" s="247" t="str">
        <x:v>MoU W.32-HH.04.04-24 / 03/MOU/STAI-N/V/2026 — 8 Mei 2026</x:v>
      </x:c>
      <x:c r="F6" s="556"/>
      <x:c r="G6" s="556"/>
      <x:c r="H6" s="556"/>
      <x:c r="I6" s="556"/>
      <x:c r="J6" s="556"/>
      <x:c r="K6" s="556"/>
    </x:row>
    <x:row r="7" ht="117" customHeight="1">
      <x:c r="A7" s="66" t="s">
        <x:v>7</x:v>
      </x:c>
      <x:c r="B7" s="245" t="str">
        <x:v>Pelayanan Hukum dan Fasilitasi Tri Dharma Perguruan Tinggi: pendidikan/pengajaran; penelitian dan pengembangan hukum; pengabdian; MBKM; fasilitasi pendaftaran KI dan penguatan Sentra KI; pengembangan kompetensi SDM; asistensi JDIH; serta kegiatan lain yang disepakati.</x:v>
      </x:c>
      <x:c r="C7" s="107"/>
      <x:c r="D7" s="67" t="s">
        <x:v>8</x:v>
      </x:c>
      <x:c r="E7" s="247" t="str">
        <x:v>Update pasca-baseline s.d. 27 September 2026</x:v>
      </x:c>
      <x:c r="F7" s="556"/>
      <x:c r="G7" s="556"/>
      <x:c r="H7" s="556"/>
      <x:c r="I7" s="556"/>
      <x:c r="J7" s="556"/>
      <x:c r="K7" s="556"/>
    </x:row>
    <x:row r="8" ht="99.75" customHeight="1">
      <x:c r="A8" s="66" t="s">
        <x:v>9</x:v>
      </x:c>
      <x:c r="B8" s="249" t="str">
        <x:v>Pokja Data / Reviewer</x:v>
      </x:c>
      <x:c r="C8" s="107"/>
      <x:c r="D8" s="67" t="s">
        <x:v>10</x:v>
      </x:c>
      <x:c r="E8" s="251" t="str">
        <x:v>27 September 2026</x:v>
      </x:c>
      <x:c r="F8" s="556"/>
      <x:c r="G8" s="556"/>
      <x:c r="H8" s="556"/>
      <x:c r="I8" s="556"/>
      <x:c r="J8" s="556"/>
      <x:c r="K8" s="556"/>
    </x:row>
    <x:row r="9" ht="120.75" customHeight="1">
      <x:c r="A9" s="68" t="s">
        <x:v>11</x:v>
      </x:c>
      <x:c r="B9" s="245" t="str">
        <x:v>Mitra: Dedi Supriadi, SE (utama) dan Natuna Adi Putra, S.E (cadangan); peserta forum penguatan Hasmiza, M.Pd. PIC internal individual belum tercantum pada evidence terbaru.</x:v>
      </x:c>
      <x:c r="C9" s="108"/>
      <x:c r="D9" s="69" t="s">
        <x:v>12</x:v>
      </x:c>
      <x:c r="E9" s="247" t="str">
        <x:v>8 Mei 2026 s.d. 7 Mei 2031 — usia perjanjian 142 hari (&lt;6 bulan)</x:v>
      </x:c>
      <x:c r="F9" s="556"/>
      <x:c r="G9" s="556"/>
      <x:c r="H9" s="556"/>
      <x:c r="I9" s="556"/>
      <x:c r="J9" s="556"/>
      <x:c r="K9" s="556"/>
    </x:row>
    <x:row r="11" ht="15">
      <x:c r="A11" s="6" t="s">
        <x:v>13</x:v>
      </x:c>
      <x:c r="B11" s="6"/>
      <x:c r="C11" s="6"/>
      <x:c r="D11" s="6"/>
      <x:c r="E11" s="6"/>
      <x:c r="F11" s="6"/>
      <x:c r="G11" s="6"/>
      <x:c r="H11" s="6"/>
      <x:c r="I11" s="6"/>
      <x:c r="J11" s="6"/>
      <x:c r="K11" s="6"/>
    </x:row>
    <x:row r="12" ht="15">
      <x:c r="A12" s="267" t="s">
        <x:v>14</x:v>
      </x:c>
      <x:c r="B12" s="268" t="s">
        <x:v>15</x:v>
      </x:c>
      <x:c r="C12" s="268" t="s">
        <x:v>16</x:v>
      </x:c>
      <x:c r="D12" s="268" t="s">
        <x:v>17</x:v>
      </x:c>
      <x:c r="E12" s="268" t="s">
        <x:v>18</x:v>
      </x:c>
      <x:c r="F12" s="268" t="s">
        <x:v>19</x:v>
      </x:c>
      <x:c r="G12" s="268" t="s">
        <x:v>20</x:v>
      </x:c>
      <x:c r="H12" s="268" t="s">
        <x:v>21</x:v>
      </x:c>
      <x:c r="I12" s="268" t="s">
        <x:v>22</x:v>
      </x:c>
      <x:c r="J12" s="268" t="s">
        <x:v>23</x:v>
      </x:c>
      <x:c r="K12" s="269" t="s">
        <x:v>24</x:v>
      </x:c>
    </x:row>
    <x:row r="13" ht="81.94999694824219" customHeight="1">
      <x:c r="A13" s="270" t="s">
        <x:v>25</x:v>
      </x:c>
      <x:c r="B13" s="271">
        <x:v>10</x:v>
      </x:c>
      <x:c r="C13" s="272" t="s">
        <x:v>26</x:v>
      </x:c>
      <x:c r="D13" s="253" t="str">
        <x:v>Unit pengampu, PIC internal, PIC mitra, dan rencana tindak lanjut: BELUM TERSEDIA pada final baseline.</x:v>
      </x:c>
      <x:c r="E13" s="255" t="str">
        <x:v>PIC mitra utama/cadangan sudah jelas. Terdapat 7 usulan tindak lanjut yang rinci, lengkap dengan target waktu, hasil yang diharapkan, kebutuhan bantuan, dan pihak yang dilibatkan. PIC internal belum terdokumentasi.</x:v>
      </x:c>
      <x:c r="F13" s="559" t="str">
        <x:v>DAPAT DINILAI</x:v>
      </x:c>
      <x:c r="G13" s="560" t="str">
        <x:v>stai natuna.xlsx — IDENTITAS &amp; PIC; USULAN TINDAK LANJUT.</x:v>
      </x:c>
      <x:c r="H13" s="561" t="n">
        <x:v>2</x:v>
      </x:c>
      <x:c r="I13" s="562" t="n">
        <x:f t="shared" ref="I13:I19" si="0">IF(F13="DAPAT DINILAI",IF(ISNUMBER(H13),H13/4*B13,""),"")</x:f>
        <x:v>5</x:v>
      </x:c>
      <x:c r="J13" s="257" t="str">
        <x:v>Penanggung jawab mitra dan rencana tindak lanjut sudah cukup jelas, tetapi koordinasi internal dan kesiapan pelaksanaan belum teruji. Rubrik I1 skor 2.</x:v>
      </x:c>
      <x:c r="K13" s="273" t="str">
        <x:v>Tetapkan PIC internal/focal point dan susun kalender implementasi bersama untuk tujuh usulan prioritas.</x:v>
      </x:c>
    </x:row>
    <x:row r="14" ht="81.94999694824219" customHeight="1">
      <x:c r="A14" s="270" t="s">
        <x:v>27</x:v>
      </x:c>
      <x:c r="B14" s="271">
        <x:v>15</x:v>
      </x:c>
      <x:c r="C14" s="272" t="s">
        <x:v>28</x:v>
      </x:c>
      <x:c r="D14" s="253" t="str">
        <x:v>Pelaksanaan dan hasil: BELUM TERSEDIA pada final baseline.</x:v>
      </x:c>
      <x:c r="E14" s="255" t="str">
        <x:v>Belum ada kegiatan yang tercatat sudah/sedang dilaksanakan. Namun tujuh rencana tindak lanjut baru dijadwalkan mulai September–Oktober 2026 hingga 2027, sehingga pada 27 September 2026 sebagian besar target belum jatuh tempo.</x:v>
      </x:c>
      <x:c r="F14" s="559" t="str">
        <x:v>BELUM DAPAT DINILAI</x:v>
      </x:c>
      <x:c r="G14" s="560" t="str">
        <x:v>stai natuna.xlsx — RINGKASAN menunjukkan Total Kegiatan 0 dan 7 usulan tindak lanjut.</x:v>
      </x:c>
      <x:c r="H14" s="561"/>
      <x:c r="I14" s="562" t="str">
        <x:f t="shared" si="0">IF(F14="DAPAT DINILAI",IF(ISNUMBER(H14),H14/4*B14,""),"")</x:f>
      </x:c>
      <x:c r="J14" s="257" t="str">
        <x:v>Implementasi belum diberi skor karena masa pelaksanaan masih awal dan sebagian besar rencana baru mulai pada/ setelah periode penilaian.</x:v>
      </x:c>
      <x:c r="K14" s="273" t="str">
        <x:v>Pantau realisasi kegiatan pertama mulai Oktober 2026 dan nilai I2 setelah jadwal tindak lanjut mulai berjalan.</x:v>
      </x:c>
    </x:row>
    <x:row r="15" ht="81.94999694824219" customHeight="1">
      <x:c r="A15" s="270" t="s">
        <x:v>29</x:v>
      </x:c>
      <x:c r="B15" s="271">
        <x:v>15</x:v>
      </x:c>
      <x:c r="C15" s="272" t="s">
        <x:v>30</x:v>
      </x:c>
      <x:c r="D15" s="253" t="str">
        <x:v>Pelaksanaan dan eviden implementasi: BELUM TERSEDIA pada final baseline.</x:v>
      </x:c>
      <x:c r="E15" s="255" t="str">
        <x:v>Belum terdapat kegiatan aktual sehingga output pelaksanaan juga belum terbentuk pada periode penilaian.</x:v>
      </x:c>
      <x:c r="F15" s="559" t="str">
        <x:v>BELUM DAPAT DINILAI</x:v>
      </x:c>
      <x:c r="G15" s="560" t="str">
        <x:v>stai natuna.xlsx — PELAKSANAAN KEGIATAN kosong; 7 usulan masih berupa rencana.</x:v>
      </x:c>
      <x:c r="H15" s="561"/>
      <x:c r="I15" s="562" t="str">
        <x:f t="shared" si="0">IF(F15="DAPAT DINILAI",IF(ISNUMBER(H15),H15/4*B15,""),"")</x:f>
      </x:c>
      <x:c r="J15" s="257" t="str">
        <x:v>Output belum dinilai karena kegiatan yang direncanakan belum memasuki fase realisasi.</x:v>
      </x:c>
      <x:c r="K15" s="273" t="str">
        <x:v>Tetapkan output minimum per tindak lanjut: struktur Sentra KI, database potensi KI, kegiatan sosialisasi, klinik KI, dan sertifikat/pendaftaran.</x:v>
      </x:c>
    </x:row>
    <x:row r="16" ht="81.94999694824219" customHeight="1">
      <x:c r="A16" s="270" t="s">
        <x:v>31</x:v>
      </x:c>
      <x:c r="B16" s="271">
        <x:v>20</x:v>
      </x:c>
      <x:c r="C16" s="272" t="s">
        <x:v>32</x:v>
      </x:c>
      <x:c r="D16" s="253" t="str">
        <x:v>Final baseline belum memiliki data outcome/manfaat terukur.</x:v>
      </x:c>
      <x:c r="E16" s="255" t="str">
        <x:v>Outcome belum dapat diamati karena belum ada kegiatan aktual pada periode penilaian.</x:v>
      </x:c>
      <x:c r="F16" s="563" t="str">
        <x:v>BELUM DAPAT DINILAI</x:v>
      </x:c>
      <x:c r="G16" s="560" t="str">
        <x:v>stai natuna.xlsx — belum ada pelaksanaan; outcome masih berupa manfaat yang diharapkan pada usulan.</x:v>
      </x:c>
      <x:c r="H16" s="563"/>
      <x:c r="I16" s="563" t="str">
        <x:f t="shared" si="0">IF(F16="DAPAT DINILAI",IF(ISNUMBER(H16),H16/4*B16,""),"")</x:f>
      </x:c>
      <x:c r="J16" s="257" t="str">
        <x:v>Outcome belum memasuki periode penilaian yang memadai.</x:v>
      </x:c>
      <x:c r="K16" s="273" t="str">
        <x:v>Mulai kumpulkan indikator outcome setelah kegiatan pertama: peserta, database KI, pendaftaran, dan pemanfaatan Sentra KI.</x:v>
      </x:c>
    </x:row>
    <x:row r="17" ht="81.94999694824219" customHeight="1">
      <x:c r="A17" s="270" t="s">
        <x:v>33</x:v>
      </x:c>
      <x:c r="B17" s="271">
        <x:v>20</x:v>
      </x:c>
      <x:c r="C17" s="272" t="s">
        <x:v>34</x:v>
      </x:c>
      <x:c r="D17" s="253" t="str">
        <x:v>Final baseline belum memiliki data kontribusi/dampak terhadap kinerja atau pelayanan.</x:v>
      </x:c>
      <x:c r="E17" s="255" t="str">
        <x:v>Arah kontribusi sudah dirancang pada penguatan Sentra KI, pendaftaran KI, integrasi penelitian/PkM, dan potensi KI lokal Natuna, tetapi belum terealisasi.</x:v>
      </x:c>
      <x:c r="F17" s="563" t="str">
        <x:v>BELUM DAPAT DINILAI</x:v>
      </x:c>
      <x:c r="G17" s="560" t="str">
        <x:v>stai natuna.xlsx — 7 usulan tindak lanjut dan manfaat yang diharapkan.</x:v>
      </x:c>
      <x:c r="H17" s="563"/>
      <x:c r="I17" s="563" t="str">
        <x:f t="shared" si="0">IF(F17="DAPAT DINILAI",IF(ISNUMBER(H17),H17/4*B17,""),"")</x:f>
      </x:c>
      <x:c r="J17" s="257" t="str">
        <x:v>Kontribusi/dampak belum dinilai karena belum ada output/outcome aktual.</x:v>
      </x:c>
      <x:c r="K17" s="273" t="str">
        <x:v>Nilai I5 setelah outcome mulai terbentuk dan dapat dihubungkan dengan pelayanan hukum/target perguruan tinggi.</x:v>
      </x:c>
    </x:row>
    <x:row r="18" ht="81.94999694824219" customHeight="1">
      <x:c r="A18" s="270" t="s">
        <x:v>35</x:v>
      </x:c>
      <x:c r="B18" s="271">
        <x:v>10</x:v>
      </x:c>
      <x:c r="C18" s="272" t="s">
        <x:v>36</x:v>
      </x:c>
      <x:c r="D18" s="253" t="str">
        <x:v>Arsip dan P2MA: TERVERIFIKASI; eviden implementasi: BELUM TERSEDIA.</x:v>
      </x:c>
      <x:c r="E18" s="255" t="str">
        <x:v>Data identitas, PIC, dan tujuh rencana tindak lanjut tersedia cukup rinci. Evidence implementasi belum ada karena kegiatan aktual belum dimulai.</x:v>
      </x:c>
      <x:c r="F18" s="559" t="str">
        <x:v>DAPAT DINILAI</x:v>
      </x:c>
      <x:c r="G18" s="560" t="str">
        <x:v>Final baseline; stai natuna.xlsx — IDENTITAS &amp; PIC, USULAN TINDAK LANJUT, RINGKASAN.</x:v>
      </x:c>
      <x:c r="H18" s="561" t="n">
        <x:v>2</x:v>
      </x:c>
      <x:c r="I18" s="562" t="n">
        <x:f t="shared" si="0">IF(F18="DAPAT DINILAI",IF(ISNUMBER(H18),H18/4*B18,""),"")</x:f>
        <x:v>5</x:v>
      </x:c>
      <x:c r="J18" s="257" t="str">
        <x:v>Evidence tata kelola/rencana tersedia dan dapat ditelusuri, tetapi evidence implementasi belum terbentuk. Rubrik I6 skor 2.</x:v>
      </x:c>
      <x:c r="K18" s="273" t="str">
        <x:v>Siapkan repository P09 sejak kegiatan pertama agar seluruh bukti implementasi dan output terdokumentasi sejak awal.</x:v>
      </x:c>
    </x:row>
    <x:row r="19" ht="81.94999694824219" customHeight="1">
      <x:c r="A19" s="274" t="s">
        <x:v>37</x:v>
      </x:c>
      <x:c r="B19" s="275">
        <x:v>10</x:v>
      </x:c>
      <x:c r="C19" s="276" t="s">
        <x:v>38</x:v>
      </x:c>
      <x:c r="D19" s="277" t="str">
        <x:v>Masa berlaku: TERVERIFIKASI; hambatan/gap operasional: BELUM TERSEDIA.</x:v>
      </x:c>
      <x:c r="E19" s="278" t="str">
        <x:v>Risiko utama adalah belum dimulainya implementasi, ketergantungan pada pendampingan Kanwil/DJKI, dan kebutuhan pembentukan Sentra KI. Tujuh usulan tindak lanjut sudah memberi arah keberlanjutan, tetapi belum diuji dalam pelaksanaan.</x:v>
      </x:c>
      <x:c r="F19" s="564" t="str">
        <x:v>DAPAT DINILAI</x:v>
      </x:c>
      <x:c r="G19" s="565" t="str">
        <x:v>stai natuna.xlsx — 7 usulan tindak lanjut, kebutuhan bantuan dan pihak yang dilibatkan.</x:v>
      </x:c>
      <x:c r="H19" s="566" t="n">
        <x:v>2</x:v>
      </x:c>
      <x:c r="I19" s="567" t="n">
        <x:f t="shared" si="0">IF(F19="DAPAT DINILAI",IF(ISNUMBER(H19),H19/4*B19,""),"")</x:f>
        <x:v>5</x:v>
      </x:c>
      <x:c r="J19" s="280" t="str">
        <x:v>Risiko dan kebutuhan utama sudah mulai ditangani melalui rencana tindak lanjut, tetapi realisasi belum terbukti. Rubrik I7 skor 2.</x:v>
      </x:c>
      <x:c r="K19" s="282" t="str">
        <x:v>Tetapkan owner, target bulanan, dan mekanisme review untuk tujuh tindak lanjut selama masa implementasi awal.</x:v>
      </x:c>
    </x:row>
    <x:row r="21" ht="39" customHeight="1">
      <x:c r="A21" s="6" t="s">
        <x:v>39</x:v>
      </x:c>
      <x:c r="B21" s="6"/>
      <x:c r="C21" s="6"/>
      <x:c r="D21" s="6"/>
      <x:c r="E21" s="6"/>
      <x:c r="F21" s="6"/>
      <x:c r="G21" s="6"/>
      <x:c r="H21" s="6"/>
      <x:c r="I21" s="6"/>
      <x:c r="J21" s="6"/>
      <x:c r="K21" s="6"/>
    </x:row>
    <x:row r="22" ht="28.5" customHeight="1">
      <x:c r="A22" s="343" t="s">
        <x:v>40</x:v>
      </x:c>
      <x:c r="B22" s="344" t="n">
        <x:f>COUNTIF($F$13:$F$19,"DAPAT DINILAI")</x:f>
        <x:v>3</x:v>
      </x:c>
      <x:c r="C22" s="99"/>
      <x:c r="E22" s="81"/>
      <x:c r="F22" s="81"/>
      <x:c r="H22" s="31" t="s">
        <x:v>41</x:v>
      </x:c>
      <x:c r="I22" s="31"/>
      <x:c r="J22" s="31"/>
      <x:c r="K22" s="31"/>
    </x:row>
    <x:row r="23" ht="33.95000076293945" customHeight="1">
      <x:c r="A23" s="345" t="s">
        <x:v>42</x:v>
      </x:c>
      <x:c r="B23" s="346" t="n">
        <x:f>COUNTIF($F$13:$F$19,"BELUM DAPAT DINILAI")</x:f>
        <x:v>4</x:v>
      </x:c>
      <x:c r="C23" s="99"/>
      <x:c r="H23" s="79" t="s">
        <x:v>43</x:v>
      </x:c>
      <x:c r="I23" s="97" t="s">
        <x:v>44</x:v>
      </x:c>
      <x:c r="J23" s="97"/>
      <x:c r="K23" s="78"/>
    </x:row>
    <x:row r="24" ht="33.95000076293945" customHeight="1">
      <x:c r="A24" s="345" t="s">
        <x:v>45</x:v>
      </x:c>
      <x:c r="B24" s="346" t="n">
        <x:f>COUNTIF($F$13:$F$19,"BUKTI BELUM MEMADAI")</x:f>
        <x:v>0</x:v>
      </x:c>
      <x:c r="C24" s="99"/>
      <x:c r="H24" s="79" t="s">
        <x:v>46</x:v>
      </x:c>
      <x:c r="I24" s="97" t="s">
        <x:v>47</x:v>
      </x:c>
      <x:c r="J24" s="97"/>
      <x:c r="K24" s="77"/>
    </x:row>
    <x:row r="25" ht="33.95000076293945" customHeight="1">
      <x:c r="A25" s="345" t="s">
        <x:v>48</x:v>
      </x:c>
      <x:c r="B25" s="347" t="n">
        <x:f>SUMIF($F$13:$F$19,"DAPAT DINILAI",$B$13:$B$19)</x:f>
        <x:v>30</x:v>
      </x:c>
      <x:c r="C25" s="103"/>
      <x:c r="H25" s="79" t="s">
        <x:v>49</x:v>
      </x:c>
      <x:c r="I25" s="97" t="s">
        <x:v>50</x:v>
      </x:c>
      <x:c r="J25" s="97"/>
      <x:c r="K25" s="27"/>
    </x:row>
    <x:row r="26" ht="33.95000076293945" customHeight="1">
      <x:c r="A26" s="345" t="s">
        <x:v>51</x:v>
      </x:c>
      <x:c r="B26" s="347" t="str">
        <x:f>IF(B22=7,SUM($I$13:$I$19),"")</x:f>
      </x:c>
      <x:c r="C26" s="105"/>
      <x:c r="H26" s="79" t="s">
        <x:v>52</x:v>
      </x:c>
      <x:c r="I26" s="97" t="s">
        <x:v>53</x:v>
      </x:c>
      <x:c r="J26" s="97"/>
      <x:c r="K26" s="20"/>
    </x:row>
    <x:row r="27" ht="33.95000076293945" customHeight="1">
      <x:c r="A27" s="345" t="s">
        <x:v>54</x:v>
      </x:c>
      <x:c r="B27" s="346" t="str">
        <x:f>IF(B24&gt;0,"BUKTI BELUM MEMADAI",IF(B22=7,"SIAP DIVALIDASI",IF(B23&gt;0,"MASA IMPLEMENTASI AWAL",IF(B22=0,"BELUM DINILAI","DALAM PENILAIAN"))))</x:f>
        <x:v>MASA IMPLEMENTASI AWAL</x:v>
      </x:c>
      <x:c r="C27" s="100"/>
      <x:c r="H27" s="79" t="s">
        <x:v>55</x:v>
      </x:c>
      <x:c r="I27" s="97" t="s">
        <x:v>56</x:v>
      </x:c>
      <x:c r="J27" s="97"/>
      <x:c r="K27" s="23"/>
    </x:row>
    <x:row r="28" ht="31.5" customHeight="1">
      <x:c r="A28" s="348" t="s">
        <x:v>57</x:v>
      </x:c>
      <x:c r="B28" s="349" t="str">
        <x:f>IF(B26="","",IF(B26&gt;=80,"KUAT",IF(B26&gt;=60,"CUKUP / PERLU PENGUATAN",IF(B26&gt;=40,"PERLU PERBAIKAN","KRITIS"))))</x:f>
      </x:c>
      <x:c r="C28" s="101"/>
    </x:row>
  </x:sheetData>
  <x:mergeCells>
    <x:mergeCell ref="B6:C6"/>
    <x:mergeCell ref="B7:C7"/>
    <x:mergeCell ref="B8:C8"/>
    <x:mergeCell ref="B9:C9"/>
    <x:mergeCell ref="B22:C22"/>
    <x:mergeCell ref="B27:C27"/>
    <x:mergeCell ref="B28:C28"/>
    <x:mergeCell ref="B23:C23"/>
    <x:mergeCell ref="B24:C24"/>
    <x:mergeCell ref="B25:C25"/>
    <x:mergeCell ref="B26:C26"/>
    <x:mergeCell ref="I23:J23"/>
    <x:mergeCell ref="I24:J24"/>
    <x:mergeCell ref="I25:J25"/>
    <x:mergeCell ref="I26:J26"/>
    <x:mergeCell ref="I27:J27"/>
    <x:mergeCell ref="B3:C3"/>
    <x:mergeCell ref="D3:E3"/>
    <x:mergeCell ref="F3:G3"/>
    <x:mergeCell ref="H3:I3"/>
  </x:mergeCells>
  <x:conditionalFormatting sqref="F13:F19">
    <x:cfRule type="expression" dxfId="9" priority="1">
      <x:formula>F13="DAPAT DINILAI"</x:formula>
    </x:cfRule>
    <x:cfRule type="expression" dxfId="8" priority="2">
      <x:formula>F13="BUKTI BELUM MEMADAI"</x:formula>
    </x:cfRule>
    <x:cfRule type="expression" dxfId="7" priority="3">
      <x:formula>F13="BELUM DAPAT DINILAI"</x:formula>
    </x:cfRule>
  </x:conditionalFormatting>
  <x:conditionalFormatting sqref="H13:H19">
    <x:cfRule type="expression" dxfId="6" priority="4">
      <x:formula>AND($F13="DAPAT DINILAI",$H13="")</x:formula>
    </x:cfRule>
    <x:cfRule type="expression" dxfId="5" priority="5">
      <x:formula>AND($F13&lt;&gt;"DAPAT DINILAI",$H13&lt;&gt;"")</x:formula>
    </x:cfRule>
  </x:conditionalFormatting>
  <x:dataValidations count="2">
    <x:dataValidation type="list" sqref="F13:F19">
      <x:formula1>"DAPAT DINILAI,BUKTI BELUM MEMADAI,BELUM DAPAT DINILAI"</x:formula1>
    </x:dataValidation>
    <x:dataValidation sqref="H13:H19">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FormatPr defaultRowHeight="14.25"/>
  <x:cols>
    <x:col min="1" max="1" width="20.25" customWidth="1"/>
    <x:col min="2" max="2" width="16.875" customWidth="1"/>
    <x:col min="3" max="3" width="28.5" customWidth="1"/>
    <x:col min="4" max="4" width="26" customWidth="1"/>
    <x:col min="5" max="5" width="23.5" customWidth="1"/>
    <x:col min="6" max="6" width="14.125" customWidth="1"/>
    <x:col min="7" max="7" width="14.375" customWidth="1"/>
    <x:col min="8" max="8" width="3" customWidth="1"/>
    <x:col min="9" max="9" width="13.875" customWidth="1"/>
    <x:col min="10" max="10" width="23.375" customWidth="1"/>
    <x:col min="11" max="11" width="20" customWidth="1"/>
  </x:cols>
  <x:sheetData>
    <x:row r="1" ht="19.5">
      <x:c r="A1" s="1" t="s">
        <x:v>58</x:v>
      </x:c>
      <x:c r="B1" s="1"/>
      <x:c r="C1" s="1"/>
      <x:c r="D1" s="1"/>
      <x:c r="E1" s="1"/>
      <x:c r="F1" s="1"/>
      <x:c r="G1" s="1"/>
      <x:c r="H1" s="1"/>
      <x:c r="I1" s="1"/>
      <x:c r="J1" s="1"/>
      <x:c r="K1" s="1"/>
    </x:row>
    <x:row r="2" ht="76.5">
      <x:c r="A2" s="2" t="s">
        <x:v>59</x:v>
      </x:c>
      <x:c r="B2" s="2"/>
      <x:c r="C2" s="2"/>
      <x:c r="D2" s="2"/>
      <x:c r="E2" s="2"/>
      <x:c r="F2" s="2"/>
      <x:c r="G2" s="2"/>
      <x:c r="H2" s="2"/>
      <x:c r="I2" s="2"/>
      <x:c r="J2" s="2"/>
      <x:c r="K2" s="2"/>
    </x:row>
    <x:row r="3" ht="24" customHeight="1">
      <x:c r="A3" s="3" t="s">
        <x:v>2</x:v>
      </x:c>
      <x:c r="B3" s="533" t="str">
        <x:v>KUNING = input/keputusan</x:v>
      </x:c>
      <x:c r="C3" s="533" t="s">
        <x:v>3</x:v>
      </x:c>
      <x:c r="D3" s="537" t="str">
        <x:v>BIRU = hasil otomatis/ringkasan</x:v>
      </x:c>
      <x:c r="E3" s="537" t="str">
        <x:v>KUNING = perhatian</x:v>
      </x:c>
    </x:row>
    <x:row r="5" ht="15">
      <x:c r="A5" s="6" t="s">
        <x:v>60</x:v>
      </x:c>
      <x:c r="B5" s="6"/>
      <x:c r="C5" s="6"/>
      <x:c r="D5" s="6" t="s">
        <x:v>61</x:v>
      </x:c>
      <x:c r="E5" s="6"/>
      <x:c r="F5" s="6"/>
      <x:c r="G5" s="6"/>
      <x:c r="H5" s="6"/>
      <x:c r="I5" s="6"/>
      <x:c r="J5" s="6"/>
      <x:c r="K5" s="6"/>
    </x:row>
    <x:row r="6" s="128" customFormat="1" ht="42.75">
      <x:c r="A6" s="75" t="s">
        <x:v>54</x:v>
      </x:c>
      <x:c r="B6" s="339" t="str">
        <x:f>PENILAIAN!B27</x:f>
        <x:v>MASA IMPLEMENTASI AWAL</x:v>
      </x:c>
      <x:c r="D6" s="132" t="s">
        <x:v>62</x:v>
      </x:c>
      <x:c r="E6" s="299" t="str">
        <x:v>RENCANA IMPLEMENTASI TERSTRUKTUR / BELUM MULAI</x:v>
      </x:c>
      <x:c r="F6" s="131"/>
      <x:c r="G6" s="131"/>
      <x:c r="H6" s="129"/>
      <x:c r="I6" s="129"/>
      <x:c r="J6" s="129"/>
      <x:c r="K6" s="129"/>
    </x:row>
    <x:row r="7" s="128" customFormat="1" ht="21.75" customHeight="1">
      <x:c r="A7" s="75" t="s">
        <x:v>63</x:v>
      </x:c>
      <x:c r="B7" s="359" t="str">
        <x:f>IF(PENILAIAN!B26="","",PENILAIAN!B26)</x:f>
      </x:c>
      <x:c r="D7" s="133" t="s">
        <x:v>64</x:v>
      </x:c>
      <x:c r="E7" s="299" t="str">
        <x:v>MoU baru berjalan 142 hari. Tata kelola mitra dan tujuh rencana tindak lanjut sudah cukup rinci, tetapi belum ada kegiatan aktual. Karena itu implementasi, output, outcome, dan kontribusi belum memasuki periode penilaian yang memadai.</x:v>
      </x:c>
      <x:c r="F7" s="131"/>
      <x:c r="G7" s="131"/>
    </x:row>
    <x:row r="8" s="128" customFormat="1" ht="21" customHeight="1">
      <x:c r="A8" s="75" t="s">
        <x:v>57</x:v>
      </x:c>
      <x:c r="B8" s="359" t="str">
        <x:f>IF(PENILAIAN!B28="","",PENILAIAN!B28)</x:f>
      </x:c>
      <x:c r="D8" s="134"/>
      <x:c r="E8" s="131"/>
      <x:c r="F8" s="131"/>
      <x:c r="G8" s="131"/>
    </x:row>
    <x:row r="9" s="128" customFormat="1" ht="15">
      <x:c r="A9" s="75" t="s">
        <x:v>65</x:v>
      </x:c>
      <x:c r="B9" s="359" t="n">
        <x:f>PENILAIAN!B22</x:f>
        <x:v>3</x:v>
      </x:c>
      <x:c r="D9" s="135"/>
      <x:c r="E9" s="131"/>
      <x:c r="F9" s="131"/>
      <x:c r="G9" s="131"/>
    </x:row>
    <x:row r="10" s="128" customFormat="1" ht="15">
      <x:c r="A10" s="75" t="s">
        <x:v>66</x:v>
      </x:c>
      <x:c r="B10" s="359" t="n">
        <x:f>PENILAIAN!B23</x:f>
        <x:v>4</x:v>
      </x:c>
    </x:row>
    <x:row r="11" s="128" customFormat="1" ht="15">
      <x:c r="A11" s="75" t="s">
        <x:v>67</x:v>
      </x:c>
      <x:c r="B11" s="359" t="n">
        <x:f>PENILAIAN!B24</x:f>
        <x:v>0</x:v>
      </x:c>
    </x:row>
    <x:row r="12" s="130" customFormat="1" ht="15">
      <x:c r="A12" s="75" t="s">
        <x:v>68</x:v>
      </x:c>
      <x:c r="B12" s="359" t="n">
        <x:f>PENILAIAN!B25</x:f>
        <x:v>30</x:v>
      </x:c>
    </x:row>
    <x:row r="14" ht="15">
      <x:c r="A14" s="6" t="s">
        <x:v>69</x:v>
      </x:c>
      <x:c r="B14" s="6"/>
      <x:c r="C14" s="6"/>
      <x:c r="D14" s="6"/>
      <x:c r="E14" s="6"/>
      <x:c r="F14" s="6"/>
      <x:c r="G14" s="6"/>
      <x:c r="H14" s="6"/>
      <x:c r="I14" s="6"/>
      <x:c r="J14" s="6"/>
      <x:c r="K14" s="6"/>
    </x:row>
    <x:row r="15" ht="15">
      <x:c r="A15" s="400" t="s">
        <x:v>70</x:v>
      </x:c>
      <x:c r="B15" s="401" t="s">
        <x:v>71</x:v>
      </x:c>
      <x:c r="C15" s="401" t="s">
        <x:v>72</x:v>
      </x:c>
      <x:c r="D15" s="401" t="s">
        <x:v>73</x:v>
      </x:c>
      <x:c r="E15" s="401" t="s">
        <x:v>74</x:v>
      </x:c>
      <x:c r="F15" s="401" t="s">
        <x:v>75</x:v>
      </x:c>
      <x:c r="G15" s="401" t="s">
        <x:v>76</x:v>
      </x:c>
      <x:c r="H15" s="402"/>
      <x:c r="I15" s="403" t="s">
        <x:v>77</x:v>
      </x:c>
      <x:c r="J15" s="404"/>
    </x:row>
    <x:row r="16" s="83" customFormat="1" ht="73.5" customHeight="1">
      <x:c r="A16" s="270" t="str">
        <x:v>Masa berlaku</x:v>
      </x:c>
      <x:c r="B16" s="297" t="str">
        <x:v>E0 - Normal</x:v>
      </x:c>
      <x:c r="C16" s="361" t="str">
        <x:v>MoU berlaku 8 Mei 2026 s.d. 7 Mei 2031.</x:v>
      </x:c>
      <x:c r="D16" s="361" t="str">
        <x:v>Pertahankan monitoring masa berlaku.</x:v>
      </x:c>
      <x:c r="E16" s="361" t="str">
        <x:v>Pengelola kerja sama</x:v>
      </x:c>
      <x:c r="F16" s="362" t="str">
        <x:v>Review berkala</x:v>
      </x:c>
      <x:c r="G16" s="361" t="str">
        <x:v>BERJALAN</x:v>
      </x:c>
      <x:c r="H16" s="405"/>
      <x:c r="I16" s="365" t="s">
        <x:v>78</x:v>
      </x:c>
      <x:c r="J16" s="375" t="str">
        <x:f>IF(COUNTIF($B$16:$B$19,"E3 - Kritis")&gt;0,"E3 - Kritis",IF(COUNTIF($B$16:$B$19,"E2 - Perlu Tindakan")&gt;0,"E2 - Perlu Tindakan",IF(COUNTIF($B$16:$B$19,"E1 - Perhatian")&gt;0,"E1 - Perhatian",IF(COUNTIF($B$16:$B$19,"E0 - Normal")&gt;0,"E0 - Normal","V0 - Data belum cukup"))))</x:f>
        <x:v>E1 - Perhatian</x:v>
      </x:c>
    </x:row>
    <x:row r="17" s="83" customFormat="1" ht="73.5" customHeight="1">
      <x:c r="A17" s="270" t="str">
        <x:v>Pelaksanaan / tenggat</x:v>
      </x:c>
      <x:c r="B17" s="299" t="str">
        <x:v>E1 - Perhatian</x:v>
      </x:c>
      <x:c r="C17" s="361" t="str">
        <x:v>Belum ada kegiatan aktual; tujuh rencana mulai September–Oktober 2026 dan seterusnya.</x:v>
      </x:c>
      <x:c r="D17" s="361" t="str">
        <x:v>Mulai realisasi prioritas pembentukan Sentra KI dan sosialisasi KI.</x:v>
      </x:c>
      <x:c r="E17" s="361" t="str">
        <x:v>PIC internal + PIC STAI Natuna</x:v>
      </x:c>
      <x:c r="F17" s="362" t="str">
        <x:v>Oktober 2026</x:v>
      </x:c>
      <x:c r="G17" s="361" t="str">
        <x:v>DALAM TINDAK LANJUT</x:v>
      </x:c>
      <x:c r="H17" s="405"/>
      <x:c r="I17" s="366" t="s">
        <x:v>79</x:v>
      </x:c>
      <x:c r="J17" s="376" t="s">
        <x:v>80</x:v>
      </x:c>
    </x:row>
    <x:row r="18" s="83" customFormat="1" ht="73.5" customHeight="1">
      <x:c r="A18" s="270" t="str">
        <x:v>Data / evidence</x:v>
      </x:c>
      <x:c r="B18" s="299" t="str">
        <x:v>E1 - Perhatian</x:v>
      </x:c>
      <x:c r="C18" s="361" t="str">
        <x:v>Data PIC dan rencana lengkap, tetapi evidence implementasi belum tersedia.</x:v>
      </x:c>
      <x:c r="D18" s="361" t="str">
        <x:v>Siapkan repository dan indeks bukti sejak kegiatan pertama.</x:v>
      </x:c>
      <x:c r="E18" s="361" t="str">
        <x:v>Pengelola + PIC</x:v>
      </x:c>
      <x:c r="F18" s="362" t="str">
        <x:v>Oktober 2026</x:v>
      </x:c>
      <x:c r="G18" s="361" t="str">
        <x:v>DALAM TINDAK LANJUT</x:v>
      </x:c>
      <x:c r="H18" s="405"/>
      <x:c r="I18" s="366" t="s">
        <x:v>81</x:v>
      </x:c>
      <x:c r="J18" s="376" t="str">
        <x:v>Fokus masa implementasi awal: mulai eksekusi dua prioritas pertama, dokumentasikan evidence, dan pertahankan tujuh rencana sebagai roadmap.</x:v>
      </x:c>
    </x:row>
    <x:row r="19" s="83" customFormat="1" ht="104.25" customHeight="1">
      <x:c r="A19" s="274" t="str">
        <x:v>Penanggung jawab / koordinasi</x:v>
      </x:c>
      <x:c r="B19" s="304" t="str">
        <x:v>E1 - Perhatian</x:v>
      </x:c>
      <x:c r="C19" s="377" t="str">
        <x:v>PIC mitra jelas; PIC internal belum terdokumentasi.</x:v>
      </x:c>
      <x:c r="D19" s="377" t="str">
        <x:v>Tetapkan PIC internal dan jadwal koordinasi rutin.</x:v>
      </x:c>
      <x:c r="E19" s="377" t="str">
        <x:v>Pengelola kerja sama</x:v>
      </x:c>
      <x:c r="F19" s="378" t="str">
        <x:v>Oktober 2026</x:v>
      </x:c>
      <x:c r="G19" s="377" t="str">
        <x:v>DALAM TINDAK LANJUT</x:v>
      </x:c>
      <x:c r="H19" s="406"/>
      <x:c r="I19" s="380"/>
      <x:c r="J19" s="381"/>
    </x:row>
    <x:row r="21" ht="15">
      <x:c r="A21" s="6" t="s">
        <x:v>82</x:v>
      </x:c>
      <x:c r="B21" s="6"/>
      <x:c r="C21" s="6"/>
      <x:c r="D21" s="6"/>
      <x:c r="E21" s="6"/>
      <x:c r="F21" s="6"/>
      <x:c r="G21" s="6"/>
      <x:c r="H21" s="6"/>
      <x:c r="I21" s="6"/>
      <x:c r="J21" s="6"/>
      <x:c r="K21" s="6"/>
    </x:row>
    <x:row r="22" ht="44" customHeight="1">
      <x:c r="A22" s="415" t="s">
        <x:v>83</x:v>
      </x:c>
      <x:c r="B22" s="718" t="str">
        <x:v>TIDAK</x:v>
      </x:c>
      <x:c r="D22" s="112" t="s">
        <x:v>84</x:v>
      </x:c>
      <x:c r="E22" s="111" t="s">
        <x:v>85</x:v>
      </x:c>
      <x:c r="F22" s="111"/>
      <x:c r="G22" s="17"/>
      <x:c r="H22" s="17"/>
      <x:c r="I22" s="17"/>
      <x:c r="J22" s="17"/>
      <x:c r="K22" s="18"/>
    </x:row>
    <x:row r="23" ht="50" customHeight="1">
      <x:c r="A23" s="416" t="s">
        <x:v>86</x:v>
      </x:c>
      <x:c r="B23" s="719" t="str">
        <x:v>Dapat diselesaikan pada level pengelola/PIC</x:v>
      </x:c>
      <x:c r="D23" s="113"/>
      <x:c r="E23" s="111"/>
      <x:c r="F23" s="111"/>
      <x:c r="G23" s="20"/>
      <x:c r="H23" s="20"/>
      <x:c r="I23" s="20"/>
      <x:c r="J23" s="20"/>
      <x:c r="K23" s="21"/>
    </x:row>
    <x:row r="24" ht="105" customHeight="1">
      <x:c r="A24" s="417" t="s">
        <x:v>87</x:v>
      </x:c>
      <x:c r="B24" s="720" t="str">
        <x:v>Belum ada isu material yang membutuhkan keputusan pimpinan; kebutuhan utama adalah memulai implementasi sesuai jadwal.</x:v>
      </x:c>
      <x:c r="D24" s="22"/>
      <x:c r="E24" s="23"/>
      <x:c r="F24" s="23"/>
      <x:c r="G24" s="23"/>
      <x:c r="H24" s="23"/>
      <x:c r="I24" s="23"/>
      <x:c r="J24" s="23"/>
      <x:c r="K24" s="24"/>
    </x:row>
  </x:sheetData>
  <x:mergeCells>
    <x:mergeCell ref="E6:G6"/>
    <x:mergeCell ref="E7:G9"/>
    <x:mergeCell ref="D7:D9"/>
    <x:mergeCell ref="J18:J19"/>
    <x:mergeCell ref="I18:I19"/>
    <x:mergeCell ref="E22:F23"/>
    <x:mergeCell ref="D22:D23"/>
    <x:mergeCell ref="B3:C3"/>
    <x:mergeCell ref="D3:E3"/>
  </x:mergeCells>
  <x:conditionalFormatting sqref="B16:B19">
    <x:cfRule type="expression" dxfId="4" priority="1">
      <x:formula>B16="V0 - Data belum cukup"</x:formula>
    </x:cfRule>
    <x:cfRule type="expression" dxfId="3" priority="2">
      <x:formula>B16="E0 - Normal"</x:formula>
    </x:cfRule>
    <x:cfRule type="expression" dxfId="2" priority="3">
      <x:formula>B16="E1 - Perhatian"</x:formula>
    </x:cfRule>
    <x:cfRule type="expression" dxfId="1" priority="4">
      <x:formula>B16="E2 - Perlu Tindakan"</x:formula>
    </x:cfRule>
    <x:cfRule type="expression" dxfId="0" priority="5">
      <x:formula>B16="E3 - Kritis"</x:formula>
    </x:cfRule>
  </x:conditionalFormatting>
  <x:dataValidations count="6">
    <x:dataValidation type="list" sqref="E6">
      <x:formula1>"BELUM DAPAT DITENTUKAN,AKTIF,OUTPUT,OUTCOME,KONTRIBUSI / DAMPAK"</x:formula1>
    </x:dataValidation>
    <x:dataValidation type="list" sqref="B16:B19">
      <x:formula1>"V0 - Data belum cukup,E0 - Normal,E1 - Perhatian,E2 - Perlu Tindakan,E3 - Kritis"</x:formula1>
    </x:dataValidation>
    <x:dataValidation type="list" sqref="G16:G19">
      <x:formula1>"BELUM MULAI,PROSES,SELESAI"</x:formula1>
    </x:dataValidation>
    <x:dataValidation type="list" sqref="J17">
      <x:formula1>"BELUM DITINDAKLANJUTI,DALAM PROSES,SELESAI"</x:formula1>
    </x:dataValidation>
    <x:dataValidation type="list" sqref="B22">
      <x:formula1>"TIDAK,YA,BELUM DAPAT DIPASTIKAN"</x:formula1>
    </x:dataValidation>
    <x:dataValidation type="list" sqref="B23">
      <x:formula1>"Tidak diperlukan,Keputusan keberlanjutan / perpanjangan / penghentian,Hambatan lintas unit / kewenangan,Komitmen mitra,Risiko material / strategis,Kebutuhan sumber daya / kebijakan,Lainnya"</x:formula1>
    </x:dataValidation>
  </x:dataValidations>
  <x:pageMargins left="0.7" right="0.7" top="0.75" bottom="0.75" header="0.3" footer="0.3"/>
</x:worksheet>
</file>

<file path=xl/worksheets/sheet3.xml><?xml version="1.0" encoding="utf-8"?>
<x:worksheet xmlns:x="http://schemas.openxmlformats.org/spreadsheetml/2006/main">
  <x:sheetFormatPr defaultRowHeight="14.25"/>
  <x:cols>
    <x:col min="1" max="1" width="28" customWidth="1"/>
    <x:col min="2" max="2" width="26" customWidth="1"/>
    <x:col min="3" max="3" width="3" customWidth="1"/>
    <x:col min="4" max="4" width="15.5" customWidth="1"/>
    <x:col min="5" max="5" width="30" customWidth="1"/>
    <x:col min="6" max="7" width="18" customWidth="1"/>
    <x:col min="8" max="9" width="20" customWidth="1"/>
    <x:col min="10" max="11" width="22" customWidth="1"/>
  </x:cols>
  <x:sheetData>
    <x:row r="1" ht="19.5">
      <x:c r="A1" s="1" t="s">
        <x:v>88</x:v>
      </x:c>
      <x:c r="B1" s="1"/>
      <x:c r="C1" s="1"/>
      <x:c r="D1" s="1"/>
      <x:c r="E1" s="1"/>
      <x:c r="F1" s="1"/>
      <x:c r="G1" s="1"/>
      <x:c r="H1" s="1"/>
      <x:c r="I1" s="1"/>
      <x:c r="J1" s="1"/>
      <x:c r="K1" s="1"/>
    </x:row>
    <x:row r="2" ht="76.5">
      <x:c r="A2" s="2" t="s">
        <x:v>89</x:v>
      </x:c>
      <x:c r="B2" s="2"/>
      <x:c r="C2" s="2"/>
      <x:c r="D2" s="2"/>
      <x:c r="E2" s="2"/>
      <x:c r="F2" s="2"/>
      <x:c r="G2" s="2"/>
      <x:c r="H2" s="2"/>
      <x:c r="I2" s="2"/>
      <x:c r="J2" s="2"/>
      <x:c r="K2" s="2"/>
    </x:row>
    <x:row r="3" ht="24" customHeight="1">
      <x:c r="A3" s="3" t="s">
        <x:v>2</x:v>
      </x:c>
      <x:c r="B3" s="533" t="str">
        <x:v>KUNING = input/validasi/keputusan</x:v>
      </x:c>
      <x:c r="C3" s="533" t="s">
        <x:v>3</x:v>
      </x:c>
      <x:c r="D3" s="537" t="str">
        <x:v>BIRU = ringkasan/hasil otomatis</x:v>
      </x:c>
      <x:c r="E3" s="537" t="str">
        <x:v>BIRU = ringkasan otomatis</x:v>
      </x:c>
    </x:row>
    <x:row r="5" ht="15">
      <x:c r="A5" s="511" t="s">
        <x:v>90</x:v>
      </x:c>
      <x:c r="B5" s="512"/>
      <x:c r="C5" s="512"/>
      <x:c r="D5" s="512" t="s">
        <x:v>91</x:v>
      </x:c>
      <x:c r="E5" s="513"/>
      <x:c r="F5" s="81"/>
      <x:c r="G5" s="81"/>
      <x:c r="H5" s="81"/>
      <x:c r="I5" s="81"/>
      <x:c r="J5" s="81"/>
      <x:c r="K5" s="81"/>
    </x:row>
    <x:row r="6" ht="28.5">
      <x:c r="A6" s="487" t="s">
        <x:v>54</x:v>
      </x:c>
      <x:c r="B6" s="423" t="str">
        <x:f>PENILAIAN!B27</x:f>
        <x:v>MASA IMPLEMENTASI AWAL</x:v>
      </x:c>
      <x:c r="C6" s="405"/>
      <x:c r="D6" s="488" t="s">
        <x:v>92</x:v>
      </x:c>
      <x:c r="E6" s="273" t="str">
        <x:v>DRAFT — MASA IMPLEMENTASI AWAL</x:v>
      </x:c>
    </x:row>
    <x:row r="7" ht="15">
      <x:c r="A7" s="487" t="s">
        <x:v>63</x:v>
      </x:c>
      <x:c r="B7" s="424" t="str">
        <x:f>IF(PENILAIAN!B26="","",PENILAIAN!B26)</x:f>
      </x:c>
      <x:c r="C7" s="405"/>
      <x:c r="D7" s="488" t="s">
        <x:v>93</x:v>
      </x:c>
      <x:c r="E7" s="273"/>
    </x:row>
    <x:row r="8" ht="15">
      <x:c r="A8" s="487" t="s">
        <x:v>57</x:v>
      </x:c>
      <x:c r="B8" s="424" t="str">
        <x:f>IF(PENILAIAN!B28="","",PENILAIAN!B28)</x:f>
      </x:c>
      <x:c r="C8" s="405"/>
      <x:c r="D8" s="488" t="s">
        <x:v>94</x:v>
      </x:c>
      <x:c r="E8" s="441"/>
    </x:row>
    <x:row r="9" ht="33" customHeight="1">
      <x:c r="A9" s="487" t="s">
        <x:v>62</x:v>
      </x:c>
      <x:c r="B9" s="424" t="str">
        <x:f>IF(KENDALI!E6="","",KENDALI!E6)</x:f>
        <x:v>RENCANA IMPLEMENTASI TERSTRUKTUR / BELUM MULAI</x:v>
      </x:c>
      <x:c r="C9" s="405"/>
      <x:c r="D9" s="489" t="s">
        <x:v>95</x:v>
      </x:c>
      <x:c r="E9" s="443" t="str">
        <x:v>Penilaian menggunakan Final Baseline P09 dan stai natuna.xlsx sebagai evidence terbaru. MoU baru 142 hari; I2–I5 belum dinilai karena implementasi belum dimulai.</x:v>
      </x:c>
    </x:row>
    <x:row r="10" ht="33" customHeight="1">
      <x:c r="A10" s="487" t="s">
        <x:v>78</x:v>
      </x:c>
      <x:c r="B10" s="424" t="str">
        <x:f>IF(KENDALI!J16="","",KENDALI!J16)</x:f>
        <x:v>E1 - Perhatian</x:v>
      </x:c>
      <x:c r="C10" s="405"/>
      <x:c r="D10" s="490"/>
      <x:c r="E10" s="445"/>
    </x:row>
    <x:row r="11" ht="15">
      <x:c r="A11" s="487" t="s">
        <x:v>96</x:v>
      </x:c>
      <x:c r="B11" s="424" t="str">
        <x:f>IF(KENDALI!B22="","",KENDALI!B22)</x:f>
        <x:v>TIDAK</x:v>
      </x:c>
      <x:c r="C11" s="405"/>
      <x:c r="D11" s="490"/>
      <x:c r="E11" s="445"/>
    </x:row>
    <x:row r="12" ht="15">
      <x:c r="A12" s="487" t="s">
        <x:v>66</x:v>
      </x:c>
      <x:c r="B12" s="424" t="n">
        <x:f>PENILAIAN!B23</x:f>
        <x:v>4</x:v>
      </x:c>
      <x:c r="C12" s="405"/>
      <x:c r="D12" s="490"/>
      <x:c r="E12" s="445"/>
    </x:row>
    <x:row r="13" ht="15">
      <x:c r="A13" s="491" t="s">
        <x:v>67</x:v>
      </x:c>
      <x:c r="B13" s="447" t="n">
        <x:f>PENILAIAN!B24</x:f>
        <x:v>0</x:v>
      </x:c>
      <x:c r="C13" s="406"/>
      <x:c r="D13" s="492"/>
      <x:c r="E13" s="381"/>
    </x:row>
    <x:row r="14">
      <x:c r="A14" s="405"/>
      <x:c r="B14" s="405"/>
      <x:c r="C14" s="405"/>
      <x:c r="D14" s="405"/>
      <x:c r="E14" s="405"/>
    </x:row>
    <x:row r="15" ht="15">
      <x:c r="A15" s="511" t="s">
        <x:v>97</x:v>
      </x:c>
      <x:c r="B15" s="512"/>
      <x:c r="C15" s="512"/>
      <x:c r="D15" s="512"/>
      <x:c r="E15" s="513"/>
      <x:c r="F15" s="81"/>
      <x:c r="G15" s="81"/>
      <x:c r="H15" s="81"/>
      <x:c r="I15" s="81"/>
      <x:c r="J15" s="81"/>
      <x:c r="K15" s="81"/>
    </x:row>
    <x:row r="16" ht="180" customHeight="1">
      <x:c r="A16" s="493" t="s">
        <x:v>98</x:v>
      </x:c>
      <x:c r="B16" s="255" t="str">
        <x:v>Dibanding baseline, PIC mitra dan tujuh rencana tindak lanjut sudah tersedia dengan cukup rinci. Namun belum ada kegiatan aktual atau output, sehingga scorecard masih berada pada Masa Implementasi Awal.</x:v>
      </x:c>
      <x:c r="C16" s="405"/>
      <x:c r="D16" s="462" t="s">
        <x:v>84</x:v>
      </x:c>
      <x:c r="E16" s="463" t="s">
        <x:v>99</x:v>
      </x:c>
      <x:c r="F16" s="25"/>
      <x:c r="G16" s="25"/>
      <x:c r="H16" s="25"/>
      <x:c r="I16" s="25"/>
      <x:c r="J16" s="25"/>
      <x:c r="K16" s="26"/>
    </x:row>
    <x:row r="17" ht="87.75" customHeight="1">
      <x:c r="A17" s="493" t="s">
        <x:v>100</x:v>
      </x:c>
      <x:c r="B17" s="257" t="str">
        <x:v>MULAI IMPLEMENTASI SESUAI ROADMAP DAN BANGUN EVIDENCE SEJAK AWAL</x:v>
      </x:c>
      <x:c r="C17" s="405"/>
      <x:c r="D17" s="405"/>
      <x:c r="E17" s="464"/>
      <x:c r="F17" s="27"/>
      <x:c r="G17" s="27"/>
      <x:c r="H17" s="27"/>
      <x:c r="I17" s="27"/>
      <x:c r="J17" s="27"/>
      <x:c r="K17" s="28"/>
    </x:row>
    <x:row r="18" ht="167.25" customHeight="1">
      <x:c r="A18" s="493" t="s">
        <x:v>86</x:v>
      </x:c>
      <x:c r="B18" s="257" t="str">
        <x:v>Kekuatan utama saat ini adalah rencana kerja yang terstruktur; tahap berikutnya harus mengubah rencana tersebut menjadi kegiatan dan output nyata.</x:v>
      </x:c>
      <x:c r="C18" s="405"/>
      <x:c r="D18" s="405"/>
      <x:c r="E18" s="464"/>
      <x:c r="F18" s="29"/>
      <x:c r="G18" s="29"/>
      <x:c r="H18" s="29"/>
      <x:c r="I18" s="29"/>
      <x:c r="J18" s="29"/>
      <x:c r="K18" s="30"/>
    </x:row>
    <x:row r="19" ht="215.25" customHeight="1">
      <x:c r="A19" s="493" t="s">
        <x:v>101</x:v>
      </x:c>
      <x:c r="B19" s="257" t="str">
        <x:v>1) Tetapkan PIC internal; 2) mulai pembentukan/penguatan Sentra KI; 3) laksanakan sosialisasi KI; 4) inventarisasi potensi KI; 5) buka klinik pendaftaran KI; 6) mulai program Hak Cipta/Merek prioritas; 7) siapkan SOP integrasi KI dengan penelitian/PkM; 8) dokumentasikan evidence dan review bulanan.</x:v>
      </x:c>
      <x:c r="C19" s="405"/>
      <x:c r="D19" s="405"/>
      <x:c r="E19" s="464"/>
      <x:c r="F19" s="27"/>
      <x:c r="G19" s="27"/>
      <x:c r="H19" s="27"/>
      <x:c r="I19" s="27"/>
      <x:c r="J19" s="27"/>
      <x:c r="K19" s="28"/>
    </x:row>
    <x:row r="20" ht="81.75" customHeight="1">
      <x:c r="A20" s="493" t="s">
        <x:v>74</x:v>
      </x:c>
      <x:c r="B20" s="257" t="str">
        <x:v>Pengelola kerja sama dan unit pengampu Kanwil bersama PIC STAI Natuna</x:v>
      </x:c>
      <x:c r="C20" s="405"/>
      <x:c r="D20" s="405"/>
      <x:c r="E20" s="464"/>
      <x:c r="F20" s="27"/>
      <x:c r="G20" s="27"/>
      <x:c r="H20" s="27"/>
      <x:c r="I20" s="27"/>
      <x:c r="J20" s="27"/>
      <x:c r="K20" s="28"/>
    </x:row>
    <x:row r="21" ht="69" customHeight="1">
      <x:c r="A21" s="514" t="s">
        <x:v>102</x:v>
      </x:c>
      <x:c r="B21" s="466" t="str">
        <x:v>Mulai Oktober 2026; review implementasi pada akhir Triwulan IV 2026</x:v>
      </x:c>
      <x:c r="C21" s="406"/>
      <x:c r="D21" s="406"/>
      <x:c r="E21" s="467"/>
      <x:c r="F21" s="29"/>
      <x:c r="G21" s="29"/>
      <x:c r="H21" s="29"/>
      <x:c r="I21" s="29"/>
      <x:c r="J21" s="29"/>
      <x:c r="K21" s="30"/>
    </x:row>
    <x:row r="22">
      <x:c r="A22" s="405"/>
      <x:c r="B22" s="405"/>
      <x:c r="C22" s="405"/>
      <x:c r="D22" s="405"/>
      <x:c r="E22" s="405"/>
    </x:row>
    <x:row r="23" ht="15">
      <x:c r="A23" s="511" t="s">
        <x:v>103</x:v>
      </x:c>
      <x:c r="B23" s="513"/>
      <x:c r="C23" s="515"/>
      <x:c r="D23" s="515"/>
      <x:c r="E23" s="515"/>
      <x:c r="F23" s="81"/>
      <x:c r="G23" s="81"/>
      <x:c r="H23" s="81"/>
      <x:c r="I23" s="81"/>
      <x:c r="J23" s="81"/>
      <x:c r="K23" s="81"/>
    </x:row>
    <x:row r="24" ht="15">
      <x:c r="A24" s="516" t="s">
        <x:v>104</x:v>
      </x:c>
      <x:c r="B24" s="475" t="str">
        <x:v>BELUM DIPUTUSKAN</x:v>
      </x:c>
      <x:c r="C24" s="405"/>
      <x:c r="D24" s="405"/>
      <x:c r="E24" s="405"/>
      <x:c r="F24" s="25"/>
      <x:c r="G24" s="25"/>
      <x:c r="H24" s="25"/>
      <x:c r="I24" s="25"/>
      <x:c r="J24" s="25"/>
      <x:c r="K24" s="26"/>
    </x:row>
    <x:row r="25" ht="15">
      <x:c r="A25" s="516" t="s">
        <x:v>105</x:v>
      </x:c>
      <x:c r="B25" s="475" t="str">
        <x:v>-</x:v>
      </x:c>
      <x:c r="C25" s="405"/>
      <x:c r="D25" s="405"/>
      <x:c r="E25" s="405"/>
      <x:c r="F25" s="27"/>
      <x:c r="G25" s="27"/>
      <x:c r="H25" s="27"/>
      <x:c r="I25" s="27"/>
      <x:c r="J25" s="27"/>
      <x:c r="K25" s="28"/>
    </x:row>
    <x:row r="26" ht="15">
      <x:c r="A26" s="516" t="s">
        <x:v>106</x:v>
      </x:c>
      <x:c r="B26" s="476" t="str">
        <x:v>-</x:v>
      </x:c>
      <x:c r="C26" s="405"/>
      <x:c r="D26" s="405"/>
      <x:c r="E26" s="405"/>
      <x:c r="F26" s="27"/>
      <x:c r="G26" s="27"/>
      <x:c r="H26" s="27"/>
      <x:c r="I26" s="27"/>
      <x:c r="J26" s="27"/>
      <x:c r="K26" s="28"/>
    </x:row>
    <x:row r="27" ht="15">
      <x:c r="A27" s="516" t="s">
        <x:v>107</x:v>
      </x:c>
      <x:c r="B27" s="475" t="str">
        <x:v>-</x:v>
      </x:c>
      <x:c r="C27" s="405"/>
      <x:c r="D27" s="405"/>
      <x:c r="E27" s="405"/>
      <x:c r="F27" s="27"/>
      <x:c r="G27" s="27"/>
      <x:c r="H27" s="27"/>
      <x:c r="I27" s="27"/>
      <x:c r="J27" s="27"/>
      <x:c r="K27" s="28"/>
    </x:row>
    <x:row r="28" ht="15">
      <x:c r="A28" s="517" t="s">
        <x:v>108</x:v>
      </x:c>
      <x:c r="B28" s="478" t="str">
        <x:v>-</x:v>
      </x:c>
      <x:c r="C28" s="405"/>
      <x:c r="D28" s="405"/>
      <x:c r="E28" s="405"/>
      <x:c r="F28" s="29"/>
      <x:c r="G28" s="29"/>
      <x:c r="H28" s="29"/>
      <x:c r="I28" s="29"/>
      <x:c r="J28" s="29"/>
      <x:c r="K28" s="30"/>
    </x:row>
    <x:row r="29">
      <x:c r="A29" s="88"/>
      <x:c r="B29" s="88" t="str">
        <x:v>-</x:v>
      </x:c>
    </x:row>
  </x:sheetData>
  <x:mergeCells>
    <x:mergeCell ref="E9:E13"/>
    <x:mergeCell ref="D9:D13"/>
    <x:mergeCell ref="B3:C3"/>
    <x:mergeCell ref="D3:E3"/>
  </x:mergeCells>
  <x:dataValidations count="3">
    <x:dataValidation type="list" sqref="E6">
      <x:formula1>"BELUM,PERLU PERBAIKAN,TERVALIDASI"</x:formula1>
    </x:dataValidation>
    <x:dataValidation type="list" sqref="B17">
      <x:formula1>"LANJUT,PERBAIKI,PERPANJANG,REPLIKASI,HENTIKAN / TIDAK DILANJUTKAN"</x:formula1>
    </x:dataValidation>
    <x:dataValidation type="list" sqref="B24">
      <x:formula1>"BELUM DIPUTUSKAN,DISETUJUI,DISETUJUI DENGAN PERBAIKAN,DIESKALASIKAN"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4.25"/>
  <x:cols>
    <x:col min="1" max="1" width="21.375" style="127" customWidth="1"/>
    <x:col min="2" max="2" width="7.375" style="127" customWidth="1"/>
    <x:col min="3" max="3" width="22.5" style="127" customWidth="1"/>
    <x:col min="4" max="4" width="18.75" style="127" customWidth="1"/>
    <x:col min="5" max="5" width="18.125" style="127" customWidth="1"/>
    <x:col min="6" max="6" width="22.25" style="127" customWidth="1"/>
    <x:col min="7" max="7" width="21.875" style="127" customWidth="1"/>
    <x:col min="8" max="8" width="19.875" style="127" customWidth="1"/>
    <x:col min="9" max="9" width="18" style="127" customWidth="1"/>
  </x:cols>
  <x:sheetData>
    <x:row r="1" ht="19.5">
      <x:c r="A1" s="116" t="s">
        <x:v>109</x:v>
      </x:c>
      <x:c r="B1" s="116"/>
      <x:c r="C1" s="116"/>
      <x:c r="D1" s="116"/>
      <x:c r="E1" s="116"/>
      <x:c r="F1" s="116"/>
      <x:c r="G1" s="116"/>
      <x:c r="H1" s="116"/>
      <x:c r="I1" s="116"/>
    </x:row>
    <x:row r="2" ht="51" customHeight="1">
      <x:c r="A2" s="115" t="s">
        <x:v>110</x:v>
      </x:c>
      <x:c r="B2" s="115"/>
      <x:c r="C2" s="115"/>
      <x:c r="D2" s="115"/>
      <x:c r="E2" s="115"/>
      <x:c r="F2" s="114"/>
      <x:c r="G2" s="114"/>
      <x:c r="H2" s="114"/>
      <x:c r="I2" s="114"/>
    </x:row>
    <x:row r="4" ht="15">
      <x:c r="A4" s="15" t="s">
        <x:v>14</x:v>
      </x:c>
      <x:c r="B4" s="15" t="s">
        <x:v>15</x:v>
      </x:c>
      <x:c r="C4" s="15" t="s">
        <x:v>111</x:v>
      </x:c>
      <x:c r="D4" s="15" t="s">
        <x:v>112</x:v>
      </x:c>
      <x:c r="E4" s="15" t="s">
        <x:v>113</x:v>
      </x:c>
      <x:c r="F4" s="15" t="s">
        <x:v>114</x:v>
      </x:c>
      <x:c r="G4" s="15" t="s">
        <x:v>115</x:v>
      </x:c>
      <x:c r="H4" s="15" t="s">
        <x:v>116</x:v>
      </x:c>
      <x:c r="I4" s="15" t="s">
        <x:v>81</x:v>
      </x:c>
    </x:row>
    <x:row r="5" ht="110.0999984741211" customHeight="1">
      <x:c r="A5" s="117" t="s">
        <x:v>25</x:v>
      </x:c>
      <x:c r="B5" s="118">
        <x:v>10</x:v>
      </x:c>
      <x:c r="C5" s="78" t="s">
        <x:v>117</x:v>
      </x:c>
      <x:c r="D5" s="78" t="s">
        <x:v>118</x:v>
      </x:c>
      <x:c r="E5" s="78" t="s">
        <x:v>119</x:v>
      </x:c>
      <x:c r="F5" s="78" t="s">
        <x:v>120</x:v>
      </x:c>
      <x:c r="G5" s="78" t="s">
        <x:v>121</x:v>
      </x:c>
      <x:c r="H5" s="78" t="s">
        <x:v>122</x:v>
      </x:c>
      <x:c r="I5" s="119" t="s">
        <x:v>123</x:v>
      </x:c>
    </x:row>
    <x:row r="6" ht="110.0999984741211" customHeight="1">
      <x:c r="A6" s="120" t="s">
        <x:v>27</x:v>
      </x:c>
      <x:c r="B6" s="121">
        <x:v>15</x:v>
      </x:c>
      <x:c r="C6" s="77" t="s">
        <x:v>124</x:v>
      </x:c>
      <x:c r="D6" s="77" t="s">
        <x:v>125</x:v>
      </x:c>
      <x:c r="E6" s="77" t="s">
        <x:v>126</x:v>
      </x:c>
      <x:c r="F6" s="77" t="s">
        <x:v>127</x:v>
      </x:c>
      <x:c r="G6" s="77" t="s">
        <x:v>128</x:v>
      </x:c>
      <x:c r="H6" s="77" t="s">
        <x:v>129</x:v>
      </x:c>
      <x:c r="I6" s="122"/>
    </x:row>
    <x:row r="7" ht="110.0999984741211" customHeight="1">
      <x:c r="A7" s="120" t="s">
        <x:v>29</x:v>
      </x:c>
      <x:c r="B7" s="121">
        <x:v>15</x:v>
      </x:c>
      <x:c r="C7" s="77" t="s">
        <x:v>130</x:v>
      </x:c>
      <x:c r="D7" s="77" t="s">
        <x:v>131</x:v>
      </x:c>
      <x:c r="E7" s="77" t="s">
        <x:v>132</x:v>
      </x:c>
      <x:c r="F7" s="77" t="s">
        <x:v>133</x:v>
      </x:c>
      <x:c r="G7" s="77" t="s">
        <x:v>134</x:v>
      </x:c>
      <x:c r="H7" s="77" t="s">
        <x:v>135</x:v>
      </x:c>
      <x:c r="I7" s="122"/>
    </x:row>
    <x:row r="8" ht="110.0999984741211" customHeight="1">
      <x:c r="A8" s="120" t="s">
        <x:v>31</x:v>
      </x:c>
      <x:c r="B8" s="121">
        <x:v>20</x:v>
      </x:c>
      <x:c r="C8" s="77" t="s">
        <x:v>136</x:v>
      </x:c>
      <x:c r="D8" s="77" t="s">
        <x:v>137</x:v>
      </x:c>
      <x:c r="E8" s="77" t="s">
        <x:v>138</x:v>
      </x:c>
      <x:c r="F8" s="77" t="s">
        <x:v>139</x:v>
      </x:c>
      <x:c r="G8" s="77" t="s">
        <x:v>140</x:v>
      </x:c>
      <x:c r="H8" s="77" t="s">
        <x:v>141</x:v>
      </x:c>
      <x:c r="I8" s="122" t="s">
        <x:v>142</x:v>
      </x:c>
    </x:row>
    <x:row r="9" ht="110.0999984741211" customHeight="1">
      <x:c r="A9" s="120" t="s">
        <x:v>33</x:v>
      </x:c>
      <x:c r="B9" s="121">
        <x:v>20</x:v>
      </x:c>
      <x:c r="C9" s="77" t="s">
        <x:v>143</x:v>
      </x:c>
      <x:c r="D9" s="77" t="s">
        <x:v>144</x:v>
      </x:c>
      <x:c r="E9" s="77" t="s">
        <x:v>145</x:v>
      </x:c>
      <x:c r="F9" s="77" t="s">
        <x:v>146</x:v>
      </x:c>
      <x:c r="G9" s="77" t="s">
        <x:v>147</x:v>
      </x:c>
      <x:c r="H9" s="77" t="s">
        <x:v>148</x:v>
      </x:c>
      <x:c r="I9" s="122" t="s">
        <x:v>149</x:v>
      </x:c>
    </x:row>
    <x:row r="10" ht="110.0999984741211" customHeight="1">
      <x:c r="A10" s="120" t="s">
        <x:v>35</x:v>
      </x:c>
      <x:c r="B10" s="121">
        <x:v>10</x:v>
      </x:c>
      <x:c r="C10" s="77" t="s">
        <x:v>150</x:v>
      </x:c>
      <x:c r="D10" s="77" t="s">
        <x:v>151</x:v>
      </x:c>
      <x:c r="E10" s="77" t="s">
        <x:v>152</x:v>
      </x:c>
      <x:c r="F10" s="77" t="s">
        <x:v>153</x:v>
      </x:c>
      <x:c r="G10" s="77" t="s">
        <x:v>154</x:v>
      </x:c>
      <x:c r="H10" s="77" t="s">
        <x:v>155</x:v>
      </x:c>
      <x:c r="I10" s="122" t="s">
        <x:v>156</x:v>
      </x:c>
    </x:row>
    <x:row r="11" ht="110.0999984741211" customHeight="1">
      <x:c r="A11" s="123" t="s">
        <x:v>37</x:v>
      </x:c>
      <x:c r="B11" s="124">
        <x:v>10</x:v>
      </x:c>
      <x:c r="C11" s="125" t="s">
        <x:v>157</x:v>
      </x:c>
      <x:c r="D11" s="125" t="s">
        <x:v>158</x:v>
      </x:c>
      <x:c r="E11" s="125" t="s">
        <x:v>159</x:v>
      </x:c>
      <x:c r="F11" s="125" t="s">
        <x:v>160</x:v>
      </x:c>
      <x:c r="G11" s="125" t="s">
        <x:v>161</x:v>
      </x:c>
      <x:c r="H11" s="125" t="s">
        <x:v>162</x:v>
      </x:c>
      <x:c r="I11" s="126" t="s">
        <x:v>163</x:v>
      </x:c>
    </x:row>
  </x:sheetData>
  <x:mergeCells>
    <x:mergeCell ref="A2:E2"/>
  </x:mergeCells>
  <x:pageMargins left="0.7" right="0.7" top="0.75" bottom="0.75" header="0.3" footer="0.3"/>
</x:worksheet>
</file>

<file path=xl/worksheets/sheet5.xml><?xml version="1.0" encoding="utf-8"?>
<x:worksheet xmlns:x="http://schemas.openxmlformats.org/spreadsheetml/2006/main">
  <x:sheetFormatPr defaultRowHeight="14.25"/>
  <x:cols>
    <x:col min="1" max="1" width="27" customWidth="1"/>
    <x:col min="2" max="3" width="48" customWidth="1"/>
    <x:col min="4" max="6" width="18" customWidth="1"/>
  </x:cols>
  <x:sheetData>
    <x:row r="1" ht="19.5">
      <x:c r="A1" s="1" t="s">
        <x:v>164</x:v>
      </x:c>
      <x:c r="B1" s="1"/>
      <x:c r="C1" s="1"/>
      <x:c r="D1" s="1"/>
      <x:c r="E1" s="1"/>
      <x:c r="F1" s="1"/>
    </x:row>
    <x:row r="2" ht="38.25">
      <x:c r="A2" s="2" t="s">
        <x:v>165</x:v>
      </x:c>
      <x:c r="B2" s="2"/>
      <x:c r="C2" s="2"/>
      <x:c r="D2" s="2"/>
      <x:c r="E2" s="2"/>
      <x:c r="F2" s="2"/>
    </x:row>
    <x:row r="3">
      <x:c r="A3" s="529" t="str">
        <x:v>Legenda warna</x:v>
      </x:c>
      <x:c r="B3" s="529" t="str">
        <x:v>KUNING #FFF2CC = input/keputusan pengguna</x:v>
      </x:c>
      <x:c r="C3" s="529" t="str">
        <x:v>BIRU = data sumber/hasil otomatis; HIJAU = DAPAT DINILAI; ABU = BELUM DAPAT DINILAI</x:v>
      </x:c>
    </x:row>
    <x:row r="4" ht="15">
      <x:c r="A4" s="6" t="s">
        <x:v>166</x:v>
      </x:c>
      <x:c r="B4" s="6"/>
      <x:c r="C4" s="6"/>
      <x:c r="D4" s="6"/>
      <x:c r="E4" s="6"/>
      <x:c r="F4" s="6"/>
    </x:row>
    <x:row r="5" ht="15">
      <x:c r="A5" s="35" t="s">
        <x:v>167</x:v>
      </x:c>
      <x:c r="B5" s="36" t="s">
        <x:v>168</x:v>
      </x:c>
    </x:row>
    <x:row r="6" ht="28.5">
      <x:c r="A6" s="19" t="s">
        <x:v>169</x:v>
      </x:c>
      <x:c r="B6" s="21" t="s">
        <x:v>170</x:v>
      </x:c>
    </x:row>
    <x:row r="7" ht="42.75">
      <x:c r="A7" s="19" t="s">
        <x:v>171</x:v>
      </x:c>
      <x:c r="B7" s="21" t="s">
        <x:v>172</x:v>
      </x:c>
    </x:row>
    <x:row r="8">
      <x:c r="A8" s="19" t="s">
        <x:v>93</x:v>
      </x:c>
      <x:c r="B8" s="21" t="s">
        <x:v>173</x:v>
      </x:c>
    </x:row>
    <x:row r="9" ht="28.5">
      <x:c r="A9" s="22" t="s">
        <x:v>174</x:v>
      </x:c>
      <x:c r="B9" s="24" t="s">
        <x:v>175</x:v>
      </x:c>
    </x:row>
    <x:row r="11" ht="15">
      <x:c r="A11" s="6" t="s">
        <x:v>176</x:v>
      </x:c>
      <x:c r="B11" s="6"/>
      <x:c r="C11" s="6"/>
      <x:c r="D11" s="6"/>
      <x:c r="E11" s="6"/>
      <x:c r="F11" s="6"/>
    </x:row>
    <x:row r="12" ht="28.5">
      <x:c r="A12" s="32" t="s">
        <x:v>43</x:v>
      </x:c>
      <x:c r="B12" s="17" t="s">
        <x:v>177</x:v>
      </x:c>
      <x:c r="C12" s="18" t="s">
        <x:v>178</x:v>
      </x:c>
    </x:row>
    <x:row r="13" ht="28.5">
      <x:c r="A13" s="33" t="s">
        <x:v>46</x:v>
      </x:c>
      <x:c r="B13" s="20" t="s">
        <x:v>179</x:v>
      </x:c>
      <x:c r="C13" s="21" t="s">
        <x:v>180</x:v>
      </x:c>
    </x:row>
    <x:row r="14" ht="28.5">
      <x:c r="A14" s="33" t="s">
        <x:v>49</x:v>
      </x:c>
      <x:c r="B14" s="20" t="s">
        <x:v>181</x:v>
      </x:c>
      <x:c r="C14" s="21" t="s">
        <x:v>182</x:v>
      </x:c>
    </x:row>
    <x:row r="15" ht="15">
      <x:c r="A15" s="33" t="s">
        <x:v>52</x:v>
      </x:c>
      <x:c r="B15" s="20" t="s">
        <x:v>183</x:v>
      </x:c>
      <x:c r="C15" s="21" t="s">
        <x:v>184</x:v>
      </x:c>
    </x:row>
    <x:row r="16" ht="28.5">
      <x:c r="A16" s="34" t="s">
        <x:v>55</x:v>
      </x:c>
      <x:c r="B16" s="23" t="s">
        <x:v>185</x:v>
      </x:c>
      <x:c r="C16" s="24" t="s">
        <x:v>186</x:v>
      </x:c>
    </x:row>
    <x:row r="20" ht="15">
      <x:c r="A20" s="6" t="s">
        <x:v>187</x:v>
      </x:c>
      <x:c r="B20" s="6"/>
      <x:c r="C20" s="6"/>
      <x:c r="D20" s="6"/>
      <x:c r="E20" s="6"/>
      <x:c r="F20" s="6"/>
    </x:row>
    <x:row r="21" ht="15">
      <x:c r="A21" s="35" t="s">
        <x:v>71</x:v>
      </x:c>
      <x:c r="B21" s="37" t="s">
        <x:v>188</x:v>
      </x:c>
      <x:c r="C21" s="36" t="s">
        <x:v>189</x:v>
      </x:c>
    </x:row>
    <x:row r="22">
      <x:c r="A22" s="19" t="s">
        <x:v>190</x:v>
      </x:c>
      <x:c r="B22" s="20" t="s">
        <x:v>191</x:v>
      </x:c>
      <x:c r="C22" s="21" t="s">
        <x:v>192</x:v>
      </x:c>
    </x:row>
    <x:row r="23" ht="28.5">
      <x:c r="A23" s="19" t="s">
        <x:v>193</x:v>
      </x:c>
      <x:c r="B23" s="20" t="s">
        <x:v>194</x:v>
      </x:c>
      <x:c r="C23" s="21" t="s">
        <x:v>195</x:v>
      </x:c>
    </x:row>
    <x:row r="24" ht="57">
      <x:c r="A24" s="22" t="s">
        <x:v>196</x:v>
      </x:c>
      <x:c r="B24" s="23" t="s">
        <x:v>197</x:v>
      </x:c>
      <x:c r="C24" s="24" t="s">
        <x:v>195</x:v>
      </x:c>
    </x:row>
    <x:row r="27" ht="15">
      <x:c r="A27" s="6" t="s">
        <x:v>198</x:v>
      </x:c>
      <x:c r="B27" s="6"/>
      <x:c r="C27" s="6"/>
      <x:c r="D27" s="6"/>
      <x:c r="E27" s="6"/>
      <x:c r="F27" s="6"/>
    </x:row>
    <x:row r="28" ht="28.5">
      <x:c r="A28" s="32" t="s">
        <x:v>112</x:v>
      </x:c>
      <x:c r="B28" s="18" t="s">
        <x:v>199</x:v>
      </x:c>
    </x:row>
    <x:row r="29" ht="28.5">
      <x:c r="A29" s="33" t="s">
        <x:v>66</x:v>
      </x:c>
      <x:c r="B29" s="21" t="s">
        <x:v>200</x:v>
      </x:c>
    </x:row>
    <x:row r="30" ht="28.5">
      <x:c r="A30" s="33" t="s">
        <x:v>45</x:v>
      </x:c>
      <x:c r="B30" s="21" t="s">
        <x:v>201</x:v>
      </x:c>
    </x:row>
    <x:row r="31" ht="15">
      <x:c r="A31" s="33" t="s">
        <x:v>51</x:v>
      </x:c>
      <x:c r="B31" s="21" t="s">
        <x:v>202</x:v>
      </x:c>
    </x:row>
    <x:row r="32" ht="57">
      <x:c r="A32" s="34" t="s">
        <x:v>203</x:v>
      </x:c>
      <x:c r="B32" s="24" t="s">
        <x:v>204</x:v>
      </x:c>
      <x:c r="C32" t="s">
        <x:v>205</x:v>
      </x:c>
    </x:row>
    <x:row r="35" ht="15">
      <x:c r="A35" s="6" t="s">
        <x:v>206</x:v>
      </x:c>
      <x:c r="B35" s="6"/>
      <x:c r="C35" s="6"/>
      <x:c r="D35" s="6"/>
      <x:c r="E35" s="6"/>
      <x:c r="F35" s="6"/>
    </x:row>
    <x:row r="36" ht="15">
      <x:c r="A36" s="35" t="s">
        <x:v>207</x:v>
      </x:c>
      <x:c r="B36" s="36" t="s">
        <x:v>208</x:v>
      </x:c>
    </x:row>
    <x:row r="37" ht="28.5">
      <x:c r="A37" s="19" t="s">
        <x:v>209</x:v>
      </x:c>
      <x:c r="B37" s="21" t="s">
        <x:v>210</x:v>
      </x:c>
    </x:row>
    <x:row r="38" ht="28.5">
      <x:c r="A38" s="19" t="s">
        <x:v>211</x:v>
      </x:c>
      <x:c r="B38" s="21" t="s">
        <x:v>212</x:v>
      </x:c>
    </x:row>
    <x:row r="39" ht="28.5">
      <x:c r="A39" s="19" t="s">
        <x:v>213</x:v>
      </x:c>
      <x:c r="B39" s="21" t="s">
        <x:v>214</x:v>
      </x:c>
    </x:row>
    <x:row r="40" ht="28.5">
      <x:c r="A40" s="22" t="s">
        <x:v>215</x:v>
      </x:c>
      <x:c r="B40" s="24" t="s">
        <x:v>216</x:v>
      </x:c>
    </x:row>
    <x:row r="42" ht="15">
      <x:c r="A42" s="6" t="s">
        <x:v>217</x:v>
      </x:c>
      <x:c r="B42" s="6"/>
      <x:c r="C42" s="6"/>
      <x:c r="D42" s="6"/>
      <x:c r="E42" s="6"/>
      <x:c r="F42" s="6"/>
    </x:row>
    <x:row r="43" ht="15">
      <x:c r="A43" s="35" t="s">
        <x:v>218</x:v>
      </x:c>
      <x:c r="B43" s="36" t="s">
        <x:v>219</x:v>
      </x:c>
    </x:row>
    <x:row r="44" ht="28.5">
      <x:c r="A44" s="19" t="s">
        <x:v>220</x:v>
      </x:c>
      <x:c r="B44" s="21" t="s">
        <x:v>221</x:v>
      </x:c>
    </x:row>
    <x:row r="45" ht="28.5">
      <x:c r="A45" s="19" t="s">
        <x:v>222</x:v>
      </x:c>
      <x:c r="B45" s="21" t="s">
        <x:v>223</x:v>
      </x:c>
    </x:row>
    <x:row r="46" ht="28.5">
      <x:c r="A46" s="19" t="s">
        <x:v>224</x:v>
      </x:c>
      <x:c r="B46" s="21" t="s">
        <x:v>225</x:v>
      </x:c>
    </x:row>
    <x:row r="47" ht="28.5">
      <x:c r="A47" s="19" t="s">
        <x:v>226</x:v>
      </x:c>
      <x:c r="B47" s="21" t="s">
        <x:v>227</x:v>
      </x:c>
    </x:row>
    <x:row r="48" ht="28.5">
      <x:c r="A48" s="22" t="s">
        <x:v>228</x:v>
      </x:c>
      <x:c r="B48" s="24" t="s">
        <x:v>229</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14" customWidth="1"/>
    <x:col min="2" max="2" width="42" customWidth="1"/>
    <x:col min="3" max="3" width="24" customWidth="1"/>
    <x:col min="4" max="5" width="8" customWidth="1"/>
    <x:col min="6" max="6" width="10" customWidth="1"/>
    <x:col min="7" max="7" width="30" customWidth="1"/>
    <x:col min="8" max="8" width="34" customWidth="1"/>
  </x:cols>
  <x:sheetData>
    <x:row r="1" ht="19.5">
      <x:c r="A1" s="1" t="s">
        <x:v>230</x:v>
      </x:c>
      <x:c r="B1" s="1"/>
      <x:c r="C1" s="1"/>
      <x:c r="D1" s="1"/>
      <x:c r="E1" s="1"/>
      <x:c r="F1" s="1"/>
      <x:c r="G1" s="1"/>
      <x:c r="H1" s="1"/>
    </x:row>
    <x:row r="2" ht="114.75">
      <x:c r="A2" s="2" t="s">
        <x:v>231</x:v>
      </x:c>
      <x:c r="B2" s="2"/>
      <x:c r="C2" s="2"/>
      <x:c r="D2" s="2"/>
      <x:c r="E2" s="2"/>
      <x:c r="F2" s="2"/>
      <x:c r="G2" s="2"/>
      <x:c r="H2" s="2"/>
    </x:row>
    <x:row r="4" ht="15">
      <x:c r="A4" s="6" t="s">
        <x:v>232</x:v>
      </x:c>
      <x:c r="B4" s="6"/>
      <x:c r="C4" s="6"/>
      <x:c r="D4" s="6"/>
      <x:c r="E4" s="6"/>
      <x:c r="F4" s="6"/>
      <x:c r="G4" s="6"/>
      <x:c r="H4" s="6"/>
    </x:row>
    <x:row r="5" ht="15">
      <x:c r="A5" s="15" t="s">
        <x:v>14</x:v>
      </x:c>
      <x:c r="B5" s="15" t="s">
        <x:v>233</x:v>
      </x:c>
      <x:c r="C5" s="15" t="s">
        <x:v>71</x:v>
      </x:c>
      <x:c r="D5" s="15" t="s">
        <x:v>234</x:v>
      </x:c>
      <x:c r="E5" s="15" t="s">
        <x:v>15</x:v>
      </x:c>
      <x:c r="F5" s="15" t="s">
        <x:v>235</x:v>
      </x:c>
      <x:c r="G5" s="15" t="s">
        <x:v>219</x:v>
      </x:c>
      <x:c r="H5" s="15" t="s">
        <x:v>101</x:v>
      </x:c>
    </x:row>
    <x:row r="6" ht="28.5">
      <x:c r="A6" s="16" t="s">
        <x:v>236</x:v>
      </x:c>
      <x:c r="B6" s="17" t="s">
        <x:v>237</x:v>
      </x:c>
      <x:c r="C6" s="17" t="s">
        <x:v>190</x:v>
      </x:c>
      <x:c r="D6" s="17">
        <x:v>1</x:v>
      </x:c>
      <x:c r="E6" s="17">
        <x:v>10</x:v>
      </x:c>
      <x:c r="F6" s="17">
        <x:v>2.5</x:v>
      </x:c>
      <x:c r="G6" s="17" t="s">
        <x:v>238</x:v>
      </x:c>
      <x:c r="H6" s="18" t="s">
        <x:v>239</x:v>
      </x:c>
    </x:row>
    <x:row r="7">
      <x:c r="A7" s="19" t="s">
        <x:v>240</x:v>
      </x:c>
      <x:c r="B7" s="20" t="s">
        <x:v>241</x:v>
      </x:c>
      <x:c r="C7" s="20" t="s">
        <x:v>190</x:v>
      </x:c>
      <x:c r="D7" s="20">
        <x:v>0</x:v>
      </x:c>
      <x:c r="E7" s="20">
        <x:v>15</x:v>
      </x:c>
      <x:c r="F7" s="20">
        <x:v>0</x:v>
      </x:c>
      <x:c r="G7" s="20" t="s">
        <x:v>242</x:v>
      </x:c>
      <x:c r="H7" s="21" t="s">
        <x:v>243</x:v>
      </x:c>
    </x:row>
    <x:row r="8" ht="28.5">
      <x:c r="A8" s="19" t="s">
        <x:v>244</x:v>
      </x:c>
      <x:c r="B8" s="20" t="s">
        <x:v>245</x:v>
      </x:c>
      <x:c r="C8" s="20" t="s">
        <x:v>190</x:v>
      </x:c>
      <x:c r="D8" s="20">
        <x:v>0</x:v>
      </x:c>
      <x:c r="E8" s="20">
        <x:v>15</x:v>
      </x:c>
      <x:c r="F8" s="20">
        <x:v>0</x:v>
      </x:c>
      <x:c r="G8" s="20" t="s">
        <x:v>246</x:v>
      </x:c>
      <x:c r="H8" s="21" t="s">
        <x:v>247</x:v>
      </x:c>
    </x:row>
    <x:row r="9" ht="28.5">
      <x:c r="A9" s="19" t="s">
        <x:v>248</x:v>
      </x:c>
      <x:c r="B9" s="20" t="s">
        <x:v>249</x:v>
      </x:c>
      <x:c r="C9" s="20" t="s">
        <x:v>190</x:v>
      </x:c>
      <x:c r="D9" s="20">
        <x:v>0</x:v>
      </x:c>
      <x:c r="E9" s="20">
        <x:v>20</x:v>
      </x:c>
      <x:c r="F9" s="20">
        <x:v>0</x:v>
      </x:c>
      <x:c r="G9" s="20" t="s">
        <x:v>250</x:v>
      </x:c>
      <x:c r="H9" s="21" t="s">
        <x:v>251</x:v>
      </x:c>
    </x:row>
    <x:row r="10" ht="28.5">
      <x:c r="A10" s="19" t="s">
        <x:v>252</x:v>
      </x:c>
      <x:c r="B10" s="20" t="s">
        <x:v>253</x:v>
      </x:c>
      <x:c r="C10" s="20" t="s">
        <x:v>190</x:v>
      </x:c>
      <x:c r="D10" s="20">
        <x:v>0</x:v>
      </x:c>
      <x:c r="E10" s="20">
        <x:v>20</x:v>
      </x:c>
      <x:c r="F10" s="20">
        <x:v>0</x:v>
      </x:c>
      <x:c r="G10" s="20" t="s">
        <x:v>254</x:v>
      </x:c>
      <x:c r="H10" s="21" t="s">
        <x:v>255</x:v>
      </x:c>
    </x:row>
    <x:row r="11" ht="28.5">
      <x:c r="A11" s="19" t="s">
        <x:v>256</x:v>
      </x:c>
      <x:c r="B11" s="20" t="s">
        <x:v>257</x:v>
      </x:c>
      <x:c r="C11" s="20" t="s">
        <x:v>190</x:v>
      </x:c>
      <x:c r="D11" s="20">
        <x:v>3</x:v>
      </x:c>
      <x:c r="E11" s="20">
        <x:v>10</x:v>
      </x:c>
      <x:c r="F11" s="20">
        <x:v>7.5</x:v>
      </x:c>
      <x:c r="G11" s="20" t="s">
        <x:v>258</x:v>
      </x:c>
      <x:c r="H11" s="21" t="s">
        <x:v>259</x:v>
      </x:c>
    </x:row>
    <x:row r="12" ht="28.5">
      <x:c r="A12" s="22" t="s">
        <x:v>260</x:v>
      </x:c>
      <x:c r="B12" s="23" t="s">
        <x:v>261</x:v>
      </x:c>
      <x:c r="C12" s="23" t="s">
        <x:v>190</x:v>
      </x:c>
      <x:c r="D12" s="23">
        <x:v>1</x:v>
      </x:c>
      <x:c r="E12" s="23">
        <x:v>10</x:v>
      </x:c>
      <x:c r="F12" s="23">
        <x:v>2.5</x:v>
      </x:c>
      <x:c r="G12" s="23" t="s">
        <x:v>262</x:v>
      </x:c>
      <x:c r="H12" s="24" t="s">
        <x:v>263</x:v>
      </x:c>
    </x:row>
    <x:row r="14" ht="15">
      <x:c r="A14" s="6" t="s">
        <x:v>264</x:v>
      </x:c>
      <x:c r="B14" s="6"/>
      <x:c r="C14" s="6"/>
      <x:c r="D14" s="6"/>
      <x:c r="E14" s="6"/>
      <x:c r="F14" s="6"/>
      <x:c r="G14" s="6"/>
      <x:c r="H14" s="6"/>
    </x:row>
    <x:row r="15" ht="15">
      <x:c r="A15" s="15" t="s">
        <x:v>14</x:v>
      </x:c>
      <x:c r="B15" s="15" t="s">
        <x:v>233</x:v>
      </x:c>
      <x:c r="C15" s="15" t="s">
        <x:v>71</x:v>
      </x:c>
      <x:c r="D15" s="15" t="s">
        <x:v>234</x:v>
      </x:c>
      <x:c r="E15" s="15" t="s">
        <x:v>15</x:v>
      </x:c>
      <x:c r="F15" s="15" t="s">
        <x:v>235</x:v>
      </x:c>
      <x:c r="G15" s="15" t="s">
        <x:v>219</x:v>
      </x:c>
      <x:c r="H15" s="15" t="s">
        <x:v>101</x:v>
      </x:c>
    </x:row>
    <x:row r="16" ht="28.5">
      <x:c r="A16" s="16" t="s">
        <x:v>236</x:v>
      </x:c>
      <x:c r="B16" s="17" t="s">
        <x:v>265</x:v>
      </x:c>
      <x:c r="C16" s="17" t="s">
        <x:v>190</x:v>
      </x:c>
      <x:c r="D16" s="17">
        <x:v>3</x:v>
      </x:c>
      <x:c r="E16" s="17">
        <x:v>10</x:v>
      </x:c>
      <x:c r="F16" s="17">
        <x:v>7.5</x:v>
      </x:c>
      <x:c r="G16" s="17" t="s">
        <x:v>266</x:v>
      </x:c>
      <x:c r="H16" s="18" t="s">
        <x:v>267</x:v>
      </x:c>
    </x:row>
    <x:row r="17">
      <x:c r="A17" s="19" t="s">
        <x:v>240</x:v>
      </x:c>
      <x:c r="B17" s="20" t="s">
        <x:v>268</x:v>
      </x:c>
      <x:c r="C17" s="20" t="s">
        <x:v>190</x:v>
      </x:c>
      <x:c r="D17" s="20">
        <x:v>2</x:v>
      </x:c>
      <x:c r="E17" s="20">
        <x:v>15</x:v>
      </x:c>
      <x:c r="F17" s="20">
        <x:v>7.5</x:v>
      </x:c>
      <x:c r="G17" s="20" t="s">
        <x:v>269</x:v>
      </x:c>
      <x:c r="H17" s="21" t="s">
        <x:v>270</x:v>
      </x:c>
    </x:row>
    <x:row r="18" ht="28.5">
      <x:c r="A18" s="19" t="s">
        <x:v>244</x:v>
      </x:c>
      <x:c r="B18" s="20" t="s">
        <x:v>271</x:v>
      </x:c>
      <x:c r="C18" s="20" t="s">
        <x:v>196</x:v>
      </x:c>
      <x:c r="D18" s="20"/>
      <x:c r="E18" s="20">
        <x:v>15</x:v>
      </x:c>
      <x:c r="F18" s="20"/>
      <x:c r="G18" s="20" t="s">
        <x:v>272</x:v>
      </x:c>
      <x:c r="H18" s="21" t="s">
        <x:v>273</x:v>
      </x:c>
    </x:row>
    <x:row r="19">
      <x:c r="A19" s="19" t="s">
        <x:v>248</x:v>
      </x:c>
      <x:c r="B19" s="20" t="s">
        <x:v>274</x:v>
      </x:c>
      <x:c r="C19" s="20" t="s">
        <x:v>196</x:v>
      </x:c>
      <x:c r="D19" s="20"/>
      <x:c r="E19" s="20">
        <x:v>20</x:v>
      </x:c>
      <x:c r="F19" s="20"/>
      <x:c r="G19" s="20" t="s">
        <x:v>275</x:v>
      </x:c>
      <x:c r="H19" s="21" t="s">
        <x:v>276</x:v>
      </x:c>
    </x:row>
    <x:row r="20">
      <x:c r="A20" s="19" t="s">
        <x:v>252</x:v>
      </x:c>
      <x:c r="B20" s="20" t="s">
        <x:v>277</x:v>
      </x:c>
      <x:c r="C20" s="20" t="s">
        <x:v>196</x:v>
      </x:c>
      <x:c r="D20" s="20"/>
      <x:c r="E20" s="20">
        <x:v>20</x:v>
      </x:c>
      <x:c r="F20" s="20"/>
      <x:c r="G20" s="20" t="s">
        <x:v>275</x:v>
      </x:c>
      <x:c r="H20" s="21" t="s">
        <x:v>278</x:v>
      </x:c>
    </x:row>
    <x:row r="21">
      <x:c r="A21" s="19" t="s">
        <x:v>256</x:v>
      </x:c>
      <x:c r="B21" s="20" t="s">
        <x:v>279</x:v>
      </x:c>
      <x:c r="C21" s="20" t="s">
        <x:v>190</x:v>
      </x:c>
      <x:c r="D21" s="20">
        <x:v>3</x:v>
      </x:c>
      <x:c r="E21" s="20">
        <x:v>10</x:v>
      </x:c>
      <x:c r="F21" s="20">
        <x:v>7.5</x:v>
      </x:c>
      <x:c r="G21" s="20" t="s">
        <x:v>280</x:v>
      </x:c>
      <x:c r="H21" s="21" t="s">
        <x:v>281</x:v>
      </x:c>
    </x:row>
    <x:row r="22">
      <x:c r="A22" s="22" t="s">
        <x:v>260</x:v>
      </x:c>
      <x:c r="B22" s="23" t="s">
        <x:v>282</x:v>
      </x:c>
      <x:c r="C22" s="23" t="s">
        <x:v>190</x:v>
      </x:c>
      <x:c r="D22" s="23">
        <x:v>3</x:v>
      </x:c>
      <x:c r="E22" s="23">
        <x:v>10</x:v>
      </x:c>
      <x:c r="F22" s="23">
        <x:v>7.5</x:v>
      </x:c>
      <x:c r="G22" s="23" t="s">
        <x:v>283</x:v>
      </x:c>
      <x:c r="H22" s="24" t="s">
        <x:v>284</x:v>
      </x:c>
    </x:row>
  </x:sheetData>
  <x:pageMargins left="0.7" right="0.7" top="0.75" bottom="0.75" header="0.3" footer="0.3"/>
</x:worksheet>
</file>

<file path=xl/worksheets/sheet7.xml><?xml version="1.0" encoding="utf-8"?>
<x:worksheet xmlns:x="http://schemas.openxmlformats.org/spreadsheetml/2006/main">
  <x:sheetFormatPr defaultRowHeight="14.25"/>
  <x:cols>
    <x:col min="1" max="1" width="6" customWidth="1"/>
    <x:col min="2" max="2" width="16" customWidth="1"/>
    <x:col min="3" max="3" width="22" customWidth="1"/>
    <x:col min="4" max="4" width="34" customWidth="1"/>
    <x:col min="5" max="5" width="30" customWidth="1"/>
    <x:col min="6" max="6" width="20" customWidth="1"/>
    <x:col min="7" max="7" width="46" customWidth="1"/>
    <x:col min="8" max="9" width="42" customWidth="1"/>
  </x:cols>
  <x:sheetData>
    <x:row r="1" ht="18">
      <x:c r="A1" s="38" t="str">
        <x:v>SUMBER DATA — FINAL BASELINE P09 Sekolah Tinggi Agama Islam Natuna</x:v>
      </x:c>
      <x:c r="B1" s="38"/>
      <x:c r="C1" s="38"/>
      <x:c r="D1" s="38"/>
      <x:c r="E1" s="38"/>
      <x:c r="F1" s="38"/>
      <x:c r="G1" s="38"/>
      <x:c r="H1" s="38"/>
      <x:c r="I1" s="38"/>
    </x:row>
    <x:row r="2">
      <x:c r="A2" s="39" t="str">
        <x:v>Disalin dari FINAL BASELINE MITRA KINERJA — cut-off 28 Agustus 2026. Perkembangan setelah cut-off dinilai melalui Scorecard.</x:v>
      </x:c>
      <x:c r="B2" s="39"/>
      <x:c r="C2" s="39"/>
      <x:c r="D2" s="39"/>
      <x:c r="E2" s="39"/>
      <x:c r="F2" s="39"/>
      <x:c r="G2" s="39"/>
      <x:c r="H2" s="39"/>
      <x:c r="I2" s="39"/>
    </x:row>
    <x:row r="4" ht="15">
      <x:c r="A4" s="40" t="str">
        <x:v>No</x:v>
      </x:c>
      <x:c r="B4" s="41" t="str">
        <x:v>Kelompok</x:v>
      </x:c>
      <x:c r="C4" s="41" t="str">
        <x:v>Elemen baseline</x:v>
      </x:c>
      <x:c r="D4" s="41" t="str">
        <x:v>Yang diperiksa</x:v>
      </x:c>
      <x:c r="E4" s="41" t="str">
        <x:v>Sumber/bukti minimum</x:v>
      </x:c>
      <x:c r="F4" s="41" t="str">
        <x:v>Status</x:v>
      </x:c>
      <x:c r="G4" s="41" t="str">
        <x:v>Fakta/hasil pemeriksaan</x:v>
      </x:c>
      <x:c r="H4" s="41" t="str">
        <x:v>Sumber/link bukti</x:v>
      </x:c>
      <x:c r="I4" s="42" t="str">
        <x:v>Catatan khusus (opsional)</x:v>
      </x:c>
    </x:row>
    <x:row r="5" ht="72" customHeight="1">
      <x:c r="A5" s="43" t="n">
        <x:v>1</x:v>
      </x:c>
      <x:c r="B5" s="27" t="str">
        <x:v>IDENTITAS</x:v>
      </x:c>
      <x:c r="C5" s="27" t="str">
        <x:v>Identitas naskah</x:v>
      </x:c>
      <x:c r="D5" s="27" t="str">
        <x:v>Jenis, nomor para pihak, judul, dan nama resmi mitra sesuai naskah.</x:v>
      </x:c>
      <x:c r="E5" s="27" t="str">
        <x:v>Naskah bertanda tangan; P2MA sebagai pembanding.</x:v>
      </x:c>
      <x:c r="F5" s="27" t="str">
        <x:v>TERVERIFIKASI</x:v>
      </x:c>
      <x:c r="G5" s="27" t="str">
        <x:v>sudah sesuai</x:v>
      </x:c>
      <x:c r="H5" s="27" t="str">
        <x:v>https://p2ma.kemenkum.go.id/uploads/kerjasama/naskah/1779268941.pdf</x:v>
      </x:c>
      <x:c r="I5" s="44"/>
    </x:row>
    <x:row r="6" ht="72" customHeight="1">
      <x:c r="A6" s="43" t="n">
        <x:v>2</x:v>
      </x:c>
      <x:c r="B6" s="27" t="str">
        <x:v>MASA BERLAKU</x:v>
      </x:c>
      <x:c r="C6" s="27" t="str">
        <x:v>Masa berlaku</x:v>
      </x:c>
      <x:c r="D6" s="27" t="str">
        <x:v>Tanggal efektif, durasi, dan tanggal berakhir sesuai klausul naskah.</x:v>
      </x:c>
      <x:c r="E6" s="27" t="str">
        <x:v>Klausul jangka waktu; halaman tanda tangan; P2MA.</x:v>
      </x:c>
      <x:c r="F6" s="27" t="str">
        <x:v>TERVERIFIKASI</x:v>
      </x:c>
      <x:c r="G6" s="27" t="str">
        <x:v>P2MA publik menampilkan status Berlangsung, mulai 8 Mei 2026 dan berakhir 7 Mei 2031; tanggal sesuai data awal.</x:v>
      </x:c>
      <x:c r="H6" s="27" t="str">
        <x:v>https://p2ma.kemenkum.go.id/kdn/pencarian?tipe=1&amp;keyword=Sekolah%20Tinggi%20Agama%20Islam%20Natuna</x:v>
      </x:c>
      <x:c r="I6" s="44"/>
    </x:row>
    <x:row r="7" ht="72" customHeight="1">
      <x:c r="A7" s="43" t="n">
        <x:v>3</x:v>
      </x:c>
      <x:c r="B7" s="27" t="str">
        <x:v>SUBSTANSI</x:v>
      </x:c>
      <x:c r="C7" s="27" t="str">
        <x:v>Ruang lingkup</x:v>
      </x:c>
      <x:c r="D7" s="27" t="str">
        <x:v>Ruang kerja, kewajiban, atau kegiatan utama yang disepakati.</x:v>
      </x:c>
      <x:c r="E7" s="27" t="str">
        <x:v>Pasal ruang lingkup/hak-kewajiban; lampiran.</x:v>
      </x:c>
      <x:c r="F7" s="27" t="str">
        <x:v>TERVERIFIKASI</x:v>
      </x:c>
      <x:c r="G7" s="27" t="str">
        <x:v>Ruang lingkup yang tercatat meliputi:
1. Pendidikan dan pengajaran; 
2. Penelitian dan pengembangan hukum; 
3. Pengabdian kepada Masyarakat; 
4. Pelaksanaan Merdeka belajar kampus berdampak; 5. Fasilitasi pendaftaran kekayaan intelektual dan penguatan sentra kekayaan intelektual; 
6. Peningkatan dan pengembangan kompetensi sumber daya manusia; 
7. Asistensi pengembangan jaringan dokumentasi dan informasi hukum; dan 
8. Kegiatan lain yang disepakati para pihak sesuai tujuan Nota Kesepahaman ini. </x:v>
      </x:c>
      <x:c r="H7" s="27" t="str">
        <x:v>https://p2ma.kemenkum.go.id/uploads/kerjasama/naskah/1779268941.pdf</x:v>
      </x:c>
      <x:c r="I7" s="44"/>
    </x:row>
    <x:row r="8" ht="72" customHeight="1">
      <x:c r="A8" s="43" t="n">
        <x:v>4</x:v>
      </x:c>
      <x:c r="B8" s="27" t="str">
        <x:v>TATA KELOLA</x:v>
      </x:c>
      <x:c r="C8" s="27" t="str">
        <x:v>Status arsip</x:v>
      </x:c>
      <x:c r="D8" s="27" t="str">
        <x:v>Ketersediaan naskah lengkap pada lokasi arsip resmi dan dapat ditemukan kembali.</x:v>
      </x:c>
      <x:c r="E8" s="27" t="str">
        <x:v>Arsip resmi; register; folder organisasi.</x:v>
      </x:c>
      <x:c r="F8" s="27" t="str">
        <x:v>TERVERIFIKASI</x:v>
      </x:c>
      <x:c r="G8" s="27" t="str">
        <x:v>Salinan naskah dapat dibuka melalui P2MA. Lokasi arsip resmi internal naskah hardcopy berada pada bagian TU Umum Tim TU</x:v>
      </x:c>
      <x:c r="H8" s="27" t="str">
        <x:v>Naskah P2MA pada halaman 1; arsip internal pada Bagian Umum Tim TU</x:v>
      </x:c>
      <x:c r="I8" s="44"/>
    </x:row>
    <x:row r="9" ht="72" customHeight="1">
      <x:c r="A9" s="43" t="n">
        <x:v>5</x:v>
      </x:c>
      <x:c r="B9" s="27" t="str">
        <x:v>TATA KELOLA</x:v>
      </x:c>
      <x:c r="C9" s="27" t="str">
        <x:v>Status P2MA</x:v>
      </x:c>
      <x:c r="D9" s="27" t="str">
        <x:v>Keberadaan entri dan kesesuaian metadata P2MA dengan naskah resmi.</x:v>
      </x:c>
      <x:c r="E9" s="27" t="str">
        <x:v>P2MA dan naskah bertanda tangan.</x:v>
      </x:c>
      <x:c r="F9" s="27" t="str">
        <x:v>TERVERIFIKASI</x:v>
      </x:c>
      <x:c r="G9" s="27" t="str">
        <x:v>Entri publik P2MA ditemukan dengan status Berlangsung dan naskah PDF dapat dibuka dan terdapat 1 entri ditemukan, namun terdapat anomali tampilan karakter/ typo pada judul naskah MoU di aplikasi P2MA.</x:v>
      </x:c>
      <x:c r="H9" s="27" t="str">
        <x:v>https://p2ma.kemenkum.go.id/kdn/pencarian?tipe=1&amp;keyword=Sekolah%20Tinggi%20Agama%20Islam%20Natuna</x:v>
      </x:c>
      <x:c r="I9" s="44"/>
    </x:row>
    <x:row r="10" ht="72" customHeight="1">
      <x:c r="A10" s="43" t="n">
        <x:v>6</x:v>
      </x:c>
      <x:c r="B10" s="27" t="str">
        <x:v>PENGAMPU</x:v>
      </x:c>
      <x:c r="C10" s="27" t="str">
        <x:v>Unit pengampu</x:v>
      </x:c>
      <x:c r="D10" s="27" t="str">
        <x:v>Unit internal yang bertanggung jawab atas substansi dan implementasi kerja sama.</x:v>
      </x:c>
      <x:c r="E10" s="27" t="str">
        <x:v>ND/SK/pembagian tugas; konfirmasi tertulis unit.</x:v>
      </x:c>
      <x:c r="F10" s="27" t="str">
        <x:v>BELUM TERSEDIA</x:v>
      </x:c>
      <x:c r="G10" s="27" t="str">
        <x:v>Belum terdapat sumber bukti yang menunjukkan unit pengampu/internal yang bertanggung jawab atas implementasi kerja sama</x:v>
      </x:c>
      <x:c r="H10" s="27" t="str">
        <x:v>Naskah/P2MA publik; ND, SK, pembagian tugas, atau konfirmasi unit belum diperoleh secara menyeluruh</x:v>
      </x:c>
      <x:c r="I10" s="44"/>
    </x:row>
    <x:row r="11" ht="72" customHeight="1">
      <x:c r="A11" s="43" t="n">
        <x:v>7</x:v>
      </x:c>
      <x:c r="B11" s="27" t="str">
        <x:v>PIC</x:v>
      </x:c>
      <x:c r="C11" s="27" t="str">
        <x:v>PIC internal</x:v>
      </x:c>
      <x:c r="D11" s="27" t="str">
        <x:v>PIC utama dan cadangan yang aktif, lengkap dengan jabatan, kontak, dan dasar penetapan.</x:v>
      </x:c>
      <x:c r="E11" s="27" t="str">
        <x:v>ND/SK/daftar PIC; konfirmasi tertulis unit.</x:v>
      </x:c>
      <x:c r="F11" s="27" t="str">
        <x:v>BELUM TERSEDIA</x:v>
      </x:c>
      <x:c r="G11" s="27" t="str">
        <x:v>PIC internal utama dalam naskah MoU menyebutkan Kepala Kantor Wilayah dan cadangan belum dapat dipastikan dari sumber publik yang diperiksa.</x:v>
      </x:c>
      <x:c r="H11" s="27" t="str">
        <x:v>Daftar PIC, ND/SK, dan konfirmasi tertulis unit belum diperoleh.</x:v>
      </x:c>
      <x:c r="I11" s="44"/>
    </x:row>
    <x:row r="12" ht="72" customHeight="1">
      <x:c r="A12" s="43" t="n">
        <x:v>8</x:v>
      </x:c>
      <x:c r="B12" s="27" t="str">
        <x:v>PIC</x:v>
      </x:c>
      <x:c r="C12" s="27" t="str">
        <x:v>PIC mitra</x:v>
      </x:c>
      <x:c r="D12" s="27" t="str">
        <x:v>Penghubung operasional pihak mitra yang telah dikonfirmasi.</x:v>
      </x:c>
      <x:c r="E12" s="27" t="str">
        <x:v>Surat/email/form konfirmasi resmi dari mitra.</x:v>
      </x:c>
      <x:c r="F12" s="27" t="str">
        <x:v>BELUM TERSEDIA</x:v>
      </x:c>
      <x:c r="G12" s="27" t="str">
        <x:v>PIC operasional pihak mitra dalam naskah MoU menyebutkan Ketua STAI natuna, namun belum dikonfirmasi melalui surat, email resmi, atau formulir penunjukan.</x:v>
      </x:c>
      <x:c r="H12" s="27" t="str">
        <x:v>Surat/email/formulir penunjukan PIC mitra belum diperoleh.</x:v>
      </x:c>
      <x:c r="I12" s="44"/>
    </x:row>
    <x:row r="13" ht="72" customHeight="1">
      <x:c r="A13" s="43" t="n">
        <x:v>9</x:v>
      </x:c>
      <x:c r="B13" s="27" t="str">
        <x:v>TINDAK LANJUT</x:v>
      </x:c>
      <x:c r="C13" s="27" t="str">
        <x:v>Rencana tindak lanjut</x:v>
      </x:c>
      <x:c r="D13" s="27" t="str">
        <x:v>Dokumen atau komitmen operasional yang memuat kegiatan, periode, target, dan/atau PIC.</x:v>
      </x:c>
      <x:c r="E13" s="27" t="str">
        <x:v>Rencana aksi; matriks kerja; kalender; notula.</x:v>
      </x:c>
      <x:c r="F13" s="27" t="str">
        <x:v>BELUM TERSEDIA</x:v>
      </x:c>
      <x:c r="G13" s="27" t="str">
        <x:v>Ruang lingkup naskah tersedia, tetapi belum ditemukan rencana aksi atau komitmen operasional yang memuat kegiatan, periode, target, dan PIC.</x:v>
      </x:c>
      <x:c r="H13" s="27" t="str">
        <x:v>Rencana aksi, matriks kerja, kalender, atau notula belum diperoleh.</x:v>
      </x:c>
      <x:c r="I13" s="44"/>
    </x:row>
    <x:row r="14" ht="72" customHeight="1">
      <x:c r="A14" s="43" t="n">
        <x:v>10</x:v>
      </x:c>
      <x:c r="B14" s="27" t="str">
        <x:v>PELAKSANAAN</x:v>
      </x:c>
      <x:c r="C14" s="27" t="str">
        <x:v>Pelaksanaan dan hasil</x:v>
      </x:c>
      <x:c r="D14" s="27" t="str">
        <x:v>Kegiatan aktual, realisasi terhadap target jatuh tempo, serta output yang dihasilkan.</x:v>
      </x:c>
      <x:c r="E14" s="27" t="str">
        <x:v>Laporan; undangan; notula; daftar hadir; data hasil.</x:v>
      </x:c>
      <x:c r="F14" s="27" t="str">
        <x:v>BELUM TERSEDIA</x:v>
      </x:c>
      <x:c r="G14" s="27" t="str">
        <x:v>Status Berlangsung pada P2MA belum membuktikan kegiatan atau output. Laporan pelaksanaan dan data hasil belum diperiksa.</x:v>
      </x:c>
      <x:c r="H14" s="27" t="str">
        <x:v>Laporan, undangan, notula, daftar hadir, dan data hasil belum diperoleh.</x:v>
      </x:c>
      <x:c r="I14" s="44"/>
    </x:row>
    <x:row r="15" ht="72" customHeight="1">
      <x:c r="A15" s="43" t="n">
        <x:v>11</x:v>
      </x:c>
      <x:c r="B15" s="27" t="str">
        <x:v>EVIDEN</x:v>
      </x:c>
      <x:c r="C15" s="27" t="str">
        <x:v>Eviden implementasi</x:v>
      </x:c>
      <x:c r="D15" s="27" t="str">
        <x:v>Bukti pelaksanaan/output, lokasi penyimpanan, dan tingkat keteraturannya.</x:v>
      </x:c>
      <x:c r="E15" s="27" t="str">
        <x:v>Folder resmi; indeks bukti; dokumen/data kegiatan.</x:v>
      </x:c>
      <x:c r="F15" s="27" t="str">
        <x:v>BELUM TERSEDIA</x:v>
      </x:c>
      <x:c r="G15" s="27" t="str">
        <x:v>Naskah dan entri P2MA tersedia, tetapi folder resmi, indeks, serta bukti implementasi belum diperiksa.</x:v>
      </x:c>
      <x:c r="H15" s="27" t="str">
        <x:v>Folder eviden, indeks bukti, dan dokumen/data kegiatan belum diperoleh.</x:v>
      </x:c>
      <x:c r="I15" s="44"/>
    </x:row>
    <x:row r="16" ht="72" customHeight="1">
      <x:c r="A16" s="45" t="n">
        <x:v>12</x:v>
      </x:c>
      <x:c r="B16" s="46" t="str">
        <x:v>HAMBATAN</x:v>
      </x:c>
      <x:c r="C16" s="46" t="str">
        <x:v>Hambatan/gap</x:v>
      </x:c>
      <x:c r="D16" s="46" t="str">
        <x:v>Kendala faktual atau kekosongan data yang memengaruhi implementasi dan sudah dikonfirmasi.</x:v>
      </x:c>
      <x:c r="E16" s="46" t="str">
        <x:v>Konfirmasi unit/PIC/mitra; notula; laporan; bukti keterlambatan.</x:v>
      </x:c>
      <x:c r="F16" s="46" t="str">
        <x:v>BELUM TERSEDIA</x:v>
      </x:c>
      <x:c r="G16" s="46" t="str">
        <x:v>Hambatan operasional belum dikonfirmasi. Gap baseline pada cut-off mencakup unit pengampu, PIC, rencana tindak lanjut, pelaksanaan, eviden implementasi, serta anomali/typo judul pada tampilan P2MA.</x:v>
      </x:c>
      <x:c r="H16" s="46" t="str">
        <x:v>Penelusuran publik P2MA; konfirmasi unit/PIC/mitra belum dilakukan.</x:v>
      </x:c>
      <x:c r="I16" s="47"/>
    </x:row>
  </x:sheetData>
  <x:pageMargins left="0.7" right="0.7" top="0.75" bottom="0.75" header="0.3" footer="0.3"/>
</x:worksheet>
</file>

<file path=xl/worksheets/sheet8.xml><?xml version="1.0" encoding="utf-8"?>
<x:worksheet xmlns:x="http://schemas.openxmlformats.org/spreadsheetml/2006/main">
  <x:sheetFormatPr defaultRowHeight="14.25"/>
  <x:cols>
    <x:col min="1" max="1" width="8.375" customWidth="1"/>
    <x:col min="2" max="2" width="34" customWidth="1"/>
    <x:col min="3" max="3" width="22" customWidth="1"/>
    <x:col min="4" max="4" width="48" customWidth="1"/>
    <x:col min="5" max="5" width="18" customWidth="1"/>
    <x:col min="6" max="6" width="42" customWidth="1"/>
  </x:cols>
  <x:sheetData>
    <x:row r="1" ht="18">
      <x:c r="A1" s="721" t="str">
        <x:v>SUMBER DATA PASCA-BASELINE — P09 Sekolah Tinggi Agama Islam Natuna</x:v>
      </x:c>
      <x:c r="B1" s="722"/>
      <x:c r="C1" s="722"/>
      <x:c r="D1" s="722"/>
      <x:c r="E1" s="722"/>
      <x:c r="F1" s="723"/>
    </x:row>
    <x:row r="2">
      <x:c r="A2" s="724" t="str">
        <x:v>Penilaian s.d. 27 September 2026 menggunakan Final Baseline P09 dan stai natuna.xlsx sebagai evidence terbaru.</x:v>
      </x:c>
      <x:c r="B2" s="725"/>
      <x:c r="C2" s="725"/>
      <x:c r="D2" s="725"/>
      <x:c r="E2" s="725"/>
      <x:c r="F2" s="726"/>
    </x:row>
    <x:row r="3">
      <x:c r="A3" s="610"/>
      <x:c r="B3" s="395"/>
      <x:c r="C3" s="395"/>
      <x:c r="D3" s="395"/>
      <x:c r="E3" s="395"/>
      <x:c r="F3" s="611"/>
    </x:row>
    <x:row r="4" ht="30">
      <x:c r="A4" s="608" t="str">
        <x:v>No</x:v>
      </x:c>
      <x:c r="B4" s="600" t="str">
        <x:v>Sumber</x:v>
      </x:c>
      <x:c r="C4" s="600" t="str">
        <x:v>Jenis Data</x:v>
      </x:c>
      <x:c r="D4" s="600" t="str">
        <x:v>Fakta Kunci</x:v>
      </x:c>
      <x:c r="E4" s="600" t="str">
        <x:v>Indikator Scorecard</x:v>
      </x:c>
      <x:c r="F4" s="609" t="str">
        <x:v>Catatan Rekonsiliasi</x:v>
      </x:c>
    </x:row>
    <x:row r="5" ht="42.75">
      <x:c r="A5" s="610" t="n">
        <x:v>1</x:v>
      </x:c>
      <x:c r="B5" s="395" t="str">
        <x:v>stai natuna.xlsx — IDENTITAS &amp; PIC</x:v>
      </x:c>
      <x:c r="C5" s="395" t="str">
        <x:v>Mitra</x:v>
      </x:c>
      <x:c r="D5" s="395" t="str">
        <x:v>PIC utama Dedi Supriadi, PIC cadangan Natuna Adi Putra; peserta forum Hasmiza, M.Pd.</x:v>
      </x:c>
      <x:c r="E5" s="395" t="str">
        <x:v>I1,I7</x:v>
      </x:c>
      <x:c r="F5" s="611" t="str">
        <x:v>Konfirmasi PIC mitra kuat.</x:v>
      </x:c>
    </x:row>
    <x:row r="6" ht="42.75">
      <x:c r="A6" s="610" t="n">
        <x:v>2</x:v>
      </x:c>
      <x:c r="B6" s="395" t="str">
        <x:v>stai natuna.xlsx — USULAN TINDAK LANJUT</x:v>
      </x:c>
      <x:c r="C6" s="395" t="str">
        <x:v>Mitra</x:v>
      </x:c>
      <x:c r="D6" s="395" t="str">
        <x:v>7 usulan lengkap dari pembentukan Sentra KI sampai integrasi KI dengan penelitian/PkM, dengan target waktu dan kebutuhan bantuan.</x:v>
      </x:c>
      <x:c r="E6" s="395" t="str">
        <x:v>I1,I7</x:v>
      </x:c>
      <x:c r="F6" s="611" t="str">
        <x:v>Roadmap implementasi cukup terstruktur.</x:v>
      </x:c>
    </x:row>
    <x:row r="7" ht="42.75">
      <x:c r="A7" s="610" t="n">
        <x:v>3</x:v>
      </x:c>
      <x:c r="B7" s="395" t="str">
        <x:v>stai natuna.xlsx — PELAKSANAAN/RINGKASAN</x:v>
      </x:c>
      <x:c r="C7" s="395" t="str">
        <x:v>Mitra</x:v>
      </x:c>
      <x:c r="D7" s="395" t="str">
        <x:v>Total kegiatan 0; belum ada evidence implementasi; 7 usulan tindak lanjut tersedia.</x:v>
      </x:c>
      <x:c r="E7" s="395" t="str">
        <x:v>I2,I3,I4,I5,I6</x:v>
      </x:c>
      <x:c r="F7" s="611" t="str">
        <x:v>Menunjukkan kerja sama masih pada fase awal.</x:v>
      </x:c>
    </x:row>
    <x:row r="8" ht="42.75">
      <x:c r="A8" s="610" t="n">
        <x:v>4</x:v>
      </x:c>
      <x:c r="B8" s="395" t="str">
        <x:v>FINAL BASELINE P09</x:v>
      </x:c>
      <x:c r="C8" s="395" t="str">
        <x:v>Baseline</x:v>
      </x:c>
      <x:c r="D8" s="395" t="str">
        <x:v>Arsip/P2MA terverifikasi; unit pengampu, PIC, RTL, pelaksanaan dan evidence belum tersedia pada cut-off.</x:v>
      </x:c>
      <x:c r="E8" s="395" t="str">
        <x:v>I1,I6,I7</x:v>
      </x:c>
      <x:c r="F8" s="611" t="str">
        <x:v>Menjadi titik awal perubahan.</x:v>
      </x:c>
    </x:row>
    <x:row r="9" ht="42.75">
      <x:c r="A9" s="610"/>
      <x:c r="B9" s="395"/>
      <x:c r="C9" s="395"/>
      <x:c r="D9" s="395"/>
      <x:c r="E9" s="395"/>
      <x:c r="F9" s="611"/>
    </x:row>
    <x:row r="10" ht="42.75">
      <x:c r="A10" s="610" t="str">
        <x:v>Catatan Kematangan</x:v>
      </x:c>
      <x:c r="B10" s="395" t="str">
        <x:v>MoU berlaku sejak 8 Mei 2026</x:v>
      </x:c>
      <x:c r="C10" s="395" t="str">
        <x:v>Usia saat penilaian 142 hari (&lt;6 bulan)</x:v>
      </x:c>
      <x:c r="D10" s="395" t="str">
        <x:v>I1, I6, I7 = DAPAT DINILAI; I2–I5 = BELUM DAPAT DINILAI</x:v>
      </x:c>
      <x:c r="E10" s="395" t="str">
        <x:v>Status Scorecard = MASA IMPLEMENTASI AWAL</x:v>
      </x:c>
      <x:c r="F10" s="611" t="str">
        <x:v>Rencana telah tersedia, tetapi implementasi belum mulai dan sebagian besar target baru jatuh pada/ setelah periode penilaian.</x:v>
      </x:c>
    </x:row>
    <x:row r="11" ht="28.5">
      <x:c r="A11" s="610"/>
      <x:c r="B11" s="395"/>
      <x:c r="C11" s="395"/>
      <x:c r="D11" s="395"/>
      <x:c r="E11" s="395"/>
      <x:c r="F11" s="611"/>
    </x:row>
    <x:row r="12" ht="28.5">
      <x:c r="A12" s="612"/>
      <x:c r="B12" s="396"/>
      <x:c r="C12" s="396"/>
      <x:c r="D12" s="396"/>
      <x:c r="E12" s="396"/>
      <x:c r="F12" s="613"/>
    </x:row>
    <x:row r="13">
      <x:c r="A13" s="395"/>
      <x:c r="B13" s="395"/>
      <x:c r="C13" s="395"/>
      <x:c r="D13" s="395"/>
      <x:c r="E13" s="395"/>
      <x:c r="F13" s="395"/>
    </x:row>
    <x:row r="14" s="83" customFormat="1" ht="51">
      <x:c r="A14" s="633"/>
      <x:c r="B14" s="633"/>
      <x:c r="C14" s="633"/>
      <x:c r="D14" s="633"/>
      <x:c r="E14" s="633"/>
      <x:c r="F14" s="633"/>
    </x:row>
    <x:row r="15">
      <x:c r="A15" s="395"/>
      <x:c r="B15" s="395"/>
      <x:c r="C15" s="395"/>
      <x:c r="D15" s="395"/>
      <x:c r="E15" s="395"/>
      <x:c r="F15" s="395"/>
    </x:row>
    <x:row r="16">
      <x:c r="A16" s="395"/>
      <x:c r="B16" s="395"/>
      <x:c r="C16" s="395"/>
      <x:c r="D16" s="395"/>
      <x:c r="E16" s="395"/>
      <x:c r="F16" s="395"/>
    </x:row>
    <x:row r="17">
      <x:c r="A17" s="395"/>
      <x:c r="B17" s="395"/>
      <x:c r="C17" s="395"/>
      <x:c r="D17" s="395"/>
      <x:c r="E17" s="395"/>
      <x:c r="F17" s="395"/>
    </x:row>
    <x:row r="18">
      <x:c r="A18" s="395"/>
      <x:c r="B18" s="395"/>
      <x:c r="C18" s="395"/>
      <x:c r="D18" s="395"/>
      <x:c r="E18" s="395"/>
      <x:c r="F18" s="395"/>
    </x:row>
    <x:row r="19">
      <x:c r="A19" s="395"/>
      <x:c r="B19" s="395"/>
      <x:c r="C19" s="395"/>
      <x:c r="D19" s="395"/>
      <x:c r="E19" s="395"/>
      <x:c r="F19" s="395"/>
    </x:row>
    <x:row r="20">
      <x:c r="A20" s="395"/>
      <x:c r="B20" s="395"/>
      <x:c r="C20" s="395"/>
      <x:c r="D20" s="395"/>
      <x:c r="E20" s="395"/>
      <x:c r="F20" s="395"/>
    </x:row>
    <x:row r="21">
      <x:c r="A21" s="395"/>
      <x:c r="B21" s="395"/>
      <x:c r="C21" s="395"/>
      <x:c r="D21" s="395"/>
      <x:c r="E21" s="395"/>
      <x:c r="F21" s="395"/>
    </x:row>
    <x:row r="22">
      <x:c r="A22" s="395"/>
      <x:c r="B22" s="395"/>
      <x:c r="C22" s="395"/>
      <x:c r="D22" s="395"/>
      <x:c r="E22" s="395"/>
      <x:c r="F22" s="395"/>
    </x:row>
    <x:row r="23">
      <x:c r="A23" s="395"/>
      <x:c r="B23" s="395"/>
      <x:c r="C23" s="395"/>
      <x:c r="D23" s="395"/>
      <x:c r="E23" s="395"/>
      <x:c r="F23" s="395"/>
    </x:row>
    <x:row r="24">
      <x:c r="A24" s="395"/>
      <x:c r="B24" s="395"/>
      <x:c r="C24" s="395"/>
      <x:c r="D24" s="395"/>
      <x:c r="E24" s="395"/>
      <x:c r="F24" s="395"/>
    </x:row>
    <x:row r="25">
      <x:c r="A25" s="395"/>
      <x:c r="B25" s="395"/>
      <x:c r="C25" s="395"/>
      <x:c r="D25" s="395"/>
      <x:c r="E25" s="395"/>
      <x:c r="F25" s="395"/>
    </x:row>
    <x:row r="26">
      <x:c r="A26" s="395"/>
      <x:c r="B26" s="395"/>
      <x:c r="C26" s="395"/>
      <x:c r="D26" s="395"/>
      <x:c r="E26" s="395"/>
      <x:c r="F26" s="395"/>
    </x:row>
    <x:row r="27">
      <x:c r="A27" s="395"/>
      <x:c r="B27" s="395"/>
      <x:c r="C27" s="395"/>
      <x:c r="D27" s="395"/>
      <x:c r="E27" s="395"/>
      <x:c r="F27" s="395"/>
    </x:row>
    <x:row r="28">
      <x:c r="A28" s="395"/>
      <x:c r="B28" s="395"/>
      <x:c r="C28" s="395"/>
      <x:c r="D28" s="395"/>
      <x:c r="E28" s="395"/>
      <x:c r="F28" s="395"/>
    </x:row>
    <x:row r="29">
      <x:c r="A29" s="395"/>
      <x:c r="B29" s="395"/>
      <x:c r="C29" s="395"/>
      <x:c r="D29" s="395"/>
      <x:c r="E29" s="395"/>
      <x:c r="F29" s="395"/>
    </x:row>
    <x:row r="30">
      <x:c r="A30" s="395"/>
      <x:c r="B30" s="395"/>
      <x:c r="C30" s="395"/>
      <x:c r="D30" s="395"/>
      <x:c r="E30" s="395"/>
      <x:c r="F30" s="395"/>
    </x:row>
    <x:row r="31">
      <x:c r="A31" s="395"/>
      <x:c r="B31" s="395"/>
      <x:c r="C31" s="395"/>
      <x:c r="D31" s="395"/>
      <x:c r="E31" s="395"/>
      <x:c r="F31" s="395"/>
    </x:row>
    <x:row r="32">
      <x:c r="A32" s="395"/>
      <x:c r="B32" s="395"/>
      <x:c r="C32" s="395"/>
      <x:c r="D32" s="395"/>
      <x:c r="E32" s="395"/>
      <x:c r="F32" s="395"/>
    </x:row>
    <x:row r="33">
      <x:c r="A33" s="395"/>
      <x:c r="B33" s="395"/>
      <x:c r="C33" s="395"/>
      <x:c r="D33" s="395"/>
      <x:c r="E33" s="395"/>
      <x:c r="F33" s="395"/>
    </x:row>
    <x:row r="34">
      <x:c r="A34" s="395"/>
      <x:c r="B34" s="395"/>
      <x:c r="C34" s="395"/>
      <x:c r="D34" s="395"/>
      <x:c r="E34" s="395"/>
      <x:c r="F34" s="395"/>
    </x:row>
    <x:row r="35">
      <x:c r="A35" s="395"/>
      <x:c r="B35" s="395"/>
      <x:c r="C35" s="395"/>
      <x:c r="D35" s="395"/>
      <x:c r="E35" s="395"/>
      <x:c r="F35" s="395"/>
    </x:row>
    <x:row r="36">
      <x:c r="A36" s="395"/>
      <x:c r="B36" s="395"/>
      <x:c r="C36" s="395"/>
      <x:c r="D36" s="395"/>
      <x:c r="E36" s="395"/>
      <x:c r="F36" s="395"/>
    </x:row>
    <x:row r="37">
      <x:c r="A37" s="395"/>
      <x:c r="B37" s="395"/>
      <x:c r="C37" s="395"/>
      <x:c r="D37" s="395"/>
      <x:c r="E37" s="395"/>
      <x:c r="F37" s="395"/>
    </x:row>
    <x:row r="38">
      <x:c r="A38" s="395"/>
      <x:c r="B38" s="395"/>
      <x:c r="C38" s="395"/>
      <x:c r="D38" s="395"/>
      <x:c r="E38" s="395"/>
      <x:c r="F38" s="395"/>
    </x:row>
    <x:row r="39">
      <x:c r="A39" s="395"/>
      <x:c r="B39" s="395"/>
      <x:c r="C39" s="395"/>
      <x:c r="D39" s="395"/>
      <x:c r="E39" s="395"/>
      <x:c r="F39" s="395"/>
    </x:row>
    <x:row r="40">
      <x:c r="A40" s="395"/>
      <x:c r="B40" s="395"/>
      <x:c r="C40" s="395"/>
      <x:c r="D40" s="395"/>
      <x:c r="E40" s="395"/>
      <x:c r="F40" s="395"/>
    </x:row>
  </x:sheetData>
  <x:pageMargins left="0.7" right="0.7" top="0.75" bottom="0.75" header="0.3" footer="0.3"/>
</x:worksheet>
</file>