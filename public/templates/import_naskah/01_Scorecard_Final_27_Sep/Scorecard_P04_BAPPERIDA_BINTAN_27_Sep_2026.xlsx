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d7e3d822ff48c9" /></Relationships>
</file>

<file path=xl/workbook.xml><?xml version="1.0" encoding="utf-8"?>
<x:workbook xmlns:x="http://schemas.openxmlformats.org/spreadsheetml/2006/main">
  <x:sheets>
    <x:sheet xmlns:r="http://schemas.openxmlformats.org/officeDocument/2006/relationships" name="PENILAIAN" sheetId="1" r:id="R71bff969c805436f"/>
    <x:sheet xmlns:r="http://schemas.openxmlformats.org/officeDocument/2006/relationships" name="KENDALI" sheetId="2" r:id="R7fcc799fc72b41ab"/>
    <x:sheet xmlns:r="http://schemas.openxmlformats.org/officeDocument/2006/relationships" name="REKOMENDASI" sheetId="3" r:id="R6d66591f32cf43b4"/>
    <x:sheet xmlns:r="http://schemas.openxmlformats.org/officeDocument/2006/relationships" name="RUBRIK" sheetId="4" r:id="Re67a43fa3155410b"/>
    <x:sheet xmlns:r="http://schemas.openxmlformats.org/officeDocument/2006/relationships" name="PANDUAN" sheetId="5" r:id="Rd08608d8c2324d0d"/>
    <x:sheet xmlns:r="http://schemas.openxmlformats.org/officeDocument/2006/relationships" name="CONTOH" sheetId="6" r:id="R6353ab4c1e1c4cde"/>
    <x:sheet xmlns:r="http://schemas.openxmlformats.org/officeDocument/2006/relationships" name="SUMBER_BASELINE" sheetId="7" r:id="Rd403133d0404424c"/>
    <x:sheet xmlns:r="http://schemas.openxmlformats.org/officeDocument/2006/relationships" name="SUMBER_AKTUAL" sheetId="8" r:id="R2ca4e95958354afe"/>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<x:sst xmlns:x="http://schemas.openxmlformats.org/spreadsheetml/2006/main">
  <x:si>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</x:si>
  <x:si>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</x:si>
  <x:si>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</x:si>
  <x:si>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</x:si>
  <x:si>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</x:si>
  <x:si>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</x:si>
  <x:si>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</x:si>
  <x:si>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</x:si>
  <x:si>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</x:si>
  <x:si>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</x:si>
  <x:si>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</x:si>
  <x:si>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</x:si>
  <x:si>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</x:si>
  <x:si>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</x:si>
  <x:si>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</x:si>
  <x:si>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</x:si>
  <x:si>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</x:si>
  <x:si>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</x:si>
  <x:si>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</x:si>
  <x:si>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</x:si>
  <x:si>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</x:si>
  <x:si>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</x:si>
  <x:si>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</x:si>
  <x:si>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</x:si>
  <x:si>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</x:si>
  <x:si>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</x:si>
  <x:si>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</x:si>
  <x:si>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</x:si>
  <x:si>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</x:si>
  <x:si>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</x:si>
  <x:si>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</x:si>
  <x:si>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</x:si>
  <x:si>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</x:si>
  <x:si>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</x:si>
  <x:si>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</x:si>
  <x:si>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</x:si>
  <x:si>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</x:si>
  <x:si>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</x:si>
  <x:si>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</x:si>
  <x:si>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</x:si>
  <x:si>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</x:si>
  <x:si>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</x:si>
  <x:si>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</x:si>
  <x:si>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</x:si>
  <x:si>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</x:si>
  <x:si>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</x:si>
  <x:si>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</x:si>
  <x:si>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</x:si>
  <x:si>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</x:si>
  <x:si>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</x:si>
  <x:si>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</x:si>
  <x:si>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</x:si>
  <x:si>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</x:si>
  <x:si>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</x:si>
  <x:si>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</x:si>
  <x:si>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</x:si>
  <x:si>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</x:si>
  <x:si>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</x:si>
  <x:si>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</x:si>
  <x:si>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</x:si>
  <x:si>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</x:si>
  <x:si>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</x:si>
  <x:si>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</x:si>
  <x:si>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</x:si>
  <x:si>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</x:si>
  <x:si>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</x:si>
  <x:si>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</x:si>
  <x:si>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</x:si>
  <x:si>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</x:si>
  <x:si>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</x:si>
  <x:si>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</x:si>
  <x:si>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</x:si>
  <x:si>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</x:si>
  <x:si>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</x:si>
  <x:si>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</x:si>
  <x:si>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</x:si>
  <x:si>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</x:si>
  <x:si>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</x:si>
  <x:si>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</x:si>
  <x:si>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</x:si>
  <x:si>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DALAM TINDAK LANJUT</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</x:si>
  <x:si>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</x:si>
  <x:si>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</x:si>
  <x:si>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</x:si>
  <x:si>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</x:si>
  <x:si>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</x:si>
  <x:si>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</x:si>
  <x:si>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</x:si>
  <x:si>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</x:si>
  <x:si>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</x:si>
  <x:si>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</x:si>
  <x:si>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</x:si>
  <x:si>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</x:si>
  <x:si>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</x:si>
  <x:si>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</x:si>
  <x:si>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</x:si>
  <x:si>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</x:si>
  <x:si>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</x:si>
  <x:si>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</x:si>
  <x:si>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</x:si>
  <x:si>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</x:si>
  <x:si>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</x:si>
  <x:si>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</x:si>
  <x:si>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</x:si>
  <x:si>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</x:si>
  <x:si>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</x:si>
  <x:si>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</x:si>
  <x:si>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</x:si>
  <x:si>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</x:si>
  <x:si>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</x:si>
  <x:si>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</x:si>
  <x:si>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</x:si>
  <x:si>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</x:si>
  <x:si>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</x:si>
  <x:si>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</x:si>
  <x:si>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</x:si>
  <x:si>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</x:si>
  <x:si>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</x:si>
  <x:si>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</x:si>
  <x:si>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</x:si>
  <x:si>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</x:si>
  <x:si>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</x:si>
  <x:si>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</x:si>
  <x:si>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</x:si>
  <x:si>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</x:si>
  <x:si>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</x:si>
  <x:si>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</x:si>
  <x:si>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</x:si>
  <x:si>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</x:si>
  <x:si>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</x:si>
  <x:si>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</x:si>
  <x:si>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</x:si>
  <x:si>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</x:si>
  <x:si>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</x:si>
  <x:si>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</x:si>
  <x:si>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</x:si>
  <x:si>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</x:si>
  <x:si>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</x:si>
  <x:si>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</x:si>
  <x:si>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</x:si>
  <x:si>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</x:si>
  <x:si>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</x:si>
  <x:si>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</x:si>
  <x:si>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</x:si>
  <x:si>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</x:si>
  <x:si>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</x:si>
  <x:si>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</x:si>
  <x:si>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</x:si>
  <x:si>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</x:si>
  <x:si>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</x:si>
  <x:si>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</x:si>
  <x:si>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</x:si>
  <x:si>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</x:si>
  <x:si>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</x:si>
  <x:si>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</x:si>
  <x:si>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</x:si>
  <x:si>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</x:si>
  <x:si>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</x:si>
  <x:si>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</x:si>
  <x:si>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</x:si>
  <x:si>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</x:si>
  <x:si>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</x:si>
  <x:si>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</x:si>
  <x:si>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</x:si>
  <x:si>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</x:si>
  <x:si>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</x:si>
  <x:si>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</x:si>
  <x:si>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</x:si>
  <x:si>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</x:si>
  <x:si>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</x:si>
  <x:si>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</x:si>
  <x:si>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</x:si>
  <x:si>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</x:si>
  <x:si>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</x:si>
  <x:si>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</x:si>
  <x:si>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</x:si>
  <x:si>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</x:si>
  <x:si>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</x:si>
  <x:si>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</x:si>
  <x:si>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</x:si>
  <x:si>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</x:si>
  <x:si>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</x:si>
  <x:si>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</x:si>
  <x:si>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</x:si>
  <x:si>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</x:si>
  <x:si>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</x:si>
  <x:si>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</x:si>
  <x:si>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</x:si>
  <x:si>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</x:si>
  <x:si>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</x:si>
  <x:si>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</x:si>
  <x:si>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</x:si>
  <x:si>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</x:si>
  <x:si>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</x:si>
  <x:si>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</x:si>
  <x:si>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</x:si>
  <x:si>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BELUM DAPAT DINILAI</x:t>
  </x:si>
  <x:si>
    <x:t xml:space="preserve">Digunakan bila secara objektif belum cukup waktu bagi indikator untuk menghasilkan hasil/manfaat. Ini terutama relevan pada masa implementasi awal untuk outcome dan kontribusi/dampak.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</x:si>
  <x:si>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</x:si>
  <x:si>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</x:si>
  <x:si>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</x:si>
  <x:si>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</x:si>
  <x:si>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</x:si>
  <x:si>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Masa Implementasi Awal</x:t>
  </x:si>
  <x:si>
    <x:t xml:space="preserve">Digunakan bila kerja sama masih baru sehingga sebagian indikator hasil (terutama outcome dan kontribusi/dampak) secara objektif belum layak diberi skor. Indikator yang sudah matang tetap dapat dinilai.</x:t>
  </x:si>
  <x:si>
    <x:t xml:space="preserve">Nilai final/kategori belum ditetapkan sampai seluruh indikator hasil memasuki periode penilaian yang memadai.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</x:si>
  <x:si>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</x:si>
  <x:si>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</x:si>
  <x:si>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</x:si>
  <x:si>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</x:si>
  <x:si>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</x:si>
  <x:si>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</x:si>
  <x:si>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</x:si>
  <x:si>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</x:si>
  <x:si>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</x:si>
  <x:si>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</x:si>
  <x:si>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</x:si>
  <x:si>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</x:si>
  <x:si>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</x:si>
  <x:si>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</x:si>
  <x:si>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</x:si>
  <x:si>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</x:si>
  <x:si>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</x:si>
  <x:si>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</x:si>
  <x:si>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</x:si>
  <x:si>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</x:si>
  <x:si>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</x:si>
  <x:si>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</x:si>
  <x:si>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</x:si>
  <x:si>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</x:si>
  <x:si>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</x:si>
  <x:si>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</x:si>
  <x:si>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</x:si>
  <x:si>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</x:si>
  <x:si>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</x:si>
  <x:si>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</x:si>
  <x:si>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</x:si>
  <x:si>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</x:si>
  <x:si>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</x:si>
  <x:si>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</x:si>
  <x:si>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</x:si>
  <x:si>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</x:si>
  <x:si>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</x:si>
  <x:si>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</x:si>
  <x:si>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</x:si>
  <x:si>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</x:si>
  <x:si>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</x:si>
  <x:si>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</x:si>
  <x:si>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</x:si>
  <x:si>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</x:si>
  <x:si>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</x:si>
  <x:si>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</x:si>
  <x:si>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</x:si>
  <x:si>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</x:si>
  <x:si>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</x:si>
  <x:si>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</x:si>
  <x:si>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</x:si>
  <x:si>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</x:si>
  <x:si>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</x:si>
  <x:si>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</x:si>
  <x:si>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</x:si>
  <x:si>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</x:si>
  <x:si>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</x:si>
  <x:si>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</x:si>
  <x:si>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CONTOH B — MASA IMPLEMENTASI AWAL: HASIL BELUM MEMASUKI PERIODE PENILAIAN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</x:si>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</x:sst>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10">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
      <x:sz val="11"/>
      <x:color rgb="FF1F1F1F"/>
      <x:name val="Carlito"/>
    </x:font>
  </x:fonts>
  <x:fills count="22">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
      <x:patternFill patternType="solid">
        <x:fgColor theme="1" tint="0.4999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7E6E6"/>
      </x:patternFill>
    </x:fill>
    <x:fill>
      <x:patternFill patternType="solid">
        <x:fgColor rgb="FFEEF5FB"/>
      </x:patternFill>
    </x:fill>
    <x:fill>
      <x:patternFill patternType="solid">
        <x:fgColor rgb="FFFFFFFF"/>
      </x:patternFill>
    </x:fill>
  </x:fills>
  <x:borders count="68">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indexed="64"/>
      </x:left>
      <x:right style="thin">
        <x:color indexed="64"/>
      </x:right>
      <x:bottom style="thin">
        <x:color rgb="FFB4C6E7"/>
      </x:bottom>
    </x:border>
    <x:border>
      <x:left style="thin">
        <x:color indexed="64"/>
      </x:left>
      <x:right style="thin">
        <x:color indexed="64"/>
      </x:right>
      <x:bottom style="thin">
        <x:color rgb="FFB4C6E7"/>
      </x:bottom>
    </x:border>
  </x:borders>
  <x:cellStyleXfs count="1">
    <x:xf numFmtId="0" fontId="0" fillId="0" borderId="0"/>
  </x:cellStyleXfs>
  <x:cellXfs count="727">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0" fillId="5" borderId="5" xfId="0" applyFill="1" applyBorder="1" applyAlignment="1">
      <x:alignment vertical="top" wrapText="1"/>
    </x:xf>
    <x:xf numFmtId="0" fontId="0" fillId="5" borderId="6" xfId="0" applyFill="1" applyBorder="1" applyAlignment="1">
      <x:alignment vertical="top" wrapText="1"/>
    </x:xf>
    <x:xf numFmtId="0" fontId="0" fillId="5" borderId="0" xfId="0" applyFill="1" applyAlignment="1">
      <x:alignment vertical="top" wrapText="1"/>
    </x:xf>
    <x:xf numFmtId="0" fontId="0" fillId="5" borderId="8" xfId="0" applyFill="1" applyBorder="1" applyAlignment="1">
      <x:alignment vertical="top" wrapText="1"/>
    </x:xf>
    <x:xf numFmtId="0" fontId="0" fillId="5" borderId="10" xfId="0" applyFill="1" applyBorder="1" applyAlignment="1">
      <x:alignment vertical="top"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7" fillId="12" borderId="0" xfId="0" applyFont="1" applyFill="1"/>
    <x:xf numFmtId="0" fontId="4" fillId="13" borderId="0" xfId="0" applyFont="1" applyFill="1" applyAlignment="1">
      <x:alignment wrapText="1"/>
    </x:xf>
    <x:xf numFmtId="0" fontId="6" fillId="11" borderId="21" xfId="0" applyFont="1" applyFill="1" applyBorder="1"/>
    <x:xf numFmtId="0" fontId="6" fillId="11" borderId="22" xfId="0" applyFont="1" applyFill="1" applyBorder="1"/>
    <x:xf numFmtId="0" fontId="6" fillId="11" borderId="23" xfId="0" applyFont="1" applyFill="1" applyBorder="1"/>
    <x:xf numFmtId="0" fontId="7" fillId="12" borderId="24" xfId="0" applyFont="1" applyFill="1" applyBorder="1"/>
    <x:xf numFmtId="0" fontId="7" fillId="12" borderId="25" xfId="0" applyFont="1" applyFill="1" applyBorder="1"/>
    <x:xf numFmtId="0" fontId="0" fillId="0" borderId="24" xfId="0" applyBorder="1"/>
    <x:xf numFmtId="0" fontId="0" fillId="0" borderId="25" xfId="0" applyBorder="1"/>
    <x:xf numFmtId="0" fontId="4" fillId="13" borderId="24" xfId="0" applyFont="1" applyFill="1" applyBorder="1" applyAlignment="1">
      <x:alignment wrapText="1"/>
    </x:xf>
    <x:xf numFmtId="0" fontId="4" fillId="13" borderId="25" xfId="0" applyFont="1" applyFill="1" applyBorder="1" applyAlignment="1">
      <x:alignment wrapText="1"/>
    </x:xf>
    <x:xf numFmtId="0" fontId="0" fillId="0" borderId="24" xfId="0" applyBorder="1" applyAlignment="1">
      <x:alignment wrapText="1"/>
    </x:xf>
    <x:xf numFmtId="0" fontId="0" fillId="0" borderId="25" xfId="0" applyBorder="1" applyAlignment="1">
      <x:alignment wrapText="1"/>
    </x:xf>
    <x:xf numFmtId="0" fontId="0" fillId="0" borderId="26" xfId="0" applyBorder="1" applyAlignment="1">
      <x:alignment wrapText="1"/>
    </x:xf>
    <x:xf numFmtId="0" fontId="0" fillId="0" borderId="27" xfId="0" applyBorder="1" applyAlignment="1">
      <x:alignment wrapText="1"/>
    </x:xf>
    <x:xf numFmtId="0" fontId="0" fillId="0" borderId="28" xfId="0" applyBorder="1" applyAlignment="1">
      <x:alignment wrapText="1"/>
    </x:xf>
    <x:xf numFmtId="0" fontId="3" fillId="4" borderId="4" xfId="0" applyFont="1" applyFill="1" applyBorder="1" applyAlignment="1">
      <x:alignment vertical="top"/>
    </x:xf>
    <x:xf numFmtId="0" fontId="3" fillId="4" borderId="5" xfId="0" applyFont="1" applyFill="1" applyBorder="1" applyAlignment="1">
      <x:alignment vertical="top"/>
    </x:xf>
    <x:xf numFmtId="0" fontId="3" fillId="4" borderId="7" xfId="0" applyFont="1" applyFill="1" applyBorder="1" applyAlignment="1">
      <x:alignment vertical="top"/>
    </x:xf>
    <x:xf numFmtId="0" fontId="3" fillId="4" borderId="0" xfId="0" applyFont="1" applyFill="1" applyAlignment="1">
      <x:alignment vertical="top"/>
    </x:xf>
    <x:xf numFmtId="0" fontId="3" fillId="4" borderId="9" xfId="0" applyFont="1" applyFill="1" applyBorder="1" applyAlignment="1">
      <x:alignment vertical="top"/>
    </x:xf>
    <x:xf numFmtId="0" fontId="3" fillId="4" borderId="10" xfId="0" applyFont="1" applyFill="1" applyBorder="1" applyAlignment="1">
      <x:alignment vertical="top"/>
    </x:xf>
    <x:xf numFmtId="0" fontId="5" fillId="0" borderId="29" xfId="0" applyFont="1" applyBorder="1" applyAlignment="1">
      <x:alignment vertical="top" wrapText="1"/>
    </x:xf>
    <x:xf numFmtId="0" fontId="5" fillId="0" borderId="29" xfId="0" applyFont="1" applyBorder="1" applyAlignment="1">
      <x:alignment horizontal="center" vertical="top" wrapText="1"/>
    </x:xf>
    <x:xf numFmtId="0" fontId="0" fillId="0" borderId="29" xfId="0" applyBorder="1" applyAlignment="1">
      <x:alignment vertical="top" wrapText="1"/>
    </x:xf>
    <x:xf numFmtId="0" fontId="0" fillId="5" borderId="29" xfId="0" applyFill="1" applyBorder="1" applyAlignment="1">
      <x:alignment vertical="top" wrapText="1"/>
    </x:xf>
    <x:xf numFmtId="0" fontId="0" fillId="6" borderId="29" xfId="0" applyFill="1" applyBorder="1" applyAlignment="1">
      <x:alignment vertical="center" wrapText="1"/>
    </x:xf>
    <x:xf numFmtId="0" fontId="3" fillId="4" borderId="29" xfId="0" applyFont="1" applyFill="1" applyBorder="1" applyAlignment="1">
      <x:alignment vertical="center"/>
    </x:xf>
    <x:xf numFmtId="0" fontId="0" fillId="6" borderId="29" xfId="0" applyFill="1" applyBorder="1" applyAlignment="1">
      <x:alignment horizontal="center" vertical="center" wrapText="1"/>
    </x:xf>
    <x:xf numFmtId="0" fontId="0" fillId="0" borderId="0" xfId="0" applyAlignment="1">
      <x:alignment horizontal="center" vertical="top" wrapText="1"/>
    </x:xf>
    <x:xf numFmtId="0" fontId="0" fillId="0" borderId="5" xfId="0" applyBorder="1" applyAlignment="1">
      <x:alignment horizontal="center" vertical="top" wrapText="1"/>
    </x:xf>
    <x:xf numFmtId="0" fontId="3" fillId="4" borderId="29" xfId="0" applyFont="1" applyFill="1" applyBorder="1" applyAlignment="1">
      <x:alignment vertical="center" wrapText="1"/>
    </x:xf>
    <x:xf numFmtId="0" fontId="0" fillId="0" borderId="29" xfId="0" applyBorder="1" applyAlignment="1">
      <x:alignment horizontal="center" vertical="top" wrapText="1"/>
    </x:xf>
    <x:xf numFmtId="0" fontId="3" fillId="0" borderId="0" xfId="0" applyFont="1" applyAlignment="1">
      <x:alignment vertical="center"/>
    </x:xf>
    <x:xf numFmtId="164" fontId="0" fillId="5" borderId="29" xfId="0" applyNumberFormat="1" applyFill="1" applyBorder="1" applyAlignment="1">
      <x:alignment vertical="top" wrapText="1"/>
    </x:xf>
    <x:xf numFmtId="0" fontId="0" fillId="0" borderId="0" xfId="0" applyAlignment="1">
      <x:alignment vertical="top"/>
    </x:xf>
    <x:xf numFmtId="0" fontId="0" fillId="6" borderId="29" xfId="0" applyFill="1" applyBorder="1" applyAlignment="1">
      <x:alignment vertical="top" wrapText="1"/>
    </x:xf>
    <x:xf numFmtId="0" fontId="0" fillId="5" borderId="29" xfId="0" applyFill="1" applyBorder="1" applyAlignment="1">
      <x:alignment horizontal="left" vertical="top" wrapText="1"/>
    </x:xf>
    <x:xf numFmtId="0" fontId="3" fillId="4" borderId="29" xfId="0" applyFont="1" applyFill="1" applyBorder="1" applyAlignment="1">
      <x:alignment vertical="top" wrapText="1"/>
    </x:xf>
    <x:xf numFmtId="0" fontId="3" fillId="4" borderId="29" xfId="0" applyFont="1" applyFill="1" applyBorder="1" applyAlignment="1">
      <x:alignment horizontal="left" vertical="top" wrapText="1"/>
    </x:xf>
    <x:xf numFmtId="0" fontId="0" fillId="0" borderId="20" xfId="0" applyBorder="1" applyAlignment="1">
      <x:alignment horizontal="center"/>
    </x:xf>
    <x:xf numFmtId="0" fontId="3" fillId="0" borderId="29" xfId="0" applyFont="1" applyBorder="1" applyAlignment="1">
      <x:alignment horizontal="center" vertical="center"/>
    </x:xf>
    <x:xf numFmtId="0" fontId="0" fillId="0" borderId="29" xfId="0" applyBorder="1" applyAlignment="1">
      <x:alignment horizontal="center" vertical="top" wrapText="1"/>
    </x:xf>
    <x:xf numFmtId="164" fontId="0" fillId="0" borderId="29" xfId="0" applyNumberFormat="1" applyBorder="1" applyAlignment="1">
      <x:alignment horizontal="center" vertical="top" wrapText="1"/>
    </x:xf>
    <x:xf numFmtId="0" fontId="3" fillId="0" borderId="29" xfId="0" applyFont="1" applyBorder="1" applyAlignment="1">
      <x:alignment vertical="center"/>
    </x:xf>
    <x:xf numFmtId="0" fontId="0" fillId="0" borderId="7" xfId="0" applyBorder="1" applyAlignment="1">
      <x:alignment vertical="top" wrapText="1"/>
    </x:xf>
    <x:xf numFmtId="0" fontId="0" fillId="0" borderId="9" xfId="0" applyBorder="1" applyAlignment="1">
      <x:alignment vertical="top" wrapText="1"/>
    </x:xf>
    <x:xf numFmtId="164" fontId="0" fillId="0" borderId="29" xfId="0" applyNumberFormat="1" applyBorder="1" applyAlignment="1">
      <x:alignment vertical="top" wrapText="1"/>
    </x:xf>
    <x:xf numFmtId="0" fontId="8" fillId="14" borderId="0" xfId="0" applyFont="1" applyFill="1" applyAlignment="1">
      <x:alignment vertical="top" wrapText="1"/>
    </x:xf>
    <x:xf numFmtId="0" fontId="0" fillId="0" borderId="29" xfId="0" applyBorder="1" applyAlignment="1">
      <x:alignment horizontal="center" vertical="top" wrapText="1"/>
    </x:xf>
    <x:xf numFmtId="0" fontId="0" fillId="6" borderId="30" xfId="0" applyFill="1" applyBorder="1" applyAlignment="1">
      <x:alignment horizontal="center" vertical="center" wrapText="1"/>
    </x:xf>
    <x:xf numFmtId="0" fontId="0" fillId="6" borderId="31" xfId="0" applyFill="1" applyBorder="1" applyAlignment="1">
      <x:alignment horizontal="center" vertical="center" wrapText="1"/>
    </x:xf>
    <x:xf numFmtId="0" fontId="0" fillId="6" borderId="29" xfId="0" applyFill="1" applyBorder="1" applyAlignment="1">
      <x:alignment horizontal="center" vertical="center" wrapText="1"/>
    </x:xf>
    <x:xf numFmtId="0" fontId="0" fillId="15" borderId="29" xfId="0" applyFill="1" applyBorder="1" applyAlignment="1">
      <x:alignment horizontal="center" vertical="center" wrapText="1"/>
    </x:xf>
    <x:xf numFmtId="2" fontId="0" fillId="6" borderId="30" xfId="0" applyNumberFormat="1" applyFill="1" applyBorder="1" applyAlignment="1">
      <x:alignment horizontal="center" vertical="center" wrapText="1"/>
    </x:xf>
    <x:xf numFmtId="2" fontId="0" fillId="6" borderId="31" xfId="0" applyNumberFormat="1" applyFill="1" applyBorder="1" applyAlignment="1">
      <x:alignment horizontal="center" vertical="center" wrapText="1"/>
    </x:xf>
    <x:xf numFmtId="2" fontId="0" fillId="15" borderId="30" xfId="0" applyNumberFormat="1" applyFill="1" applyBorder="1" applyAlignment="1">
      <x:alignment horizontal="center" vertical="center" wrapText="1"/>
    </x:xf>
    <x:xf numFmtId="2" fontId="0" fillId="15" borderId="31" xfId="0" applyNumberFormat="1" applyFill="1" applyBorder="1" applyAlignment="1">
      <x:alignment horizontal="center" vertical="center" wrapText="1"/>
    </x:xf>
    <x:xf numFmtId="0" fontId="0" fillId="5" borderId="5" xfId="0" applyFill="1" applyBorder="1" applyAlignment="1">
      <x:alignment horizontal="center" vertical="top" wrapText="1"/>
    </x:xf>
    <x:xf numFmtId="0" fontId="0" fillId="5" borderId="0" xfId="0" applyFill="1" applyAlignment="1">
      <x:alignment horizontal="center" vertical="top" wrapText="1"/>
    </x:xf>
    <x:xf numFmtId="0" fontId="0" fillId="5" borderId="10" xfId="0" applyFill="1" applyBorder="1" applyAlignment="1">
      <x:alignment horizontal="center" vertical="top" wrapText="1"/>
    </x:xf>
    <x:xf numFmtId="0" fontId="0" fillId="5" borderId="29" xfId="0" applyFill="1" applyBorder="1" applyAlignment="1">
      <x:alignment horizontal="left" vertical="top" wrapText="1"/>
    </x:xf>
    <x:xf numFmtId="0" fontId="3" fillId="4" borderId="29" xfId="0" applyFont="1" applyFill="1" applyBorder="1" applyAlignment="1">
      <x:alignment horizontal="left" vertical="top" wrapText="1"/>
    </x:xf>
    <x:xf numFmtId="0" fontId="0" fillId="0" borderId="29" xfId="0" applyBorder="1" applyAlignment="1">
      <x:alignment horizontal="center" vertical="center" wrapText="1"/>
    </x:xf>
    <x:xf numFmtId="0" fontId="3" fillId="4" borderId="32" xfId="0" applyFont="1" applyFill="1" applyBorder="1" applyAlignment="1">
      <x:alignment horizontal="center" vertical="center" wrapText="1"/>
    </x:xf>
    <x:xf numFmtId="0" fontId="3" fillId="4" borderId="33" xfId="0" applyFont="1" applyFill="1" applyBorder="1" applyAlignment="1">
      <x:alignment horizontal="center" vertical="center" wrapText="1"/>
    </x:xf>
    <x:xf numFmtId="0" fontId="2" fillId="3"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2" borderId="0" xfId="0" applyFont="1" applyFill="1" applyAlignment="1">
      <x:alignment horizontal="center" vertical="center"/>
    </x:xf>
    <x:xf numFmtId="0" fontId="5" fillId="0" borderId="4" xfId="0" applyFont="1" applyBorder="1" applyAlignment="1">
      <x:alignment horizontal="center" vertical="top" wrapText="1"/>
    </x:xf>
    <x:xf numFmtId="0" fontId="5" fillId="0" borderId="5" xfId="0" applyFont="1" applyBorder="1" applyAlignment="1">
      <x:alignment horizontal="center" vertical="top" wrapText="1"/>
    </x:xf>
    <x:xf numFmtId="0" fontId="0" fillId="0" borderId="6" xfId="0" applyBorder="1" applyAlignment="1">
      <x:alignment horizontal="center" vertical="top" wrapText="1"/>
    </x:xf>
    <x:xf numFmtId="0" fontId="5" fillId="0" borderId="7" xfId="0" applyFont="1" applyBorder="1" applyAlignment="1">
      <x:alignment horizontal="center" vertical="top" wrapText="1"/>
    </x:xf>
    <x:xf numFmtId="0" fontId="5" fillId="0" borderId="0" xfId="0" applyFont="1" applyAlignment="1">
      <x:alignment horizontal="center" vertical="top" wrapText="1"/>
    </x:xf>
    <x:xf numFmtId="0" fontId="0" fillId="0" borderId="8" xfId="0" applyBorder="1" applyAlignment="1">
      <x:alignment horizontal="center" vertical="top" wrapText="1"/>
    </x:xf>
    <x:xf numFmtId="0" fontId="5" fillId="0" borderId="9" xfId="0" applyFont="1" applyBorder="1" applyAlignment="1">
      <x:alignment horizontal="center" vertical="top" wrapText="1"/>
    </x:xf>
    <x:xf numFmtId="0" fontId="5" fillId="0" borderId="10" xfId="0" applyFont="1" applyBorder="1" applyAlignment="1">
      <x:alignment horizontal="center" vertical="top" wrapText="1"/>
    </x:xf>
    <x:xf numFmtId="0" fontId="0" fillId="0" borderId="10" xfId="0" applyBorder="1" applyAlignment="1">
      <x:alignment horizontal="center" vertical="top" wrapText="1"/>
    </x:xf>
    <x:xf numFmtId="0" fontId="0" fillId="0" borderId="11" xfId="0" applyBorder="1" applyAlignment="1">
      <x:alignment horizontal="center" vertical="top" wrapText="1"/>
    </x:xf>
    <x:xf numFmtId="0" fontId="0" fillId="0" borderId="0" xfId="0" applyAlignment="1">
      <x:alignment horizontal="center"/>
    </x:xf>
    <x:xf numFmtId="0" fontId="0" fillId="0" borderId="20" xfId="0" applyBorder="1"/>
    <x:xf numFmtId="0" fontId="0" fillId="0" borderId="20" xfId="0" applyBorder="1" applyAlignment="1">
      <x:alignment wrapText="1"/>
    </x:xf>
    <x:xf numFmtId="0" fontId="0" fillId="0" borderId="34" xfId="0" applyBorder="1"/>
    <x:xf numFmtId="0" fontId="0" fillId="5" borderId="29" xfId="0" applyFill="1" applyBorder="1" applyAlignment="1">
      <x:alignment horizontal="center" vertical="top" wrapText="1"/>
    </x:xf>
    <x:xf numFmtId="0" fontId="3" fillId="4" borderId="29" xfId="0" applyFont="1" applyFill="1" applyBorder="1" applyAlignment="1">
      <x:alignment horizontal="center" vertical="center"/>
    </x:xf>
    <x:xf numFmtId="0" fontId="3" fillId="4" borderId="32" xfId="0" applyFont="1" applyFill="1" applyBorder="1" applyAlignment="1">
      <x:alignment horizontal="center" vertical="center"/>
    </x:xf>
    <x:xf numFmtId="0" fontId="3" fillId="4" borderId="35" xfId="0" applyFont="1" applyFill="1" applyBorder="1" applyAlignment="1">
      <x:alignment horizontal="center" vertical="center"/>
    </x:xf>
    <x:xf numFmtId="0" fontId="3" fillId="4" borderId="33" xfId="0" applyFont="1" applyFill="1" applyBorder="1" applyAlignment="1">
      <x:alignment horizontal="center" vertical="center"/>
    </x:xf>
    <x:xf numFmtId="2" fontId="0" fillId="6" borderId="29" xfId="0" applyNumberFormat="1" applyFill="1" applyBorder="1" applyAlignment="1">
      <x:alignment horizontal="center" vertical="center" wrapText="1"/>
    </x:xf>
    <x:xf numFmtId="0" fontId="3" fillId="4" borderId="29" xfId="0" applyFont="1" applyFill="1" applyBorder="1" applyAlignment="1">
      <x:alignment vertical="top"/>
    </x:xf>
    <x:xf numFmtId="2" fontId="0" fillId="6" borderId="29" xfId="0" applyNumberFormat="1" applyFill="1" applyBorder="1" applyAlignment="1">
      <x:alignment vertical="top" wrapText="1"/>
    </x:xf>
    <x:xf numFmtId="164" fontId="0" fillId="5" borderId="29" xfId="0" applyNumberFormat="1" applyFill="1" applyBorder="1" applyAlignment="1">
      <x:alignment horizontal="left" vertical="top" wrapText="1"/>
    </x:xf>
    <x:xf numFmtId="0" fontId="3" fillId="4" borderId="32" xfId="0" applyFont="1" applyFill="1" applyBorder="1" applyAlignment="1">
      <x:alignment horizontal="center" vertical="top"/>
    </x:xf>
    <x:xf numFmtId="0" fontId="3" fillId="4" borderId="35" xfId="0" applyFont="1" applyFill="1" applyBorder="1" applyAlignment="1">
      <x:alignment horizontal="center" vertical="top"/>
    </x:xf>
    <x:xf numFmtId="0" fontId="3" fillId="4" borderId="33" xfId="0" applyFont="1" applyFill="1" applyBorder="1" applyAlignment="1">
      <x:alignment horizontal="center" vertical="top"/>
    </x:xf>
    <x:xf numFmtId="0" fontId="3" fillId="0" borderId="29" xfId="0" applyFont="1" applyBorder="1" applyAlignment="1">
      <x:alignment vertical="top"/>
    </x:xf>
    <x:xf numFmtId="0" fontId="3" fillId="0" borderId="29" xfId="0" applyFont="1" applyBorder="1" applyAlignment="1">
      <x:alignment horizontal="left" vertical="top" wrapText="1"/>
    </x:xf>
    <x:xf numFmtId="0" fontId="0" fillId="0" borderId="36" xfId="0" applyNumberFormat="1" applyFont="1" applyFill="1" applyBorder="1"/>
    <x:xf numFmtId="0" fontId="1" fillId="2" borderId="36" xfId="0" applyNumberFormat="1" applyFont="1" applyFill="1" applyBorder="1" applyAlignment="1">
      <x:alignment vertical="center"/>
    </x:xf>
    <x:xf numFmtId="0" fontId="2" fillId="3" borderId="36" xfId="0" applyNumberFormat="1" applyFont="1" applyFill="1" applyBorder="1" applyAlignment="1">
      <x:alignment vertical="center" wrapText="1"/>
    </x:xf>
    <x:xf numFmtId="0" fontId="3" fillId="4" borderId="36" xfId="0" applyNumberFormat="1" applyFont="1" applyFill="1" applyBorder="1" applyAlignment="1">
      <x:alignment vertical="center"/>
    </x:xf>
    <x:xf numFmtId="0" fontId="0" fillId="5" borderId="36" xfId="0" applyNumberFormat="1" applyFont="1" applyFill="1" applyBorder="1"/>
    <x:xf numFmtId="0" fontId="0" fillId="6" borderId="36" xfId="0" applyNumberFormat="1" applyFont="1" applyFill="1" applyBorder="1"/>
    <x:xf numFmtId="0" fontId="3" fillId="7" borderId="36" xfId="0" applyNumberFormat="1" applyFont="1" applyFill="1" applyBorder="1" applyAlignment="1">
      <x:alignment vertical="center"/>
    </x:xf>
    <x:xf numFmtId="0" fontId="0" fillId="5" borderId="36" xfId="0" applyNumberFormat="1" applyFont="1" applyFill="1" applyBorder="1" applyAlignment="1">
      <x:alignment vertical="top" wrapText="1"/>
    </x:xf>
    <x:xf numFmtId="0" fontId="4" fillId="3" borderId="36" xfId="0" applyNumberFormat="1" applyFont="1" applyFill="1" applyBorder="1" applyAlignment="1">
      <x:alignment horizontal="center" vertical="center" wrapText="1"/>
    </x:xf>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3" fillId="6" borderId="36" xfId="0" applyNumberFormat="1" applyFont="1" applyFill="1" applyBorder="1" applyAlignment="1">
      <x:alignment vertical="center"/>
    </x:xf>
    <x:xf numFmtId="0" fontId="3" fillId="4" borderId="36" xfId="0" applyNumberFormat="1" applyFont="1" applyFill="1" applyBorder="1" applyAlignment="1">
      <x:alignment vertical="center" wrapText="1"/>
    </x:xf>
    <x:xf numFmtId="0" fontId="6" fillId="2" borderId="36" xfId="0" applyNumberFormat="1" applyFont="1" applyFill="1" applyBorder="1"/>
    <x:xf numFmtId="0" fontId="4" fillId="3" borderId="36" xfId="0" applyNumberFormat="1" applyFont="1" applyFill="1" applyBorder="1" applyAlignment="1">
      <x:alignment wrapText="1"/>
    </x:xf>
    <x:xf numFmtId="0" fontId="7" fillId="6" borderId="36" xfId="0" applyNumberFormat="1" applyFont="1" applyFill="1" applyBorder="1"/>
    <x:xf numFmtId="0" fontId="4" fillId="13" borderId="36" xfId="0" applyNumberFormat="1" applyFont="1" applyFill="1" applyBorder="1" applyAlignment="1">
      <x:alignment wrapText="1"/>
    </x:xf>
    <x:xf numFmtId="0" fontId="6" fillId="11" borderId="37" xfId="0" applyNumberFormat="1" applyFont="1" applyFill="1" applyBorder="1"/>
    <x:xf numFmtId="0" fontId="6" fillId="11" borderId="38" xfId="0" applyNumberFormat="1" applyFont="1" applyFill="1" applyBorder="1"/>
    <x:xf numFmtId="0" fontId="6" fillId="11" borderId="39" xfId="0" applyNumberFormat="1" applyFont="1" applyFill="1" applyBorder="1"/>
    <x:xf numFmtId="0" fontId="7" fillId="6" borderId="40" xfId="0" applyNumberFormat="1" applyFont="1" applyFill="1" applyBorder="1"/>
    <x:xf numFmtId="0" fontId="7" fillId="6" borderId="41"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3" fillId="4" borderId="36" xfId="0" applyNumberFormat="1" applyFont="1" applyFill="1" applyBorder="1" applyAlignment="1">
      <x:alignment vertical="top"/>
    </x:xf>
    <x:xf numFmtId="0" fontId="5" fillId="0" borderId="45" xfId="0" applyNumberFormat="1" applyFont="1" applyFill="1" applyBorder="1" applyAlignment="1">
      <x:alignment vertical="top" wrapText="1"/>
    </x:xf>
    <x:xf numFmtId="0" fontId="5" fillId="0" borderId="45" xfId="0" applyNumberFormat="1" applyFont="1" applyFill="1" applyBorder="1" applyAlignment="1">
      <x:alignment horizontal="center" vertical="top" wrapText="1"/>
    </x:xf>
    <x:xf numFmtId="0" fontId="0" fillId="0" borderId="45" xfId="0" applyNumberFormat="1" applyFont="1" applyFill="1" applyBorder="1" applyAlignment="1">
      <x:alignment vertical="top" wrapText="1"/>
    </x:xf>
    <x:xf numFmtId="0" fontId="0" fillId="5" borderId="45" xfId="0" applyNumberFormat="1" applyFont="1" applyFill="1" applyBorder="1" applyAlignment="1">
      <x:alignment vertical="top" wrapText="1"/>
    </x:xf>
    <x:xf numFmtId="0" fontId="0" fillId="6" borderId="45" xfId="0" applyNumberFormat="1" applyFont="1" applyFill="1" applyBorder="1" applyAlignment="1">
      <x:alignment vertical="center" wrapText="1"/>
    </x:xf>
    <x:xf numFmtId="0" fontId="3" fillId="4" borderId="45" xfId="0" applyNumberFormat="1" applyFont="1" applyFill="1" applyBorder="1" applyAlignment="1">
      <x:alignment vertical="center"/>
    </x:xf>
    <x:xf numFmtId="0" fontId="0" fillId="6" borderId="45"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top" wrapText="1"/>
    </x:xf>
    <x:xf numFmtId="0" fontId="3" fillId="4" borderId="45" xfId="0" applyNumberFormat="1" applyFont="1" applyFill="1" applyBorder="1" applyAlignment="1">
      <x:alignment vertical="center" wrapText="1"/>
    </x:xf>
    <x:xf numFmtId="0" fontId="0" fillId="0" borderId="45" xfId="0" applyNumberFormat="1" applyFont="1" applyFill="1" applyBorder="1" applyAlignment="1">
      <x:alignment horizontal="center" vertical="top" wrapText="1"/>
    </x:xf>
    <x:xf numFmtId="0" fontId="3" fillId="0" borderId="36" xfId="0" applyNumberFormat="1" applyFont="1" applyFill="1" applyBorder="1" applyAlignment="1">
      <x:alignment vertical="center"/>
    </x:xf>
    <x:xf numFmtId="164" fontId="0" fillId="5" borderId="45" xfId="0" applyNumberFormat="1" applyFont="1" applyFill="1" applyBorder="1" applyAlignment="1">
      <x:alignment vertical="top" wrapText="1"/>
    </x:xf>
    <x:xf numFmtId="0" fontId="0" fillId="0" borderId="36" xfId="0" applyNumberFormat="1" applyFont="1" applyFill="1" applyBorder="1" applyAlignment="1">
      <x:alignment vertical="top"/>
    </x:xf>
    <x:xf numFmtId="0" fontId="0" fillId="6" borderId="45" xfId="0" applyNumberFormat="1" applyFont="1" applyFill="1" applyBorder="1" applyAlignment="1">
      <x:alignment vertical="top" wrapText="1"/>
    </x:xf>
    <x:xf numFmtId="0" fontId="0" fillId="5" borderId="45" xfId="0" applyNumberFormat="1" applyFont="1" applyFill="1" applyBorder="1" applyAlignment="1">
      <x:alignment horizontal="left" vertical="top" wrapText="1"/>
    </x:xf>
    <x:xf numFmtId="0" fontId="3" fillId="4" borderId="45" xfId="0" applyNumberFormat="1" applyFont="1" applyFill="1" applyBorder="1" applyAlignment="1">
      <x:alignment vertical="top" wrapText="1"/>
    </x:xf>
    <x:xf numFmtId="0" fontId="3" fillId="4" borderId="45" xfId="0" applyNumberFormat="1" applyFont="1" applyFill="1" applyBorder="1" applyAlignment="1">
      <x:alignment horizontal="left" vertical="top" wrapText="1"/>
    </x:xf>
    <x:xf numFmtId="0" fontId="0" fillId="0" borderId="36" xfId="0" applyNumberFormat="1" applyFont="1" applyFill="1" applyBorder="1" applyAlignment="1">
      <x:alignment horizontal="center"/>
    </x:xf>
    <x:xf numFmtId="0" fontId="3" fillId="0" borderId="45" xfId="0" applyNumberFormat="1" applyFont="1" applyFill="1" applyBorder="1" applyAlignment="1">
      <x:alignment horizontal="center" vertical="center"/>
    </x:xf>
    <x:xf numFmtId="164" fontId="0" fillId="0" borderId="45" xfId="0" applyNumberFormat="1" applyFont="1" applyFill="1" applyBorder="1" applyAlignment="1">
      <x:alignment horizontal="center" vertical="top" wrapText="1"/>
    </x:xf>
    <x:xf numFmtId="0" fontId="3" fillId="0" borderId="45" xfId="0" applyNumberFormat="1" applyFont="1" applyFill="1" applyBorder="1" applyAlignment="1">
      <x:alignment vertical="center"/>
    </x:xf>
    <x:xf numFmtId="164" fontId="0" fillId="0" borderId="45" xfId="0" applyNumberFormat="1" applyFont="1" applyFill="1" applyBorder="1" applyAlignment="1">
      <x:alignment vertical="top" wrapText="1"/>
    </x:xf>
    <x:xf numFmtId="0" fontId="8" fillId="6" borderId="36" xfId="0" applyNumberFormat="1" applyFont="1" applyFill="1" applyBorder="1" applyAlignment="1">
      <x:alignment vertical="top" wrapText="1"/>
    </x:xf>
    <x:xf numFmtId="0" fontId="0" fillId="6" borderId="46" xfId="0" applyNumberFormat="1" applyFont="1" applyFill="1" applyBorder="1" applyAlignment="1">
      <x:alignment horizontal="center" vertical="center" wrapText="1"/>
    </x:xf>
    <x:xf numFmtId="0" fontId="0" fillId="6" borderId="47" xfId="0" applyNumberFormat="1" applyFont="1" applyFill="1" applyBorder="1" applyAlignment="1">
      <x:alignment horizontal="center" vertical="center" wrapText="1"/>
    </x:xf>
    <x:xf numFmtId="0" fontId="0" fillId="15" borderId="45" xfId="0" applyNumberFormat="1" applyFont="1" applyFill="1" applyBorder="1" applyAlignment="1">
      <x:alignment horizontal="center" vertical="center" wrapText="1"/>
    </x:xf>
    <x:xf numFmtId="2" fontId="0" fillId="6" borderId="46" xfId="0" applyNumberFormat="1" applyFont="1" applyFill="1" applyBorder="1" applyAlignment="1">
      <x:alignment horizontal="center" vertical="center" wrapText="1"/>
    </x:xf>
    <x:xf numFmtId="2" fontId="0" fillId="6" borderId="47" xfId="0" applyNumberFormat="1" applyFont="1" applyFill="1" applyBorder="1" applyAlignment="1">
      <x:alignment horizontal="center" vertical="center" wrapText="1"/>
    </x:xf>
    <x:xf numFmtId="2" fontId="0" fillId="15" borderId="46" xfId="0" applyNumberFormat="1" applyFont="1" applyFill="1" applyBorder="1" applyAlignment="1">
      <x:alignment horizontal="center" vertical="center" wrapText="1"/>
    </x:xf>
    <x:xf numFmtId="2" fontId="0" fillId="15" borderId="47" xfId="0" applyNumberFormat="1" applyFont="1" applyFill="1" applyBorder="1" applyAlignment="1">
      <x:alignment horizontal="center" vertical="center" wrapText="1"/>
    </x:xf>
    <x:xf numFmtId="0" fontId="0" fillId="5" borderId="36"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center" wrapText="1"/>
    </x:xf>
    <x:xf numFmtId="0" fontId="3" fillId="4" borderId="48" xfId="0" applyNumberFormat="1" applyFont="1" applyFill="1" applyBorder="1" applyAlignment="1">
      <x:alignment horizontal="center" vertical="center" wrapText="1"/>
    </x:xf>
    <x:xf numFmtId="0" fontId="3" fillId="4" borderId="49" xfId="0" applyNumberFormat="1" applyFont="1" applyFill="1" applyBorder="1" applyAlignment="1">
      <x:alignment horizontal="center" vertical="center" wrapText="1"/>
    </x:xf>
    <x:xf numFmtId="0" fontId="2" fillId="3" borderId="36" xfId="0" applyNumberFormat="1" applyFont="1" applyFill="1" applyBorder="1" applyAlignment="1">
      <x:alignment horizontal="center" vertical="center" wrapText="1"/>
    </x:xf>
    <x:xf numFmtId="0" fontId="1" fillId="2" borderId="36" xfId="0" applyNumberFormat="1" applyFont="1" applyFill="1" applyBorder="1" applyAlignment="1">
      <x:alignment horizontal="center" vertical="center"/>
    </x:xf>
    <x:xf numFmtId="0" fontId="5" fillId="0" borderId="36" xfId="0" applyNumberFormat="1" applyFont="1" applyFill="1" applyBorder="1" applyAlignment="1">
      <x:alignment horizontal="center" vertical="top" wrapText="1"/>
    </x:xf>
    <x:xf numFmtId="0" fontId="0" fillId="0" borderId="50" xfId="0" applyNumberFormat="1" applyFont="1" applyFill="1" applyBorder="1"/>
    <x:xf numFmtId="0" fontId="0" fillId="5" borderId="45" xfId="0" applyNumberFormat="1" applyFont="1" applyFill="1" applyBorder="1" applyAlignment="1">
      <x:alignment horizontal="center" vertical="top" wrapText="1"/>
    </x:xf>
    <x:xf numFmtId="0" fontId="3" fillId="4" borderId="45" xfId="0" applyNumberFormat="1" applyFont="1" applyFill="1" applyBorder="1" applyAlignment="1">
      <x:alignment horizontal="center" vertical="center"/>
    </x:xf>
    <x:xf numFmtId="0" fontId="3" fillId="4" borderId="48" xfId="0" applyNumberFormat="1" applyFont="1" applyFill="1" applyBorder="1" applyAlignment="1">
      <x:alignment horizontal="center" vertical="center"/>
    </x:xf>
    <x:xf numFmtId="0" fontId="3" fillId="4" borderId="51" xfId="0" applyNumberFormat="1" applyFont="1" applyFill="1" applyBorder="1" applyAlignment="1">
      <x:alignment horizontal="center" vertical="center"/>
    </x:xf>
    <x:xf numFmtId="0" fontId="3" fillId="4" borderId="49" xfId="0" applyNumberFormat="1" applyFont="1" applyFill="1" applyBorder="1" applyAlignment="1">
      <x:alignment horizontal="center" vertical="center"/>
    </x:xf>
    <x:xf numFmtId="2" fontId="0" fillId="6" borderId="45" xfId="0" applyNumberFormat="1" applyFont="1" applyFill="1" applyBorder="1" applyAlignment="1">
      <x:alignment horizontal="center" vertical="center" wrapText="1"/>
    </x:xf>
    <x:xf numFmtId="0" fontId="3" fillId="4" borderId="45" xfId="0" applyNumberFormat="1" applyFont="1" applyFill="1" applyBorder="1" applyAlignment="1">
      <x:alignment vertical="top"/>
    </x:xf>
    <x:xf numFmtId="2" fontId="0" fillId="6" borderId="45" xfId="0" applyNumberFormat="1" applyFont="1" applyFill="1" applyBorder="1" applyAlignment="1">
      <x:alignment vertical="top" wrapText="1"/>
    </x:xf>
    <x:xf numFmtId="164" fontId="0" fillId="5" borderId="45" xfId="0" applyNumberFormat="1" applyFont="1" applyFill="1" applyBorder="1" applyAlignment="1">
      <x:alignment horizontal="left" vertical="top" wrapText="1"/>
    </x:xf>
    <x:xf numFmtId="0" fontId="3" fillId="4" borderId="48" xfId="0" applyNumberFormat="1" applyFont="1" applyFill="1" applyBorder="1" applyAlignment="1">
      <x:alignment horizontal="center" vertical="top"/>
    </x:xf>
    <x:xf numFmtId="0" fontId="3" fillId="4" borderId="51" xfId="0" applyNumberFormat="1" applyFont="1" applyFill="1" applyBorder="1" applyAlignment="1">
      <x:alignment horizontal="center" vertical="top"/>
    </x:xf>
    <x:xf numFmtId="0" fontId="3" fillId="4" borderId="49" xfId="0" applyNumberFormat="1" applyFont="1" applyFill="1" applyBorder="1" applyAlignment="1">
      <x:alignment horizontal="center" vertical="top"/>
    </x:xf>
    <x:xf numFmtId="0" fontId="3" fillId="0" borderId="45" xfId="0" applyNumberFormat="1" applyFont="1" applyFill="1" applyBorder="1" applyAlignment="1">
      <x:alignment vertical="top"/>
    </x:xf>
    <x:xf numFmtId="0" fontId="3" fillId="0" borderId="45" xfId="0" applyNumberFormat="1" applyFont="1" applyFill="1" applyBorder="1" applyAlignment="1">
      <x:alignment horizontal="left" vertical="top" wrapText="1"/>
    </x:xf>
    <x:xf numFmtId="0" fontId="0" fillId="16" borderId="0" xfId="0" applyNumberFormat="1" applyFont="1" applyFill="1" applyBorder="1"/>
    <x:xf numFmtId="0" fontId="0" fillId="16" borderId="36" xfId="0" applyNumberFormat="1" applyFont="1" applyFill="1" applyBorder="1"/>
    <x:xf numFmtId="0" fontId="8" fillId="16" borderId="0" xfId="0" applyNumberFormat="1" applyFont="1" applyFill="1" applyBorder="1"/>
    <x:xf numFmtId="0" fontId="8" fillId="16" borderId="36" xfId="0" applyNumberFormat="1" applyFont="1" applyFill="1" applyBorder="1"/>
    <x:xf numFmtId="0" fontId="0" fillId="17" borderId="0" xfId="0" applyNumberFormat="1" applyFont="1" applyFill="1" applyBorder="1"/>
    <x:xf numFmtId="0" fontId="0" fillId="17" borderId="36" xfId="0" applyNumberFormat="1" applyFont="1" applyFill="1" applyBorder="1"/>
    <x:xf numFmtId="0" fontId="8" fillId="17" borderId="0" xfId="0" applyNumberFormat="1" applyFont="1" applyFill="1" applyBorder="1"/>
    <x:xf numFmtId="0" fontId="8" fillId="17" borderId="36" xfId="0" applyNumberFormat="1" applyFont="1" applyFill="1" applyBorder="1"/>
    <x:xf numFmtId="0" fontId="0" fillId="18" borderId="0" xfId="0" applyNumberFormat="1" applyFont="1" applyFill="1" applyBorder="1"/>
    <x:xf numFmtId="0" fontId="0" fillId="18" borderId="36" xfId="0" applyNumberFormat="1" applyFont="1" applyFill="1" applyBorder="1"/>
    <x:xf numFmtId="0" fontId="8" fillId="18" borderId="0" xfId="0" applyNumberFormat="1" applyFont="1" applyFill="1" applyBorder="1"/>
    <x:xf numFmtId="0" fontId="8" fillId="18" borderId="36" xfId="0" applyNumberFormat="1" applyFont="1" applyFill="1" applyBorder="1"/>
    <x:xf numFmtId="0" fontId="0" fillId="19" borderId="0" xfId="0" applyNumberFormat="1" applyFont="1" applyFill="1" applyBorder="1"/>
    <x:xf numFmtId="0" fontId="0" fillId="19" borderId="36" xfId="0" applyNumberFormat="1" applyFont="1" applyFill="1" applyBorder="1"/>
    <x:xf numFmtId="0" fontId="8" fillId="19" borderId="0" xfId="0" applyNumberFormat="1" applyFont="1" applyFill="1" applyBorder="1"/>
    <x:xf numFmtId="0" fontId="8" fillId="19" borderId="36" xfId="0" applyNumberFormat="1" applyFont="1" applyFill="1" applyBorder="1"/>
    <x:xf numFmtId="0" fontId="0" fillId="20" borderId="0" xfId="0" applyNumberFormat="1" applyFont="1" applyFill="1" applyBorder="1" applyAlignment="1">
      <x:alignment horizontal="center" vertical="top" wrapText="1"/>
    </x:xf>
    <x:xf numFmtId="0" fontId="0" fillId="20" borderId="36" xfId="0" applyNumberFormat="1" applyFont="1" applyFill="1" applyBorder="1" applyAlignment="1">
      <x:alignment horizontal="center" vertical="top" wrapText="1"/>
    </x:xf>
    <x:xf numFmtId="0" fontId="0" fillId="20" borderId="0" xfId="0" applyNumberFormat="1" applyFont="1" applyFill="1" applyBorder="1" applyAlignment="1">
      <x:alignment vertical="top" wrapText="1"/>
    </x:xf>
    <x:xf numFmtId="0" fontId="0" fillId="20" borderId="36" xfId="0" applyNumberFormat="1" applyFont="1" applyFill="1" applyBorder="1" applyAlignment="1">
      <x:alignment vertical="top" wrapText="1"/>
    </x:xf>
    <x:xf numFmtId="0" fontId="0" fillId="16" borderId="0" xfId="0" applyNumberFormat="1" applyFont="1" applyFill="1" applyBorder="1" applyAlignment="1">
      <x:alignment horizontal="center" vertical="top" wrapText="1"/>
    </x:xf>
    <x:xf numFmtId="0" fontId="0" fillId="16" borderId="36"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36" xfId="0" applyNumberFormat="1" applyFont="1" applyFill="1" applyBorder="1" applyAlignment="1">
      <x:alignment vertical="top" wrapText="1"/>
    </x:xf>
    <x:xf numFmtId="0" fontId="0" fillId="17" borderId="29" xfId="0" applyNumberFormat="1" applyFont="1" applyFill="1" applyBorder="1" applyAlignment="1">
      <x:alignment vertical="top" wrapText="1"/>
    </x:xf>
    <x:xf numFmtId="0" fontId="0" fillId="17" borderId="45" xfId="0" applyNumberFormat="1" applyFont="1" applyFill="1" applyBorder="1" applyAlignment="1">
      <x:alignment vertical="top" wrapText="1"/>
    </x:xf>
    <x:xf numFmtId="0" fontId="0" fillId="20" borderId="29" xfId="0" applyNumberFormat="1" applyFont="1" applyFill="1" applyBorder="1" applyAlignment="1">
      <x:alignment vertical="top" wrapText="1"/>
    </x:xf>
    <x:xf numFmtId="0" fontId="0" fillId="20" borderId="45" xfId="0" applyNumberFormat="1" applyFont="1" applyFill="1" applyBorder="1" applyAlignment="1">
      <x:alignment vertical="top" wrapText="1"/>
    </x:xf>
    <x:xf numFmtId="0" fontId="0" fillId="16" borderId="29" xfId="0" applyNumberFormat="1" applyFont="1" applyFill="1" applyBorder="1" applyAlignment="1">
      <x:alignment vertical="top" wrapText="1"/>
    </x:xf>
    <x:xf numFmtId="0" fontId="0" fillId="16" borderId="45" xfId="0" applyNumberFormat="1" applyFont="1" applyFill="1" applyBorder="1" applyAlignment="1">
      <x:alignment vertical="top" wrapText="1"/>
    </x:xf>
    <x:xf numFmtId="0" fontId="0" fillId="17" borderId="29" xfId="0" applyNumberFormat="1" applyFont="1" applyFill="1" applyBorder="1" applyAlignment="1">
      <x:alignment vertical="center" wrapText="1"/>
    </x:xf>
    <x:xf numFmtId="0" fontId="0" fillId="17" borderId="45" xfId="0" applyNumberFormat="1" applyFont="1" applyFill="1" applyBorder="1" applyAlignment="1">
      <x:alignment vertical="center" wrapText="1"/>
    </x:xf>
    <x:xf numFmtId="0" fontId="0" fillId="18" borderId="29" xfId="0" applyNumberFormat="1" applyFont="1" applyFill="1" applyBorder="1" applyAlignment="1">
      <x:alignment vertical="top" wrapText="1"/>
    </x:xf>
    <x:xf numFmtId="0" fontId="0" fillId="18" borderId="45" xfId="0" applyNumberFormat="1" applyFont="1" applyFill="1" applyBorder="1" applyAlignment="1">
      <x:alignment vertical="top" wrapText="1"/>
    </x:xf>
    <x:xf numFmtId="0" fontId="0" fillId="19" borderId="29" xfId="0" applyNumberFormat="1" applyFont="1" applyFill="1" applyBorder="1" applyAlignment="1">
      <x:alignment vertical="top" wrapText="1"/>
    </x:xf>
    <x:xf numFmtId="0" fontId="0" fillId="19" borderId="45" xfId="0" applyNumberFormat="1" applyFont="1" applyFill="1" applyBorder="1" applyAlignment="1">
      <x:alignment vertical="top" wrapText="1"/>
    </x:xf>
    <x:xf numFmtId="0" fontId="0" fillId="19" borderId="29" xfId="0" applyNumberFormat="1" applyFont="1" applyFill="1" applyBorder="1" applyAlignment="1">
      <x:alignment vertical="center" wrapText="1"/>
    </x:xf>
    <x:xf numFmtId="0" fontId="0" fillId="19" borderId="45" xfId="0" applyNumberFormat="1" applyFont="1" applyFill="1" applyBorder="1" applyAlignment="1">
      <x:alignment vertical="center" wrapText="1"/>
    </x:xf>
    <x:xf numFmtId="0" fontId="4" fillId="3" borderId="21" xfId="0" applyNumberFormat="1" applyFont="1" applyFill="1" applyBorder="1" applyAlignment="1">
      <x:alignment horizontal="center" vertical="center" wrapText="1"/>
    </x:xf>
    <x:xf numFmtId="0" fontId="4" fillId="3" borderId="22" xfId="0" applyNumberFormat="1" applyFont="1" applyFill="1" applyBorder="1" applyAlignment="1">
      <x:alignment horizontal="center" vertical="center" wrapText="1"/>
    </x:xf>
    <x:xf numFmtId="0" fontId="4" fillId="3" borderId="23" xfId="0" applyNumberFormat="1" applyFont="1" applyFill="1" applyBorder="1" applyAlignment="1">
      <x:alignment horizontal="center" vertical="center" wrapText="1"/>
    </x:xf>
    <x:xf numFmtId="0" fontId="5" fillId="0" borderId="52" xfId="0" applyNumberFormat="1" applyFont="1" applyFill="1" applyBorder="1" applyAlignment="1">
      <x:alignment vertical="top" wrapText="1"/>
    </x:xf>
    <x:xf numFmtId="0" fontId="5" fillId="0" borderId="29" xfId="0" applyNumberFormat="1" applyFont="1" applyFill="1" applyBorder="1" applyAlignment="1">
      <x:alignment horizontal="center" vertical="top" wrapText="1"/>
    </x:xf>
    <x:xf numFmtId="0" fontId="0" fillId="0" borderId="29" xfId="0" applyNumberFormat="1" applyFont="1" applyFill="1" applyBorder="1" applyAlignment="1">
      <x:alignment vertical="top" wrapText="1"/>
    </x:xf>
    <x:xf numFmtId="0" fontId="0" fillId="16" borderId="53" xfId="0" applyNumberFormat="1" applyFont="1" applyFill="1" applyBorder="1" applyAlignment="1">
      <x:alignment vertical="top" wrapText="1"/>
    </x:xf>
    <x:xf numFmtId="0" fontId="5" fillId="0" borderId="54" xfId="0" applyNumberFormat="1" applyFont="1" applyFill="1" applyBorder="1" applyAlignment="1">
      <x:alignment vertical="top" wrapText="1"/>
    </x:xf>
    <x:xf numFmtId="0" fontId="5" fillId="0" borderId="55"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17" borderId="55" xfId="0" applyNumberFormat="1" applyFont="1" applyFill="1" applyBorder="1" applyAlignment="1">
      <x:alignment vertical="top" wrapText="1"/>
    </x:xf>
    <x:xf numFmtId="0" fontId="0" fillId="20" borderId="55" xfId="0" applyNumberFormat="1" applyFont="1" applyFill="1" applyBorder="1" applyAlignment="1">
      <x:alignment vertical="top" wrapText="1"/>
    </x:xf>
    <x:xf numFmtId="0" fontId="0" fillId="18" borderId="55" xfId="0" applyNumberFormat="1" applyFont="1" applyFill="1" applyBorder="1" applyAlignment="1">
      <x:alignment vertical="top" wrapText="1"/>
    </x:xf>
    <x:xf numFmtId="0" fontId="0" fillId="16" borderId="55" xfId="0" applyNumberFormat="1" applyFont="1" applyFill="1" applyBorder="1" applyAlignment="1">
      <x:alignment vertical="top" wrapText="1"/>
    </x:xf>
    <x:xf numFmtId="0" fontId="0" fillId="17" borderId="55" xfId="0" applyNumberFormat="1" applyFont="1" applyFill="1" applyBorder="1" applyAlignment="1">
      <x:alignment vertical="center" wrapText="1"/>
    </x:xf>
    <x:xf numFmtId="0" fontId="0" fillId="16" borderId="56" xfId="0" applyNumberFormat="1" applyFont="1" applyFill="1" applyBorder="1" applyAlignment="1">
      <x:alignment vertical="top" wrapText="1"/>
    </x:xf>
    <x:xf numFmtId="0" fontId="4" fillId="3" borderId="37" xfId="0" applyNumberFormat="1" applyFont="1" applyFill="1" applyBorder="1" applyAlignment="1">
      <x:alignment horizontal="center" vertical="center" wrapText="1"/>
    </x:xf>
    <x:xf numFmtId="0" fontId="4" fillId="3" borderId="38" xfId="0" applyNumberFormat="1" applyFont="1" applyFill="1" applyBorder="1" applyAlignment="1">
      <x:alignment horizontal="center" vertical="center" wrapText="1"/>
    </x:xf>
    <x:xf numFmtId="0" fontId="4" fillId="3" borderId="39" xfId="0" applyNumberFormat="1" applyFont="1" applyFill="1" applyBorder="1" applyAlignment="1">
      <x:alignment horizontal="center" vertical="center" wrapText="1"/>
    </x:xf>
    <x:xf numFmtId="0" fontId="5" fillId="0" borderId="57" xfId="0" applyNumberFormat="1" applyFont="1" applyFill="1" applyBorder="1" applyAlignment="1">
      <x:alignment vertical="top" wrapText="1"/>
    </x:xf>
    <x:xf numFmtId="0" fontId="0" fillId="16" borderId="58" xfId="0" applyNumberFormat="1" applyFont="1" applyFill="1" applyBorder="1" applyAlignment="1">
      <x:alignment vertical="top" wrapText="1"/>
    </x:xf>
    <x:xf numFmtId="0" fontId="5" fillId="0" borderId="59" xfId="0" applyNumberFormat="1" applyFont="1" applyFill="1" applyBorder="1" applyAlignment="1">
      <x:alignment vertical="top" wrapText="1"/>
    </x:xf>
    <x:xf numFmtId="0" fontId="5" fillId="0" borderId="60" xfId="0" applyNumberFormat="1" applyFont="1" applyFill="1" applyBorder="1" applyAlignment="1">
      <x:alignment horizontal="center" vertical="top" wrapText="1"/>
    </x:xf>
    <x:xf numFmtId="0" fontId="0" fillId="0" borderId="60" xfId="0" applyNumberFormat="1" applyFont="1" applyFill="1" applyBorder="1" applyAlignment="1">
      <x:alignment vertical="top" wrapText="1"/>
    </x:xf>
    <x:xf numFmtId="0" fontId="0" fillId="17" borderId="60" xfId="0" applyNumberFormat="1" applyFont="1" applyFill="1" applyBorder="1" applyAlignment="1">
      <x:alignment vertical="top" wrapText="1"/>
    </x:xf>
    <x:xf numFmtId="0" fontId="0" fillId="20" borderId="60" xfId="0" applyNumberFormat="1" applyFont="1" applyFill="1" applyBorder="1" applyAlignment="1">
      <x:alignment vertical="top" wrapText="1"/>
    </x:xf>
    <x:xf numFmtId="0" fontId="0" fillId="18" borderId="60" xfId="0" applyNumberFormat="1" applyFont="1" applyFill="1" applyBorder="1" applyAlignment="1">
      <x:alignment vertical="top" wrapText="1"/>
    </x:xf>
    <x:xf numFmtId="0" fontId="0" fillId="16" borderId="60" xfId="0" applyNumberFormat="1" applyFont="1" applyFill="1" applyBorder="1" applyAlignment="1">
      <x:alignment vertical="top" wrapText="1"/>
    </x:xf>
    <x:xf numFmtId="0" fontId="0" fillId="17" borderId="60" xfId="0" applyNumberFormat="1" applyFont="1" applyFill="1" applyBorder="1" applyAlignment="1">
      <x:alignment vertical="center" wrapText="1"/>
    </x:xf>
    <x:xf numFmtId="0" fontId="0" fillId="16" borderId="61" xfId="0" applyNumberFormat="1" applyFont="1" applyFill="1" applyBorder="1" applyAlignment="1">
      <x:alignment vertical="top" wrapText="1"/>
    </x:xf>
    <x:xf numFmtId="0" fontId="0" fillId="18" borderId="29" xfId="0" applyNumberFormat="1" applyFont="1" applyFill="1" applyBorder="1" applyAlignment="1">
      <x:alignment horizontal="center" vertical="top" wrapText="1"/>
    </x:xf>
    <x:xf numFmtId="0" fontId="0" fillId="20" borderId="29" xfId="0" applyNumberFormat="1" applyFont="1" applyFill="1" applyBorder="1" applyAlignment="1">
      <x:alignment horizontal="center" vertical="top" wrapText="1"/>
    </x:xf>
    <x:xf numFmtId="0" fontId="0" fillId="16" borderId="29" xfId="0" applyNumberFormat="1" applyFont="1" applyFill="1" applyBorder="1" applyAlignment="1">
      <x:alignment horizontal="center" vertical="top" wrapText="1"/>
    </x:xf>
    <x:xf numFmtId="0" fontId="0" fillId="17" borderId="29" xfId="0" applyNumberFormat="1" applyFont="1" applyFill="1" applyBorder="1" applyAlignment="1">
      <x:alignment horizontal="center" vertical="top" wrapText="1"/>
    </x:xf>
    <x:xf numFmtId="0" fontId="0" fillId="19" borderId="29" xfId="0" applyNumberFormat="1" applyFont="1" applyFill="1" applyBorder="1" applyAlignment="1">
      <x:alignment horizontal="center" vertical="top" wrapText="1"/>
    </x:xf>
    <x:xf numFmtId="0" fontId="0" fillId="18" borderId="55" xfId="0" applyNumberFormat="1" applyFont="1" applyFill="1" applyBorder="1" applyAlignment="1">
      <x:alignment horizontal="center" vertical="top" wrapText="1"/>
    </x:xf>
    <x:xf numFmtId="0" fontId="0" fillId="20" borderId="55" xfId="0" applyNumberFormat="1" applyFont="1" applyFill="1" applyBorder="1" applyAlignment="1">
      <x:alignment horizontal="center" vertical="top" wrapText="1"/>
    </x:xf>
    <x:xf numFmtId="0" fontId="0" fillId="16" borderId="55" xfId="0" applyNumberFormat="1" applyFont="1" applyFill="1" applyBorder="1" applyAlignment="1">
      <x:alignment horizontal="center" vertical="top" wrapText="1"/>
    </x:xf>
    <x:xf numFmtId="0" fontId="0" fillId="17" borderId="55" xfId="0" applyNumberFormat="1" applyFont="1" applyFill="1" applyBorder="1" applyAlignment="1">
      <x:alignment horizontal="center" vertical="top" wrapText="1"/>
    </x:xf>
    <x:xf numFmtId="0" fontId="0" fillId="18" borderId="45" xfId="0" applyNumberFormat="1" applyFont="1" applyFill="1" applyBorder="1" applyAlignment="1">
      <x:alignment horizontal="center" vertical="top" wrapText="1"/>
    </x:xf>
    <x:xf numFmtId="0" fontId="0" fillId="20" borderId="45" xfId="0" applyNumberFormat="1" applyFont="1" applyFill="1" applyBorder="1" applyAlignment="1">
      <x:alignment horizontal="center" vertical="top" wrapText="1"/>
    </x:xf>
    <x:xf numFmtId="0" fontId="0" fillId="16" borderId="45" xfId="0" applyNumberFormat="1" applyFont="1" applyFill="1" applyBorder="1" applyAlignment="1">
      <x:alignment horizontal="center" vertical="top" wrapText="1"/>
    </x:xf>
    <x:xf numFmtId="0" fontId="0" fillId="17" borderId="45" xfId="0" applyNumberFormat="1" applyFont="1" applyFill="1" applyBorder="1" applyAlignment="1">
      <x:alignment horizontal="center" vertical="top" wrapText="1"/>
    </x:xf>
    <x:xf numFmtId="0" fontId="0" fillId="19" borderId="45" xfId="0" applyNumberFormat="1" applyFont="1" applyFill="1" applyBorder="1" applyAlignment="1">
      <x:alignment horizontal="center" vertical="top" wrapText="1"/>
    </x:xf>
    <x:xf numFmtId="0" fontId="0" fillId="18" borderId="60" xfId="0" applyNumberFormat="1" applyFont="1" applyFill="1" applyBorder="1" applyAlignment="1">
      <x:alignment horizontal="center" vertical="top" wrapText="1"/>
    </x:xf>
    <x:xf numFmtId="0" fontId="0" fillId="20" borderId="60" xfId="0" applyNumberFormat="1" applyFont="1" applyFill="1" applyBorder="1" applyAlignment="1">
      <x:alignment horizontal="center" vertical="top" wrapText="1"/>
    </x:xf>
    <x:xf numFmtId="0" fontId="0" fillId="16" borderId="60" xfId="0" applyNumberFormat="1" applyFont="1" applyFill="1" applyBorder="1" applyAlignment="1">
      <x:alignment horizontal="center" vertical="top" wrapText="1"/>
    </x:xf>
    <x:xf numFmtId="0" fontId="0" fillId="17" borderId="60" xfId="0" applyNumberFormat="1" applyFont="1" applyFill="1" applyBorder="1" applyAlignment="1">
      <x:alignment horizontal="center" vertical="top" wrapText="1"/>
    </x:xf>
    <x:xf numFmtId="0" fontId="0" fillId="18" borderId="29" xfId="0" applyNumberFormat="1" applyFont="1" applyFill="1" applyBorder="1" applyAlignment="1">
      <x:alignment horizontal="center" vertical="center" wrapText="1"/>
    </x:xf>
    <x:xf numFmtId="0" fontId="0" fillId="20" borderId="29" xfId="0" applyNumberFormat="1" applyFont="1" applyFill="1" applyBorder="1" applyAlignment="1">
      <x:alignment horizontal="center" vertical="center" wrapText="1"/>
    </x:xf>
    <x:xf numFmtId="0" fontId="0" fillId="16" borderId="29"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9" borderId="29" xfId="0" applyNumberFormat="1" applyFont="1" applyFill="1" applyBorder="1" applyAlignment="1">
      <x:alignment horizontal="center" vertical="center" wrapText="1"/>
    </x:xf>
    <x:xf numFmtId="0" fontId="0" fillId="18" borderId="55" xfId="0" applyNumberFormat="1" applyFont="1" applyFill="1" applyBorder="1" applyAlignment="1">
      <x:alignment horizontal="center" vertical="center" wrapText="1"/>
    </x:xf>
    <x:xf numFmtId="0" fontId="0" fillId="20" borderId="55" xfId="0" applyNumberFormat="1" applyFont="1" applyFill="1" applyBorder="1" applyAlignment="1">
      <x:alignment horizontal="center" vertical="center" wrapText="1"/>
    </x:xf>
    <x:xf numFmtId="0" fontId="0" fillId="16" borderId="55" xfId="0" applyNumberFormat="1" applyFont="1" applyFill="1" applyBorder="1" applyAlignment="1">
      <x:alignment horizontal="center" vertical="center" wrapText="1"/>
    </x:xf>
    <x:xf numFmtId="0" fontId="0" fillId="17" borderId="55" xfId="0" applyNumberFormat="1" applyFont="1" applyFill="1" applyBorder="1" applyAlignment="1">
      <x:alignment horizontal="center" vertical="center" wrapText="1"/>
    </x:xf>
    <x:xf numFmtId="0" fontId="0" fillId="18" borderId="45" xfId="0" applyNumberFormat="1" applyFont="1" applyFill="1" applyBorder="1" applyAlignment="1">
      <x:alignment horizontal="center" vertical="center" wrapText="1"/>
    </x:xf>
    <x:xf numFmtId="0" fontId="0" fillId="20" borderId="45" xfId="0" applyNumberFormat="1" applyFont="1" applyFill="1" applyBorder="1" applyAlignment="1">
      <x:alignment horizontal="center" vertical="center" wrapText="1"/>
    </x:xf>
    <x:xf numFmtId="0" fontId="0" fillId="16" borderId="45" xfId="0" applyNumberFormat="1" applyFont="1" applyFill="1" applyBorder="1" applyAlignment="1">
      <x:alignment horizontal="center" vertical="center" wrapText="1"/>
    </x:xf>
    <x:xf numFmtId="0" fontId="0" fillId="17" borderId="45" xfId="0" applyNumberFormat="1" applyFont="1" applyFill="1" applyBorder="1" applyAlignment="1">
      <x:alignment horizontal="center" vertical="center" wrapText="1"/>
    </x:xf>
    <x:xf numFmtId="0" fontId="0" fillId="19" borderId="45" xfId="0" applyNumberFormat="1" applyFont="1" applyFill="1" applyBorder="1" applyAlignment="1">
      <x:alignment horizontal="center" vertical="center" wrapText="1"/>
    </x:xf>
    <x:xf numFmtId="0" fontId="0" fillId="18" borderId="60" xfId="0" applyNumberFormat="1" applyFont="1" applyFill="1" applyBorder="1" applyAlignment="1">
      <x:alignment horizontal="center" vertical="center" wrapText="1"/>
    </x:xf>
    <x:xf numFmtId="0" fontId="0" fillId="20" borderId="60" xfId="0" applyNumberFormat="1" applyFont="1" applyFill="1" applyBorder="1" applyAlignment="1">
      <x:alignment horizontal="center" vertical="center" wrapText="1"/>
    </x:xf>
    <x:xf numFmtId="0" fontId="0" fillId="16" borderId="60" xfId="0" applyNumberFormat="1" applyFont="1" applyFill="1" applyBorder="1" applyAlignment="1">
      <x:alignment horizontal="center" vertical="center" wrapText="1"/>
    </x:xf>
    <x:xf numFmtId="0" fontId="0" fillId="17" borderId="60"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2" fontId="0" fillId="17" borderId="30" xfId="0" applyNumberFormat="1" applyFont="1" applyFill="1" applyBorder="1" applyAlignment="1">
      <x:alignment horizontal="center" vertical="center" wrapText="1"/>
    </x:xf>
    <x:xf numFmtId="0" fontId="0" fillId="17" borderId="46" xfId="0" applyNumberFormat="1" applyFont="1" applyFill="1" applyBorder="1" applyAlignment="1">
      <x:alignment horizontal="center" vertical="center" wrapText="1"/>
    </x:xf>
    <x:xf numFmtId="2" fontId="0" fillId="17" borderId="46" xfId="0" applyNumberFormat="1" applyFont="1" applyFill="1" applyBorder="1" applyAlignment="1">
      <x:alignment horizontal="center" vertical="center" wrapText="1"/>
    </x:xf>
    <x:xf numFmtId="0" fontId="3" fillId="17" borderId="30" xfId="0" applyNumberFormat="1" applyFont="1" applyFill="1" applyBorder="1" applyAlignment="1">
      <x:alignment horizontal="center" vertical="center" wrapText="1"/>
    </x:xf>
    <x:xf numFmtId="2" fontId="3" fillId="17" borderId="30" xfId="0" applyNumberFormat="1" applyFont="1" applyFill="1" applyBorder="1" applyAlignment="1">
      <x:alignment horizontal="center" vertical="center" wrapText="1"/>
    </x:xf>
    <x:xf numFmtId="0" fontId="3" fillId="17" borderId="29" xfId="0" applyNumberFormat="1" applyFont="1" applyFill="1" applyBorder="1" applyAlignment="1">
      <x:alignment horizontal="center" vertical="center" wrapText="1"/>
    </x:xf>
    <x:xf numFmtId="0" fontId="3" fillId="17" borderId="46" xfId="0" applyNumberFormat="1" applyFont="1" applyFill="1" applyBorder="1" applyAlignment="1">
      <x:alignment horizontal="center" vertical="center" wrapText="1"/>
    </x:xf>
    <x:xf numFmtId="2" fontId="3" fillId="17" borderId="46" xfId="0" applyNumberFormat="1" applyFont="1" applyFill="1" applyBorder="1" applyAlignment="1">
      <x:alignment horizontal="center" vertical="center" wrapText="1"/>
    </x:xf>
    <x:xf numFmtId="0" fontId="3" fillId="17" borderId="45" xfId="0" applyNumberFormat="1" applyFont="1" applyFill="1" applyBorder="1" applyAlignment="1">
      <x:alignment horizontal="center" vertical="center" wrapText="1"/>
    </x:xf>
    <x:xf numFmtId="0" fontId="3" fillId="4" borderId="62" xfId="0" applyNumberFormat="1" applyFont="1" applyFill="1" applyBorder="1" applyAlignment="1">
      <x:alignment vertical="center"/>
    </x:xf>
    <x:xf numFmtId="0" fontId="3" fillId="17" borderId="63" xfId="0" applyNumberFormat="1" applyFont="1" applyFill="1" applyBorder="1" applyAlignment="1">
      <x:alignment horizontal="center" vertical="center" wrapText="1"/>
    </x:xf>
    <x:xf numFmtId="0" fontId="3" fillId="4" borderId="52" xfId="0" applyNumberFormat="1" applyFont="1" applyFill="1" applyBorder="1" applyAlignment="1">
      <x:alignment vertical="center"/>
    </x:xf>
    <x:xf numFmtId="0" fontId="3" fillId="17" borderId="53" xfId="0" applyNumberFormat="1" applyFont="1" applyFill="1" applyBorder="1" applyAlignment="1">
      <x:alignment horizontal="center" vertical="center" wrapText="1"/>
    </x:xf>
    <x:xf numFmtId="2" fontId="3" fillId="17" borderId="53" xfId="0" applyNumberFormat="1" applyFont="1" applyFill="1" applyBorder="1" applyAlignment="1">
      <x:alignment horizontal="center" vertical="center" wrapText="1"/>
    </x:xf>
    <x:xf numFmtId="0" fontId="3" fillId="4" borderId="54" xfId="0" applyNumberFormat="1" applyFont="1" applyFill="1" applyBorder="1" applyAlignment="1">
      <x:alignment vertical="center"/>
    </x:xf>
    <x:xf numFmtId="0" fontId="3" fillId="17" borderId="56" xfId="0" applyNumberFormat="1" applyFont="1" applyFill="1" applyBorder="1" applyAlignment="1">
      <x:alignment horizontal="center" vertical="center" wrapText="1"/>
    </x:xf>
    <x:xf numFmtId="0" fontId="3" fillId="4" borderId="64" xfId="0" applyNumberFormat="1" applyFont="1" applyFill="1" applyBorder="1" applyAlignment="1">
      <x:alignment vertical="center"/>
    </x:xf>
    <x:xf numFmtId="0" fontId="3" fillId="17" borderId="65" xfId="0" applyNumberFormat="1" applyFont="1" applyFill="1" applyBorder="1" applyAlignment="1">
      <x:alignment horizontal="center" vertical="center" wrapText="1"/>
    </x:xf>
    <x:xf numFmtId="0" fontId="3" fillId="4" borderId="57" xfId="0" applyNumberFormat="1" applyFont="1" applyFill="1" applyBorder="1" applyAlignment="1">
      <x:alignment vertical="center"/>
    </x:xf>
    <x:xf numFmtId="0" fontId="3" fillId="17" borderId="58" xfId="0" applyNumberFormat="1" applyFont="1" applyFill="1" applyBorder="1" applyAlignment="1">
      <x:alignment horizontal="center" vertical="center" wrapText="1"/>
    </x:xf>
    <x:xf numFmtId="2" fontId="3" fillId="17" borderId="58" xfId="0" applyNumberFormat="1" applyFont="1" applyFill="1" applyBorder="1" applyAlignment="1">
      <x:alignment horizontal="center" vertical="center" wrapText="1"/>
    </x:xf>
    <x:xf numFmtId="0" fontId="3" fillId="4" borderId="59" xfId="0" applyNumberFormat="1" applyFont="1" applyFill="1" applyBorder="1" applyAlignment="1">
      <x:alignment vertical="center"/>
    </x:xf>
    <x:xf numFmtId="0" fontId="3" fillId="17" borderId="61" xfId="0" applyNumberFormat="1" applyFont="1" applyFill="1" applyBorder="1" applyAlignment="1">
      <x:alignment horizontal="center" vertical="center" wrapText="1"/>
    </x:xf>
    <x:xf numFmtId="2" fontId="0" fillId="17" borderId="29" xfId="0" applyNumberFormat="1" applyFont="1" applyFill="1" applyBorder="1" applyAlignment="1">
      <x:alignment horizontal="center" vertical="center" wrapText="1"/>
    </x:xf>
    <x:xf numFmtId="2" fontId="0" fillId="17" borderId="45" xfId="0" applyNumberFormat="1" applyFont="1" applyFill="1" applyBorder="1" applyAlignment="1">
      <x:alignment horizontal="center" vertical="center" wrapText="1"/>
    </x:xf>
    <x:xf numFmtId="2" fontId="3" fillId="17" borderId="29" xfId="0" applyNumberFormat="1" applyFont="1" applyFill="1" applyBorder="1" applyAlignment="1">
      <x:alignment horizontal="center" vertical="center" wrapText="1"/>
    </x:xf>
    <x:xf numFmtId="2" fontId="3" fillId="17" borderId="45" xfId="0" applyNumberFormat="1" applyFont="1" applyFill="1" applyBorder="1" applyAlignment="1">
      <x:alignment horizontal="center" vertical="center" wrapText="1"/>
    </x:xf>
    <x:xf numFmtId="0" fontId="0" fillId="21" borderId="29" xfId="0" applyNumberFormat="1" applyFont="1" applyFill="1" applyBorder="1" applyAlignment="1">
      <x:alignment vertical="top" wrapText="1"/>
    </x:xf>
    <x:xf numFmtId="164" fontId="0" fillId="21" borderId="29" xfId="0" applyNumberFormat="1" applyFont="1" applyFill="1" applyBorder="1" applyAlignment="1">
      <x:alignment vertical="top" wrapText="1"/>
    </x:xf>
    <x:xf numFmtId="0" fontId="0" fillId="21" borderId="45" xfId="0" applyNumberFormat="1" applyFont="1" applyFill="1" applyBorder="1" applyAlignment="1">
      <x:alignment vertical="top" wrapText="1"/>
    </x:xf>
    <x:xf numFmtId="164" fontId="0" fillId="21" borderId="45" xfId="0" applyNumberFormat="1" applyFont="1" applyFill="1" applyBorder="1" applyAlignment="1">
      <x:alignment vertical="top" wrapText="1"/>
    </x:xf>
    <x:xf numFmtId="0" fontId="3" fillId="20" borderId="29" xfId="0" applyNumberFormat="1" applyFont="1" applyFill="1" applyBorder="1" applyAlignment="1">
      <x:alignment vertical="top" wrapText="1"/>
    </x:xf>
    <x:xf numFmtId="0" fontId="3" fillId="20" borderId="29" xfId="0" applyNumberFormat="1" applyFont="1" applyFill="1" applyBorder="1" applyAlignment="1">
      <x:alignment horizontal="left" vertical="top" wrapText="1"/>
    </x:xf>
    <x:xf numFmtId="0" fontId="0" fillId="20" borderId="29" xfId="0" applyNumberFormat="1" applyFont="1" applyFill="1" applyBorder="1" applyAlignment="1">
      <x:alignment horizontal="left" vertical="top" wrapText="1"/>
    </x:xf>
    <x:xf numFmtId="0" fontId="3" fillId="20" borderId="45" xfId="0" applyNumberFormat="1" applyFont="1" applyFill="1" applyBorder="1" applyAlignment="1">
      <x:alignment vertical="top" wrapText="1"/>
    </x:xf>
    <x:xf numFmtId="0" fontId="3" fillId="20" borderId="45" xfId="0" applyNumberFormat="1" applyFont="1" applyFill="1" applyBorder="1" applyAlignment="1">
      <x:alignment horizontal="left" vertical="top" wrapText="1"/>
    </x:xf>
    <x:xf numFmtId="0" fontId="0" fillId="20" borderId="45" xfId="0" applyNumberFormat="1" applyFont="1" applyFill="1" applyBorder="1" applyAlignment="1">
      <x:alignment horizontal="left" vertical="top" wrapText="1"/>
    </x:xf>
    <x:xf numFmtId="0" fontId="0" fillId="0" borderId="22" xfId="0" applyNumberFormat="1" applyFont="1" applyFill="1" applyBorder="1"/>
    <x:xf numFmtId="0" fontId="3" fillId="4" borderId="22" xfId="0" applyNumberFormat="1" applyFont="1" applyFill="1" applyBorder="1" applyAlignment="1">
      <x:alignment vertical="center"/>
    </x:xf>
    <x:xf numFmtId="0" fontId="0" fillId="0" borderId="23" xfId="0" applyNumberFormat="1" applyFont="1" applyFill="1" applyBorder="1"/>
    <x:xf numFmtId="0" fontId="0" fillId="0" borderId="0" xfId="0" applyNumberFormat="1" applyFont="1" applyFill="1" applyBorder="1"/>
    <x:xf numFmtId="0" fontId="0" fillId="20" borderId="53" xfId="0" applyNumberFormat="1" applyFont="1" applyFill="1" applyBorder="1" applyAlignment="1">
      <x:alignment vertical="top" wrapText="1"/>
    </x:xf>
    <x:xf numFmtId="0" fontId="0" fillId="20" borderId="53" xfId="0" applyNumberFormat="1" applyFont="1" applyFill="1" applyBorder="1" applyAlignment="1">
      <x:alignment horizontal="left" vertical="top" wrapText="1"/>
    </x:xf>
    <x:xf numFmtId="0" fontId="0" fillId="21" borderId="55" xfId="0" applyNumberFormat="1" applyFont="1" applyFill="1" applyBorder="1" applyAlignment="1">
      <x:alignment vertical="top" wrapText="1"/>
    </x:xf>
    <x:xf numFmtId="164" fontId="0" fillId="21" borderId="55" xfId="0" applyNumberFormat="1" applyFont="1" applyFill="1" applyBorder="1" applyAlignment="1">
      <x:alignment vertical="top" wrapText="1"/>
    </x:xf>
    <x:xf numFmtId="0" fontId="0" fillId="0" borderId="27" xfId="0" applyNumberFormat="1" applyFont="1" applyFill="1" applyBorder="1"/>
    <x:xf numFmtId="0" fontId="3" fillId="4" borderId="55" xfId="0" applyNumberFormat="1" applyFont="1" applyFill="1" applyBorder="1" applyAlignment="1">
      <x:alignment horizontal="left" vertical="top" wrapText="1"/>
    </x:xf>
    <x:xf numFmtId="0" fontId="0" fillId="5" borderId="56" xfId="0" applyNumberFormat="1" applyFont="1" applyFill="1" applyBorder="1" applyAlignment="1">
      <x:alignment horizontal="left" vertical="top" wrapText="1"/>
    </x:xf>
    <x:xf numFmtId="0" fontId="0" fillId="0" borderId="38" xfId="0" applyNumberFormat="1" applyFont="1" applyFill="1" applyBorder="1"/>
    <x:xf numFmtId="0" fontId="3" fillId="4" borderId="38" xfId="0" applyNumberFormat="1" applyFont="1" applyFill="1" applyBorder="1" applyAlignment="1">
      <x:alignment vertical="center"/>
    </x:xf>
    <x:xf numFmtId="0" fontId="0" fillId="0" borderId="39" xfId="0" applyNumberFormat="1" applyFont="1" applyFill="1" applyBorder="1"/>
    <x:xf numFmtId="0" fontId="0" fillId="20" borderId="58" xfId="0" applyNumberFormat="1" applyFont="1" applyFill="1" applyBorder="1" applyAlignment="1">
      <x:alignment vertical="top" wrapText="1"/>
    </x:xf>
    <x:xf numFmtId="0" fontId="0" fillId="20" borderId="58" xfId="0" applyNumberFormat="1" applyFont="1" applyFill="1" applyBorder="1" applyAlignment="1">
      <x:alignment horizontal="left" vertical="top" wrapText="1"/>
    </x:xf>
    <x:xf numFmtId="0" fontId="0" fillId="21" borderId="60" xfId="0" applyNumberFormat="1" applyFont="1" applyFill="1" applyBorder="1" applyAlignment="1">
      <x:alignment vertical="top" wrapText="1"/>
    </x:xf>
    <x:xf numFmtId="164" fontId="0" fillId="21" borderId="60" xfId="0" applyNumberFormat="1" applyFont="1" applyFill="1" applyBorder="1" applyAlignment="1">
      <x:alignment vertical="top" wrapText="1"/>
    </x:xf>
    <x:xf numFmtId="0" fontId="0" fillId="0" borderId="43" xfId="0" applyNumberFormat="1" applyFont="1" applyFill="1" applyBorder="1"/>
    <x:xf numFmtId="0" fontId="3" fillId="4" borderId="60" xfId="0" applyNumberFormat="1" applyFont="1" applyFill="1" applyBorder="1" applyAlignment="1">
      <x:alignment horizontal="left" vertical="top" wrapText="1"/>
    </x:xf>
    <x:xf numFmtId="0" fontId="0" fillId="5" borderId="61" xfId="0" applyNumberFormat="1" applyFont="1" applyFill="1" applyBorder="1" applyAlignment="1">
      <x:alignment horizontal="left" vertical="top" wrapText="1"/>
    </x:xf>
    <x:xf numFmtId="0" fontId="0" fillId="0" borderId="22" xfId="0" applyNumberFormat="1" applyFont="1" applyFill="1" applyBorder="1" applyAlignment="1">
      <x:alignment wrapText="1"/>
    </x:xf>
    <x:xf numFmtId="0" fontId="3" fillId="4" borderId="22" xfId="0" applyNumberFormat="1" applyFont="1" applyFill="1" applyBorder="1" applyAlignment="1">
      <x:alignment vertical="center"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38" xfId="0" applyNumberFormat="1" applyFont="1" applyFill="1" applyBorder="1" applyAlignment="1">
      <x:alignment wrapText="1"/>
    </x:xf>
    <x:xf numFmtId="0" fontId="3" fillId="4" borderId="38" xfId="0" applyNumberFormat="1" applyFont="1" applyFill="1" applyBorder="1" applyAlignment="1">
      <x:alignment vertical="center" wrapText="1"/>
    </x:xf>
    <x:xf numFmtId="0" fontId="0" fillId="0" borderId="39" xfId="0" applyNumberFormat="1" applyFont="1" applyFill="1" applyBorder="1" applyAlignment="1">
      <x:alignment wrapText="1"/>
    </x:xf>
    <x:xf numFmtId="0" fontId="4" fillId="3" borderId="21" xfId="0" applyNumberFormat="1" applyFont="1" applyFill="1" applyBorder="1" applyAlignment="1">
      <x:alignment horizontal="center" vertical="top" wrapText="1"/>
    </x:xf>
    <x:xf numFmtId="0" fontId="4" fillId="3" borderId="22" xfId="0" applyNumberFormat="1" applyFont="1" applyFill="1" applyBorder="1" applyAlignment="1">
      <x:alignment horizontal="center" vertical="top" wrapText="1"/>
    </x:xf>
    <x:xf numFmtId="0" fontId="0" fillId="0" borderId="2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4" fillId="3" borderId="37" xfId="0" applyNumberFormat="1" applyFont="1" applyFill="1" applyBorder="1" applyAlignment="1">
      <x:alignment horizontal="center" vertical="top" wrapText="1"/>
    </x:xf>
    <x:xf numFmtId="0" fontId="4" fillId="3"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4"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16" borderId="63" xfId="0" applyNumberFormat="1" applyFont="1" applyFill="1" applyBorder="1" applyAlignment="1">
      <x:alignment vertical="top" wrapText="1"/>
    </x:xf>
    <x:xf numFmtId="0" fontId="0" fillId="16" borderId="65" xfId="0" applyNumberFormat="1" applyFont="1" applyFill="1" applyBorder="1" applyAlignment="1">
      <x:alignment vertical="top" wrapText="1"/>
    </x:xf>
    <x:xf numFmtId="0" fontId="3" fillId="4" borderId="62" xfId="0" applyNumberFormat="1" applyFont="1" applyFill="1" applyBorder="1" applyAlignment="1">
      <x:alignment vertical="center" wrapText="1"/>
    </x:xf>
    <x:xf numFmtId="0" fontId="3" fillId="4" borderId="52"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64"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2" fontId="0" fillId="17" borderId="29" xfId="0" applyNumberFormat="1" applyFont="1" applyFill="1" applyBorder="1" applyAlignment="1">
      <x:alignment vertical="top" wrapText="1"/>
    </x:xf>
    <x:xf numFmtId="2" fontId="0" fillId="17" borderId="45" xfId="0" applyNumberFormat="1" applyFont="1" applyFill="1" applyBorder="1" applyAlignment="1">
      <x:alignment vertical="top" wrapText="1"/>
    </x:xf>
    <x:xf numFmtId="0" fontId="3" fillId="17" borderId="29" xfId="0" applyNumberFormat="1" applyFont="1" applyFill="1" applyBorder="1" applyAlignment="1">
      <x:alignment vertical="top" wrapText="1"/>
    </x:xf>
    <x:xf numFmtId="2" fontId="3" fillId="17" borderId="29" xfId="0" applyNumberFormat="1" applyFont="1" applyFill="1" applyBorder="1" applyAlignment="1">
      <x:alignment vertical="top" wrapText="1"/>
    </x:xf>
    <x:xf numFmtId="0" fontId="3" fillId="17" borderId="45" xfId="0" applyNumberFormat="1" applyFont="1" applyFill="1" applyBorder="1" applyAlignment="1">
      <x:alignment vertical="top" wrapText="1"/>
    </x:xf>
    <x:xf numFmtId="2" fontId="3" fillId="17" borderId="45" xfId="0" applyNumberFormat="1" applyFont="1" applyFill="1" applyBorder="1" applyAlignment="1">
      <x:alignment vertical="top" wrapText="1"/>
    </x:xf>
    <x:xf numFmtId="164" fontId="0" fillId="16" borderId="29" xfId="0" applyNumberFormat="1" applyFont="1" applyFill="1" applyBorder="1" applyAlignment="1">
      <x:alignment horizontal="left" vertical="top" wrapText="1"/>
    </x:xf>
    <x:xf numFmtId="0" fontId="0" fillId="16" borderId="29" xfId="0" applyNumberFormat="1" applyFont="1" applyFill="1" applyBorder="1" applyAlignment="1">
      <x:alignment horizontal="left" vertical="top" wrapText="1"/>
    </x:xf>
    <x:xf numFmtId="164" fontId="0" fillId="16" borderId="45" xfId="0" applyNumberFormat="1" applyFont="1" applyFill="1" applyBorder="1" applyAlignment="1">
      <x:alignment horizontal="left" vertical="top" wrapText="1"/>
    </x:xf>
    <x:xf numFmtId="0" fontId="0" fillId="16" borderId="45" xfId="0" applyNumberFormat="1" applyFont="1" applyFill="1" applyBorder="1" applyAlignment="1">
      <x:alignment horizontal="left" vertical="top" wrapText="1"/>
    </x:xf>
    <x:xf numFmtId="164" fontId="0" fillId="16" borderId="29" xfId="0" applyNumberFormat="1" applyFont="1" applyFill="1" applyBorder="1" applyAlignment="1">
      <x:alignment vertical="top" wrapText="1"/>
    </x:xf>
    <x:xf numFmtId="164" fontId="0" fillId="16" borderId="45" xfId="0" applyNumberFormat="1" applyFont="1" applyFill="1" applyBorder="1" applyAlignment="1">
      <x:alignment vertical="top" wrapText="1"/>
    </x:xf>
    <x:xf numFmtId="164" fontId="0" fillId="16" borderId="29" xfId="0" applyNumberFormat="1" applyFont="1" applyFill="1" applyBorder="1" applyAlignment="1">
      <x:alignment horizontal="center" vertical="top" wrapText="1"/>
    </x:xf>
    <x:xf numFmtId="164" fontId="0" fillId="16" borderId="45" xfId="0" applyNumberFormat="1" applyFont="1" applyFill="1" applyBorder="1" applyAlignment="1">
      <x:alignment horizontal="center" vertical="top" wrapText="1"/>
    </x:xf>
    <x:xf numFmtId="0" fontId="3" fillId="0" borderId="21" xfId="0" applyNumberFormat="1" applyFont="1" applyFill="1" applyBorder="1" applyAlignment="1">
      <x:alignment vertical="center"/>
    </x:xf>
    <x:xf numFmtId="0" fontId="3" fillId="0" borderId="22" xfId="0" applyNumberFormat="1" applyFont="1" applyFill="1" applyBorder="1" applyAlignment="1">
      <x:alignment vertical="center"/>
    </x:xf>
    <x:xf numFmtId="0" fontId="3" fillId="0" borderId="23" xfId="0" applyNumberFormat="1" applyFont="1" applyFill="1" applyBorder="1" applyAlignment="1">
      <x:alignment vertical="center"/>
    </x:xf>
    <x:xf numFmtId="0" fontId="3" fillId="4" borderId="52" xfId="0" applyNumberFormat="1" applyFont="1" applyFill="1" applyBorder="1" applyAlignment="1">
      <x:alignment vertical="top"/>
    </x:xf>
    <x:xf numFmtId="0" fontId="0" fillId="0" borderId="0" xfId="0" applyNumberFormat="1" applyFont="1" applyFill="1" applyBorder="1" applyAlignment="1">
      <x:alignment vertical="top"/>
    </x:xf>
    <x:xf numFmtId="0" fontId="3" fillId="4" borderId="29" xfId="0" applyNumberFormat="1" applyFont="1" applyFill="1" applyBorder="1" applyAlignment="1">
      <x:alignment vertical="top"/>
    </x:xf>
    <x:xf numFmtId="164" fontId="0" fillId="16" borderId="53" xfId="0" applyNumberFormat="1" applyFont="1" applyFill="1" applyBorder="1" applyAlignment="1">
      <x:alignment horizontal="left" vertical="top" wrapText="1"/>
    </x:xf>
    <x:xf numFmtId="0" fontId="3" fillId="4" borderId="32" xfId="0" applyNumberFormat="1" applyFont="1" applyFill="1" applyBorder="1" applyAlignment="1">
      <x:alignment horizontal="center" vertical="top"/>
    </x:xf>
    <x:xf numFmtId="0" fontId="0" fillId="16" borderId="53" xfId="0" applyNumberFormat="1" applyFont="1" applyFill="1" applyBorder="1" applyAlignment="1">
      <x:alignment horizontal="left" vertical="top" wrapText="1"/>
    </x:xf>
    <x:xf numFmtId="0" fontId="3" fillId="4" borderId="35" xfId="0" applyNumberFormat="1" applyFont="1" applyFill="1" applyBorder="1" applyAlignment="1">
      <x:alignment horizontal="center" vertical="top"/>
    </x:xf>
    <x:xf numFmtId="0" fontId="0" fillId="5" borderId="53" xfId="0" applyNumberFormat="1" applyFont="1" applyFill="1" applyBorder="1" applyAlignment="1">
      <x:alignment horizontal="left" vertical="top" wrapText="1"/>
    </x:xf>
    <x:xf numFmtId="0" fontId="3" fillId="4" borderId="54" xfId="0" applyNumberFormat="1" applyFont="1" applyFill="1" applyBorder="1" applyAlignment="1">
      <x:alignment vertical="top"/>
    </x:xf>
    <x:xf numFmtId="2" fontId="3" fillId="17" borderId="55" xfId="0" applyNumberFormat="1" applyFont="1" applyFill="1" applyBorder="1" applyAlignment="1">
      <x:alignment vertical="top" wrapText="1"/>
    </x:xf>
    <x:xf numFmtId="0" fontId="0" fillId="0" borderId="27" xfId="0" applyNumberFormat="1" applyFont="1" applyFill="1" applyBorder="1" applyAlignment="1">
      <x:alignment vertical="top"/>
    </x:xf>
    <x:xf numFmtId="0" fontId="3" fillId="4" borderId="66" xfId="0" applyNumberFormat="1" applyFont="1" applyFill="1" applyBorder="1" applyAlignment="1">
      <x:alignment horizontal="center" vertical="top"/>
    </x:xf>
    <x:xf numFmtId="0" fontId="3" fillId="0" borderId="37" xfId="0" applyNumberFormat="1" applyFont="1" applyFill="1" applyBorder="1" applyAlignment="1">
      <x:alignment vertical="center"/>
    </x:xf>
    <x:xf numFmtId="0" fontId="3" fillId="0" borderId="38" xfId="0" applyNumberFormat="1" applyFont="1" applyFill="1" applyBorder="1" applyAlignment="1">
      <x:alignment vertical="center"/>
    </x:xf>
    <x:xf numFmtId="0" fontId="3" fillId="0" borderId="39" xfId="0" applyNumberFormat="1" applyFont="1" applyFill="1" applyBorder="1" applyAlignment="1">
      <x:alignment vertical="center"/>
    </x:xf>
    <x:xf numFmtId="0" fontId="3" fillId="4" borderId="57" xfId="0" applyNumberFormat="1" applyFont="1" applyFill="1" applyBorder="1" applyAlignment="1">
      <x:alignment vertical="top"/>
    </x:xf>
    <x:xf numFmtId="164" fontId="0" fillId="16" borderId="58" xfId="0" applyNumberFormat="1" applyFont="1" applyFill="1" applyBorder="1" applyAlignment="1">
      <x:alignment horizontal="left" vertical="top" wrapText="1"/>
    </x:xf>
    <x:xf numFmtId="0" fontId="0" fillId="16" borderId="58" xfId="0" applyNumberFormat="1" applyFont="1" applyFill="1" applyBorder="1" applyAlignment="1">
      <x:alignment horizontal="left" vertical="top" wrapText="1"/>
    </x:xf>
    <x:xf numFmtId="0" fontId="0" fillId="5" borderId="58" xfId="0" applyNumberFormat="1" applyFont="1" applyFill="1" applyBorder="1" applyAlignment="1">
      <x:alignment horizontal="left" vertical="top" wrapText="1"/>
    </x:xf>
    <x:xf numFmtId="0" fontId="3" fillId="4" borderId="59" xfId="0" applyNumberFormat="1" applyFont="1" applyFill="1" applyBorder="1" applyAlignment="1">
      <x:alignment vertical="top"/>
    </x:xf>
    <x:xf numFmtId="2" fontId="3" fillId="17" borderId="60" xfId="0" applyNumberFormat="1" applyFont="1" applyFill="1" applyBorder="1" applyAlignment="1">
      <x:alignment vertical="top" wrapText="1"/>
    </x:xf>
    <x:xf numFmtId="0" fontId="0" fillId="0" borderId="43" xfId="0" applyNumberFormat="1" applyFont="1" applyFill="1" applyBorder="1" applyAlignment="1">
      <x:alignment vertical="top"/>
    </x:xf>
    <x:xf numFmtId="0" fontId="3" fillId="4" borderId="67" xfId="0" applyNumberFormat="1" applyFont="1" applyFill="1" applyBorder="1" applyAlignment="1">
      <x:alignment horizontal="center" vertical="top"/>
    </x:xf>
    <x:xf numFmtId="0" fontId="3" fillId="0" borderId="52" xfId="0" applyNumberFormat="1" applyFont="1" applyFill="1" applyBorder="1" applyAlignment="1">
      <x:alignment vertical="top"/>
    </x:xf>
    <x:xf numFmtId="0" fontId="3" fillId="0" borderId="29" xfId="0" applyNumberFormat="1" applyFont="1" applyFill="1" applyBorder="1" applyAlignment="1">
      <x:alignment horizontal="left" vertical="top" wrapText="1"/>
    </x:xf>
    <x:xf numFmtId="0" fontId="0" fillId="0" borderId="53"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0" borderId="54" xfId="0" applyNumberFormat="1" applyFont="1" applyFill="1" applyBorder="1" applyAlignment="1">
      <x:alignment vertical="center"/>
    </x:xf>
    <x:xf numFmtId="164" fontId="0" fillId="16" borderId="55"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3" fillId="0" borderId="57" xfId="0" applyNumberFormat="1" applyFont="1" applyFill="1" applyBorder="1" applyAlignment="1">
      <x:alignment vertical="top"/>
    </x:xf>
    <x:xf numFmtId="0" fontId="0" fillId="0" borderId="58"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3" fillId="0" borderId="59" xfId="0" applyNumberFormat="1" applyFont="1" applyFill="1" applyBorder="1" applyAlignment="1">
      <x:alignment vertical="center"/>
    </x:xf>
    <x:xf numFmtId="164" fontId="0" fillId="16" borderId="60"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3" fillId="0" borderId="52" xfId="0" applyNumberFormat="1" applyFont="1" applyFill="1" applyBorder="1" applyAlignment="1">
      <x:alignment horizontal="center" vertical="center"/>
    </x:xf>
    <x:xf numFmtId="0" fontId="0" fillId="16" borderId="53" xfId="0" applyNumberFormat="1" applyFont="1" applyFill="1" applyBorder="1" applyAlignment="1">
      <x:alignment horizontal="center" vertical="top" wrapText="1"/>
    </x:xf>
    <x:xf numFmtId="164" fontId="0" fillId="16" borderId="53"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center"/>
    </x:xf>
    <x:xf numFmtId="164" fontId="0" fillId="16" borderId="56" xfId="0" applyNumberFormat="1" applyFont="1" applyFill="1" applyBorder="1" applyAlignment="1">
      <x:alignment horizontal="center" vertical="top" wrapText="1"/>
    </x:xf>
    <x:xf numFmtId="0" fontId="3" fillId="0" borderId="57" xfId="0" applyNumberFormat="1" applyFont="1" applyFill="1" applyBorder="1" applyAlignment="1">
      <x:alignment horizontal="center" vertical="center"/>
    </x:xf>
    <x:xf numFmtId="0" fontId="0" fillId="16" borderId="58" xfId="0" applyNumberFormat="1" applyFont="1" applyFill="1" applyBorder="1" applyAlignment="1">
      <x:alignment horizontal="center" vertical="top" wrapText="1"/>
    </x:xf>
    <x:xf numFmtId="164" fontId="0" fillId="16" borderId="58"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center"/>
    </x:xf>
    <x:xf numFmtId="164" fontId="0" fillId="16" borderId="61" xfId="0" applyNumberFormat="1" applyFont="1" applyFill="1" applyBorder="1" applyAlignment="1">
      <x:alignment horizontal="center" vertical="top" wrapText="1"/>
    </x:xf>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3" fillId="4" borderId="52"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3" fillId="4" borderId="32" xfId="0" applyNumberFormat="1" applyFont="1" applyFill="1" applyBorder="1" applyAlignment="1">
      <x:alignment horizontal="center" vertical="top" wrapText="1"/>
    </x:xf>
    <x:xf numFmtId="0" fontId="3" fillId="4" borderId="35" xfId="0" applyNumberFormat="1" applyFont="1" applyFill="1" applyBorder="1" applyAlignment="1">
      <x:alignment horizontal="center" vertical="top" wrapText="1"/>
    </x:xf>
    <x:xf numFmtId="0" fontId="3" fillId="4" borderId="54" xfId="0" applyNumberFormat="1" applyFont="1" applyFill="1" applyBorder="1" applyAlignment="1">
      <x:alignment vertical="top" wrapText="1"/>
    </x:xf>
    <x:xf numFmtId="0" fontId="3" fillId="4" borderId="66" xfId="0" applyNumberFormat="1" applyFont="1" applyFill="1" applyBorder="1" applyAlignment="1">
      <x:alignment horizontal="center" vertical="top" wrapText="1"/>
    </x:xf>
    <x:xf numFmtId="0" fontId="3" fillId="0" borderId="52" xfId="0" applyNumberFormat="1" applyFont="1" applyFill="1" applyBorder="1" applyAlignment="1">
      <x:alignment vertical="top" wrapText="1"/>
    </x:xf>
    <x:xf numFmtId="0" fontId="3" fillId="0" borderId="54"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52" xfId="0" applyNumberFormat="1" applyFont="1" applyFill="1" applyBorder="1" applyAlignment="1">
      <x:alignment horizontal="center" vertical="center" wrapText="1"/>
    </x:xf>
    <x:xf numFmtId="0" fontId="3" fillId="0" borderId="54"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0" fontId="3" fillId="0" borderId="38" xfId="0" applyNumberFormat="1" applyFont="1" applyFill="1" applyBorder="1" applyAlignment="1">
      <x:alignment vertical="center" wrapText="1"/>
    </x:xf>
    <x:xf numFmtId="0" fontId="3" fillId="0" borderId="39" xfId="0" applyNumberFormat="1" applyFont="1" applyFill="1" applyBorder="1" applyAlignment="1">
      <x:alignment vertical="center" wrapText="1"/>
    </x:xf>
    <x:xf numFmtId="0" fontId="3" fillId="4" borderId="57" xfId="0" applyNumberFormat="1" applyFont="1" applyFill="1" applyBorder="1" applyAlignment="1">
      <x:alignment vertical="top" wrapText="1"/>
    </x:xf>
    <x:xf numFmtId="0" fontId="3" fillId="4" borderId="48" xfId="0" applyNumberFormat="1" applyFont="1" applyFill="1" applyBorder="1" applyAlignment="1">
      <x:alignment horizontal="center" vertical="top" wrapText="1"/>
    </x:xf>
    <x:xf numFmtId="0" fontId="3" fillId="4" borderId="51" xfId="0" applyNumberFormat="1" applyFont="1" applyFill="1" applyBorder="1" applyAlignment="1">
      <x:alignment horizontal="center" vertical="top" wrapText="1"/>
    </x:xf>
    <x:xf numFmtId="0" fontId="3" fillId="4" borderId="59" xfId="0" applyNumberFormat="1" applyFont="1" applyFill="1" applyBorder="1" applyAlignment="1">
      <x:alignment vertical="top" wrapText="1"/>
    </x:xf>
    <x:xf numFmtId="0" fontId="3" fillId="4" borderId="67" xfId="0" applyNumberFormat="1" applyFont="1" applyFill="1" applyBorder="1" applyAlignment="1">
      <x:alignment horizontal="center" vertical="top" wrapText="1"/>
    </x:xf>
    <x:xf numFmtId="0" fontId="3" fillId="0" borderId="57" xfId="0" applyNumberFormat="1" applyFont="1" applyFill="1" applyBorder="1" applyAlignment="1">
      <x:alignment vertical="top" wrapText="1"/>
    </x:xf>
    <x:xf numFmtId="0" fontId="3" fillId="0" borderId="59" xfId="0" applyNumberFormat="1" applyFont="1" applyFill="1" applyBorder="1" applyAlignment="1">
      <x:alignment vertical="center" wrapText="1"/>
    </x:xf>
    <x:xf numFmtId="0" fontId="3" fillId="0" borderId="36" xfId="0" applyNumberFormat="1" applyFont="1" applyFill="1" applyBorder="1" applyAlignment="1">
      <x:alignment vertical="center" wrapText="1"/>
    </x:xf>
    <x:xf numFmtId="0" fontId="3" fillId="0" borderId="57"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0" borderId="21"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5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2"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top" wrapText="1"/>
    </x:xf>
    <x:xf numFmtId="0" fontId="3" fillId="0" borderId="37"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3" fillId="0" borderId="57"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top" wrapText="1"/>
    </x:xf>
    <x:xf numFmtId="0" fontId="0" fillId="20" borderId="0" xfId="0" applyNumberFormat="1" applyFont="1" applyFill="1" applyBorder="1"/>
    <x:xf numFmtId="0" fontId="0" fillId="20" borderId="36" xfId="0" applyNumberFormat="1" applyFont="1" applyFill="1" applyBorder="1"/>
    <x:xf numFmtId="0" fontId="8" fillId="20" borderId="0" xfId="0" applyNumberFormat="1" applyFont="1" applyFill="1" applyBorder="1"/>
    <x:xf numFmtId="0" fontId="8" fillId="20" borderId="36" xfId="0" applyNumberFormat="1" applyFont="1" applyFill="1" applyBorder="1"/>
    <x:xf numFmtId="0" fontId="8" fillId="20" borderId="0" xfId="0" applyNumberFormat="1" applyFont="1" applyFill="1" applyBorder="1" applyAlignment="1">
      <x:alignment wrapText="1"/>
    </x:xf>
    <x:xf numFmtId="0" fontId="8" fillId="20" borderId="36" xfId="0" applyNumberFormat="1" applyFont="1" applyFill="1" applyBorder="1" applyAlignment="1">
      <x:alignment wrapText="1"/>
    </x:xf>
    <x:xf numFmtId="0" fontId="8" fillId="16" borderId="0" xfId="0" applyNumberFormat="1" applyFont="1" applyFill="1" applyBorder="1" applyAlignment="1">
      <x:alignment horizontal="center"/>
    </x:xf>
    <x:xf numFmtId="0" fontId="8" fillId="16" borderId="36"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8" fillId="16" borderId="36" xfId="0" applyNumberFormat="1" applyFont="1" applyFill="1" applyBorder="1" applyAlignment="1">
      <x:alignment horizontal="center" vertical="center"/>
    </x:xf>
    <x:xf numFmtId="0" fontId="8" fillId="17" borderId="0" xfId="0" applyNumberFormat="1" applyFont="1" applyFill="1" applyBorder="1" applyAlignment="1">
      <x:alignment horizontal="center"/>
    </x:xf>
    <x:xf numFmtId="0" fontId="8" fillId="17" borderId="36" xfId="0" applyNumberFormat="1" applyFont="1" applyFill="1" applyBorder="1" applyAlignment="1">
      <x:alignment horizontal="center"/>
    </x:xf>
    <x:xf numFmtId="0" fontId="8" fillId="17" borderId="0" xfId="0" applyNumberFormat="1" applyFont="1" applyFill="1" applyBorder="1" applyAlignment="1">
      <x:alignment horizontal="center" vertical="center"/>
    </x:xf>
    <x:xf numFmtId="0" fontId="8" fillId="17" borderId="36" xfId="0" applyNumberFormat="1" applyFont="1" applyFill="1" applyBorder="1" applyAlignment="1">
      <x:alignment horizontal="center" vertical="center"/>
    </x:xf>
    <x:xf numFmtId="0" fontId="8" fillId="18" borderId="0" xfId="0" applyNumberFormat="1" applyFont="1" applyFill="1" applyBorder="1" applyAlignment="1">
      <x:alignment horizontal="center"/>
    </x:xf>
    <x:xf numFmtId="0" fontId="8" fillId="18" borderId="36" xfId="0" applyNumberFormat="1" applyFont="1" applyFill="1" applyBorder="1" applyAlignment="1">
      <x:alignment horizontal="center"/>
    </x:xf>
    <x:xf numFmtId="0" fontId="8" fillId="18" borderId="0" xfId="0" applyNumberFormat="1" applyFont="1" applyFill="1" applyBorder="1" applyAlignment="1">
      <x:alignment horizontal="center" vertical="center"/>
    </x:xf>
    <x:xf numFmtId="0" fontId="8" fillId="18" borderId="36" xfId="0" applyNumberFormat="1" applyFont="1" applyFill="1" applyBorder="1" applyAlignment="1">
      <x:alignment horizontal="center" vertical="center"/>
    </x:xf>
    <x:xf numFmtId="0" fontId="8" fillId="19" borderId="0" xfId="0" applyNumberFormat="1" applyFont="1" applyFill="1" applyBorder="1" applyAlignment="1">
      <x:alignment horizontal="center"/>
    </x:xf>
    <x:xf numFmtId="0" fontId="8" fillId="19" borderId="36" xfId="0" applyNumberFormat="1" applyFont="1" applyFill="1" applyBorder="1" applyAlignment="1">
      <x:alignment horizontal="center"/>
    </x:xf>
    <x:xf numFmtId="0" fontId="8" fillId="19" borderId="0" xfId="0" applyNumberFormat="1" applyFont="1" applyFill="1" applyBorder="1" applyAlignment="1">
      <x:alignment horizontal="center" vertical="center"/>
    </x:xf>
    <x:xf numFmtId="0" fontId="8" fillId="19" borderId="36" xfId="0" applyNumberFormat="1" applyFont="1" applyFill="1" applyBorder="1" applyAlignment="1">
      <x:alignment horizontal="center" vertical="center"/>
    </x:xf>
    <x:xf numFmtId="0" fontId="8"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16" borderId="36" xfId="0" applyNumberFormat="1" applyFont="1" applyFill="1" applyBorder="1" applyAlignment="1">
      <x:alignment horizontal="center" vertical="center" wrapText="1"/>
    </x:xf>
    <x:xf numFmtId="0" fontId="8" fillId="17" borderId="36" xfId="0" applyNumberFormat="1" applyFont="1" applyFill="1" applyBorder="1" applyAlignment="1">
      <x:alignment horizontal="center" vertical="center" wrapText="1"/>
    </x:xf>
    <x:xf numFmtId="0" fontId="8" fillId="18" borderId="36" xfId="0" applyNumberFormat="1" applyFont="1" applyFill="1" applyBorder="1" applyAlignment="1">
      <x:alignment horizontal="center" vertical="center" wrapText="1"/>
    </x:xf>
    <x:xf numFmtId="0" fontId="8" fillId="19" borderId="36" xfId="0" applyNumberFormat="1" applyFont="1" applyFill="1" applyBorder="1" applyAlignment="1">
      <x:alignment horizontal="center" vertical="center" wrapText="1"/>
    </x:xf>
    <x:xf numFmtId="0" fontId="3" fillId="21" borderId="0" xfId="0" applyNumberFormat="1" applyFont="1" applyFill="1" applyBorder="1" applyAlignment="1">
      <x:alignment vertical="center"/>
    </x:xf>
    <x:xf numFmtId="0" fontId="0" fillId="21" borderId="0" xfId="0" applyNumberFormat="1" applyFont="1" applyFill="1" applyBorder="1" applyAlignment="1">
      <x:alignment vertical="top" wrapText="1"/>
    </x:xf>
    <x:xf numFmtId="0" fontId="3" fillId="21" borderId="36" xfId="0" applyNumberFormat="1" applyFont="1" applyFill="1" applyBorder="1" applyAlignment="1">
      <x:alignment vertical="center"/>
    </x:xf>
    <x:xf numFmtId="0" fontId="0" fillId="21" borderId="36" xfId="0" applyNumberFormat="1" applyFont="1" applyFill="1" applyBorder="1" applyAlignment="1">
      <x:alignment vertical="top" wrapText="1"/>
    </x:xf>
    <x:xf numFmtId="0" fontId="9" fillId="18" borderId="29" xfId="0" applyNumberFormat="1" applyFont="1" applyFill="1" applyBorder="1" applyAlignment="1">
      <x:alignment horizontal="center" vertical="center" wrapText="1"/>
    </x:xf>
    <x:xf numFmtId="0" fontId="9" fillId="20" borderId="29" xfId="0" applyNumberFormat="1" applyFont="1" applyFill="1" applyBorder="1" applyAlignment="1">
      <x:alignment horizontal="center" vertical="center" wrapText="1"/>
    </x:xf>
    <x:xf numFmtId="0" fontId="9" fillId="16" borderId="29" xfId="0" applyNumberFormat="1" applyFont="1" applyFill="1" applyBorder="1" applyAlignment="1">
      <x:alignment horizontal="center" vertical="center" wrapText="1"/>
    </x:xf>
    <x:xf numFmtId="0" fontId="9" fillId="17" borderId="29" xfId="0" applyNumberFormat="1" applyFont="1" applyFill="1" applyBorder="1" applyAlignment="1">
      <x:alignment horizontal="center" vertical="center" wrapText="1"/>
    </x:xf>
    <x:xf numFmtId="0" fontId="9" fillId="19" borderId="29" xfId="0" applyNumberFormat="1" applyFont="1" applyFill="1" applyBorder="1" applyAlignment="1">
      <x:alignment horizontal="center" vertical="center" wrapText="1"/>
    </x:xf>
    <x:xf numFmtId="0" fontId="9" fillId="18" borderId="55" xfId="0" applyNumberFormat="1" applyFont="1" applyFill="1" applyBorder="1" applyAlignment="1">
      <x:alignment horizontal="center" vertical="center" wrapText="1"/>
    </x:xf>
    <x:xf numFmtId="0" fontId="9" fillId="20" borderId="55" xfId="0" applyNumberFormat="1" applyFont="1" applyFill="1" applyBorder="1" applyAlignment="1">
      <x:alignment horizontal="center" vertical="center" wrapText="1"/>
    </x:xf>
    <x:xf numFmtId="0" fontId="9" fillId="16" borderId="55" xfId="0" applyNumberFormat="1" applyFont="1" applyFill="1" applyBorder="1" applyAlignment="1">
      <x:alignment horizontal="center" vertical="center" wrapText="1"/>
    </x:xf>
    <x:xf numFmtId="0" fontId="9" fillId="17" borderId="55" xfId="0" applyNumberFormat="1" applyFont="1" applyFill="1" applyBorder="1" applyAlignment="1">
      <x:alignment horizontal="center" vertical="center" wrapText="1"/>
    </x:xf>
    <x:xf numFmtId="0" fontId="9" fillId="18" borderId="45" xfId="0" applyNumberFormat="1" applyFont="1" applyFill="1" applyBorder="1" applyAlignment="1">
      <x:alignment horizontal="center" vertical="center" wrapText="1"/>
    </x:xf>
    <x:xf numFmtId="0" fontId="9" fillId="20" borderId="45" xfId="0" applyNumberFormat="1" applyFont="1" applyFill="1" applyBorder="1" applyAlignment="1">
      <x:alignment horizontal="center" vertical="center" wrapText="1"/>
    </x:xf>
    <x:xf numFmtId="0" fontId="9" fillId="16" borderId="45" xfId="0" applyNumberFormat="1" applyFont="1" applyFill="1" applyBorder="1" applyAlignment="1">
      <x:alignment horizontal="center" vertical="center" wrapText="1"/>
    </x:xf>
    <x:xf numFmtId="0" fontId="9" fillId="17" borderId="45" xfId="0" applyNumberFormat="1" applyFont="1" applyFill="1" applyBorder="1" applyAlignment="1">
      <x:alignment horizontal="center" vertical="center" wrapText="1"/>
    </x:xf>
    <x:xf numFmtId="0" fontId="9" fillId="19" borderId="45" xfId="0" applyNumberFormat="1" applyFont="1" applyFill="1" applyBorder="1" applyAlignment="1">
      <x:alignment horizontal="center" vertical="center" wrapText="1"/>
    </x:xf>
    <x:xf numFmtId="0" fontId="9" fillId="18" borderId="60" xfId="0" applyNumberFormat="1" applyFont="1" applyFill="1" applyBorder="1" applyAlignment="1">
      <x:alignment horizontal="center" vertical="center" wrapText="1"/>
    </x:xf>
    <x:xf numFmtId="0" fontId="9" fillId="20" borderId="60" xfId="0" applyNumberFormat="1" applyFont="1" applyFill="1" applyBorder="1" applyAlignment="1">
      <x:alignment horizontal="center" vertical="center" wrapText="1"/>
    </x:xf>
    <x:xf numFmtId="0" fontId="9" fillId="16" borderId="60" xfId="0" applyNumberFormat="1" applyFont="1" applyFill="1" applyBorder="1" applyAlignment="1">
      <x:alignment horizontal="center" vertical="center" wrapText="1"/>
    </x:xf>
    <x:xf numFmtId="0" fontId="9" fillId="17" borderId="60" xfId="0" applyNumberFormat="1" applyFont="1" applyFill="1" applyBorder="1" applyAlignment="1">
      <x:alignment horizontal="center" vertical="center" wrapText="1"/>
    </x:xf>
    <x:xf numFmtId="0" fontId="3" fillId="16" borderId="63" xfId="0" applyNumberFormat="1" applyFont="1" applyFill="1" applyBorder="1" applyAlignment="1">
      <x:alignment vertical="top" wrapText="1"/>
    </x:xf>
    <x:xf numFmtId="0" fontId="3" fillId="16" borderId="65" xfId="0" applyNumberFormat="1" applyFont="1" applyFill="1" applyBorder="1" applyAlignment="1">
      <x:alignment vertical="top" wrapText="1"/>
    </x:xf>
    <x:xf numFmtId="0" fontId="3" fillId="16" borderId="63" xfId="0" applyNumberFormat="1" applyFont="1" applyFill="1" applyBorder="1" applyAlignment="1">
      <x:alignment horizontal="center" vertical="top" wrapText="1"/>
    </x:xf>
    <x:xf numFmtId="0" fontId="3" fillId="16" borderId="65" xfId="0" applyNumberFormat="1" applyFont="1" applyFill="1" applyBorder="1" applyAlignment="1">
      <x:alignment horizontal="center" vertical="top" wrapText="1"/>
    </x:xf>
    <x:xf numFmtId="0" fontId="3" fillId="16" borderId="63" xfId="0" applyNumberFormat="1" applyFont="1" applyFill="1" applyBorder="1" applyAlignment="1">
      <x:alignment horizontal="center" vertical="center" wrapText="1"/>
    </x:xf>
    <x:xf numFmtId="0" fontId="0" fillId="16" borderId="53" xfId="0" applyNumberFormat="1" applyFont="1" applyFill="1" applyBorder="1" applyAlignment="1">
      <x:alignment vertical="center" wrapText="1"/>
    </x:xf>
    <x:xf numFmtId="0" fontId="0" fillId="16" borderId="56" xfId="0" applyNumberFormat="1" applyFont="1" applyFill="1" applyBorder="1" applyAlignment="1">
      <x:alignment vertical="center" wrapText="1"/>
    </x:xf>
    <x:xf numFmtId="0" fontId="3" fillId="16" borderId="65" xfId="0" applyNumberFormat="1" applyFont="1" applyFill="1" applyBorder="1" applyAlignment="1">
      <x:alignment horizontal="center" vertical="center" wrapText="1"/>
    </x:xf>
    <x:xf numFmtId="0" fontId="0" fillId="16" borderId="58" xfId="0" applyNumberFormat="1" applyFont="1" applyFill="1" applyBorder="1" applyAlignment="1">
      <x:alignment vertical="center" wrapText="1"/>
    </x:xf>
    <x:xf numFmtId="0" fontId="0" fillId="16" borderId="6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4" fillId="13" borderId="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8" xfId="0" applyNumberFormat="1" applyFont="1" applyFill="1" applyBorder="1" applyAlignment="1">
      <x:alignment wrapText="1"/>
    </x:xf>
    <x:xf numFmtId="0" fontId="3" fillId="4" borderId="0" xfId="0" applyNumberFormat="1" applyFont="1" applyFill="1" applyBorder="1" applyAlignment="1">
      <x:alignment vertical="top"/>
    </x:xf>
    <x:xf numFmtId="0" fontId="5" fillId="0" borderId="29"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6" borderId="29" xfId="0" applyNumberFormat="1" applyFont="1" applyFill="1" applyBorder="1" applyAlignment="1">
      <x:alignment vertical="center" wrapText="1"/>
    </x:xf>
    <x:xf numFmtId="0" fontId="3" fillId="4" borderId="29" xfId="0" applyNumberFormat="1" applyFont="1" applyFill="1" applyBorder="1" applyAlignment="1">
      <x:alignment vertical="center"/>
    </x:xf>
    <x:xf numFmtId="0" fontId="0" fillId="6" borderId="2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3" fillId="4" borderId="29" xfId="0" applyNumberFormat="1" applyFont="1" applyFill="1" applyBorder="1" applyAlignment="1">
      <x:alignment vertical="center" wrapText="1"/>
    </x:xf>
    <x:xf numFmtId="0" fontId="0" fillId="0" borderId="29" xfId="0" applyNumberFormat="1" applyFont="1" applyFill="1" applyBorder="1" applyAlignment="1">
      <x:alignment horizontal="center" vertical="top" wrapText="1"/>
    </x:xf>
    <x:xf numFmtId="0" fontId="3" fillId="0" borderId="0" xfId="0" applyNumberFormat="1" applyFont="1" applyFill="1" applyBorder="1" applyAlignment="1">
      <x:alignment vertical="center"/>
    </x:xf>
    <x:xf numFmtId="164" fontId="0" fillId="5" borderId="29"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0" fillId="5" borderId="29" xfId="0" applyNumberFormat="1" applyFont="1" applyFill="1" applyBorder="1" applyAlignment="1">
      <x:alignment horizontal="left" vertical="top" wrapText="1"/>
    </x:xf>
    <x:xf numFmtId="0" fontId="3" fillId="4" borderId="29" xfId="0" applyNumberFormat="1" applyFont="1" applyFill="1" applyBorder="1" applyAlignment="1">
      <x:alignment horizontal="left" vertical="top" wrapText="1"/>
    </x:xf>
    <x:xf numFmtId="0" fontId="0" fillId="0" borderId="0" xfId="0" applyNumberFormat="1" applyFont="1" applyFill="1" applyBorder="1" applyAlignment="1">
      <x:alignment horizontal="center"/>
    </x:xf>
    <x:xf numFmtId="0" fontId="3" fillId="0" borderId="29" xfId="0" applyNumberFormat="1" applyFont="1" applyFill="1" applyBorder="1" applyAlignment="1">
      <x:alignment horizontal="center" vertical="center"/>
    </x:xf>
    <x:xf numFmtId="164" fontId="0" fillId="0" borderId="29" xfId="0" applyNumberFormat="1" applyFont="1" applyFill="1" applyBorder="1" applyAlignment="1">
      <x:alignment horizontal="center" vertical="top" wrapText="1"/>
    </x:xf>
    <x:xf numFmtId="0" fontId="3" fillId="0" borderId="29" xfId="0" applyNumberFormat="1" applyFont="1" applyFill="1" applyBorder="1" applyAlignment="1">
      <x:alignment vertical="center"/>
    </x:xf>
    <x:xf numFmtId="164" fontId="0" fillId="0" borderId="2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30" xfId="0" applyNumberFormat="1" applyFont="1" applyFill="1" applyBorder="1" applyAlignment="1">
      <x:alignment horizontal="center" vertical="center" wrapText="1"/>
    </x:xf>
    <x:xf numFmtId="0" fontId="0" fillId="6" borderId="31" xfId="0" applyNumberFormat="1" applyFont="1" applyFill="1" applyBorder="1" applyAlignment="1">
      <x:alignment horizontal="center" vertical="center" wrapText="1"/>
    </x:xf>
    <x:xf numFmtId="0" fontId="0" fillId="15" borderId="29" xfId="0" applyNumberFormat="1" applyFont="1" applyFill="1" applyBorder="1" applyAlignment="1">
      <x:alignment horizontal="center" vertical="center" wrapText="1"/>
    </x:xf>
    <x:xf numFmtId="2" fontId="0" fillId="6" borderId="30" xfId="0" applyNumberFormat="1" applyFont="1" applyFill="1" applyBorder="1" applyAlignment="1">
      <x:alignment horizontal="center" vertical="center" wrapText="1"/>
    </x:xf>
    <x:xf numFmtId="2" fontId="0" fillId="6" borderId="31" xfId="0" applyNumberFormat="1" applyFont="1" applyFill="1" applyBorder="1" applyAlignment="1">
      <x:alignment horizontal="center" vertical="center" wrapText="1"/>
    </x:xf>
    <x:xf numFmtId="2" fontId="0" fillId="15" borderId="30" xfId="0" applyNumberFormat="1" applyFont="1" applyFill="1" applyBorder="1" applyAlignment="1">
      <x:alignment horizontal="center" vertical="center" wrapText="1"/>
    </x:xf>
    <x:xf numFmtId="2" fontId="0" fillId="15" borderId="31"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center" wrapText="1"/>
    </x:xf>
    <x:xf numFmtId="0" fontId="3" fillId="4" borderId="32" xfId="0" applyNumberFormat="1" applyFont="1" applyFill="1" applyBorder="1" applyAlignment="1">
      <x:alignment horizontal="center" vertical="center" wrapText="1"/>
    </x:xf>
    <x:xf numFmtId="0" fontId="3" fillId="4" borderId="33"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top" wrapText="1"/>
    </x:xf>
    <x:xf numFmtId="0" fontId="0" fillId="0" borderId="34" xfId="0" applyNumberFormat="1" applyFont="1" applyFill="1" applyBorder="1"/>
    <x:xf numFmtId="0" fontId="0" fillId="5" borderId="2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center"/>
    </x:xf>
    <x:xf numFmtId="0" fontId="3" fillId="4" borderId="32" xfId="0" applyNumberFormat="1" applyFont="1" applyFill="1" applyBorder="1" applyAlignment="1">
      <x:alignment horizontal="center" vertical="center"/>
    </x:xf>
    <x:xf numFmtId="0" fontId="3" fillId="4" borderId="35" xfId="0" applyNumberFormat="1" applyFont="1" applyFill="1" applyBorder="1" applyAlignment="1">
      <x:alignment horizontal="center" vertical="center"/>
    </x:xf>
    <x:xf numFmtId="0" fontId="3" fillId="4" borderId="33" xfId="0" applyNumberFormat="1" applyFont="1" applyFill="1" applyBorder="1" applyAlignment="1">
      <x:alignment horizontal="center" vertical="center"/>
    </x:xf>
    <x:xf numFmtId="2" fontId="0" fillId="6" borderId="29" xfId="0" applyNumberFormat="1" applyFont="1" applyFill="1" applyBorder="1" applyAlignment="1">
      <x:alignment horizontal="center" vertical="center" wrapText="1"/>
    </x:xf>
    <x:xf numFmtId="2" fontId="0" fillId="6" borderId="29" xfId="0" applyNumberFormat="1" applyFont="1" applyFill="1" applyBorder="1" applyAlignment="1">
      <x:alignment vertical="top" wrapText="1"/>
    </x:xf>
    <x:xf numFmtId="164" fontId="0" fillId="5" borderId="29" xfId="0" applyNumberFormat="1" applyFont="1" applyFill="1" applyBorder="1" applyAlignment="1">
      <x:alignment horizontal="left" vertical="top" wrapText="1"/>
    </x:xf>
    <x:xf numFmtId="0" fontId="3" fillId="4" borderId="33" xfId="0" applyNumberFormat="1" applyFont="1" applyFill="1" applyBorder="1" applyAlignment="1">
      <x:alignment horizontal="center" vertical="top"/>
    </x:xf>
    <x:xf numFmtId="0" fontId="3" fillId="0" borderId="29" xfId="0" applyNumberFormat="1" applyFont="1" applyFill="1" applyBorder="1" applyAlignment="1">
      <x:alignment vertical="top"/>
    </x:xf>
    <x:xf numFmtId="0" fontId="8" fillId="5" borderId="0" xfId="0" applyNumberFormat="1" applyFont="1" applyFill="1" applyBorder="1"/>
    <x:xf numFmtId="0" fontId="8" fillId="6" borderId="0" xfId="0" applyNumberFormat="1" applyFont="1" applyFill="1" applyBorder="1"/>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4" borderId="29" xfId="0" applyNumberFormat="1" applyFont="1" applyFill="1" applyBorder="1" applyAlignment="1">
      <x:alignment vertical="top" wrapText="1"/>
    </x:xf>
    <x:xf numFmtId="0" fontId="0" fillId="5" borderId="53" xfId="0" applyNumberFormat="1" applyFont="1" applyFill="1" applyBorder="1" applyAlignment="1">
      <x:alignment vertical="top" wrapText="1"/>
    </x:xf>
    <x:xf numFmtId="0" fontId="0" fillId="6" borderId="55" xfId="0" applyNumberFormat="1" applyFont="1" applyFill="1" applyBorder="1" applyAlignment="1">
      <x:alignment vertical="top" wrapText="1"/>
    </x:xf>
    <x:xf numFmtId="0" fontId="0" fillId="4" borderId="55" xfId="0" applyNumberFormat="1" applyFont="1" applyFill="1" applyBorder="1" applyAlignment="1">
      <x:alignment vertical="top" wrapText="1"/>
    </x:xf>
    <x:xf numFmtId="0" fontId="0" fillId="5" borderId="55" xfId="0" applyNumberFormat="1" applyFont="1" applyFill="1" applyBorder="1" applyAlignment="1">
      <x:alignment vertical="top" wrapText="1"/>
    </x:xf>
    <x:xf numFmtId="0" fontId="0" fillId="6" borderId="55" xfId="0" applyNumberFormat="1" applyFont="1" applyFill="1" applyBorder="1" applyAlignment="1">
      <x:alignment vertical="center" wrapText="1"/>
    </x:xf>
    <x:xf numFmtId="0" fontId="0" fillId="5" borderId="56" xfId="0" applyNumberFormat="1" applyFont="1" applyFill="1" applyBorder="1" applyAlignment="1">
      <x:alignment vertical="top" wrapText="1"/>
    </x:xf>
    <x:xf numFmtId="0" fontId="0" fillId="4" borderId="29" xfId="0" applyNumberFormat="1" applyFont="1" applyFill="1" applyBorder="1" applyAlignment="1">
      <x:alignment horizontal="center" vertical="top" wrapText="1"/>
    </x:xf>
    <x:xf numFmtId="0" fontId="0" fillId="6" borderId="29" xfId="0" applyNumberFormat="1" applyFont="1" applyFill="1" applyBorder="1" applyAlignment="1">
      <x:alignment horizontal="center" vertical="top" wrapText="1"/>
    </x:xf>
    <x:xf numFmtId="0" fontId="0" fillId="4" borderId="55" xfId="0" applyNumberFormat="1" applyFont="1" applyFill="1" applyBorder="1" applyAlignment="1">
      <x:alignment horizontal="center" vertical="top" wrapText="1"/>
    </x:xf>
    <x:xf numFmtId="0" fontId="0" fillId="5" borderId="55" xfId="0" applyNumberFormat="1" applyFont="1" applyFill="1" applyBorder="1" applyAlignment="1">
      <x:alignment horizontal="center" vertical="top" wrapText="1"/>
    </x:xf>
    <x:xf numFmtId="0" fontId="0" fillId="6" borderId="55" xfId="0" applyNumberFormat="1" applyFont="1" applyFill="1" applyBorder="1" applyAlignment="1">
      <x:alignment horizontal="center" vertical="top" wrapText="1"/>
    </x:xf>
    <x:xf numFmtId="0" fontId="0" fillId="4" borderId="29" xfId="0" applyNumberFormat="1" applyFont="1" applyFill="1" applyBorder="1" applyAlignment="1">
      <x:alignment horizontal="center" vertical="center" wrapText="1"/>
    </x:xf>
    <x:xf numFmtId="0" fontId="0" fillId="5" borderId="29" xfId="0" applyNumberFormat="1" applyFont="1" applyFill="1" applyBorder="1" applyAlignment="1">
      <x:alignment horizontal="center" vertical="center" wrapText="1"/>
    </x:xf>
    <x:xf numFmtId="0" fontId="0" fillId="4" borderId="55" xfId="0" applyNumberFormat="1" applyFont="1" applyFill="1" applyBorder="1" applyAlignment="1">
      <x:alignment horizontal="center" vertical="center" wrapText="1"/>
    </x:xf>
    <x:xf numFmtId="0" fontId="0" fillId="5" borderId="55" xfId="0" applyNumberFormat="1" applyFont="1" applyFill="1" applyBorder="1" applyAlignment="1">
      <x:alignment horizontal="center" vertical="center" wrapText="1"/>
    </x:xf>
    <x:xf numFmtId="0" fontId="0" fillId="6" borderId="55" xfId="0" applyNumberFormat="1" applyFont="1" applyFill="1" applyBorder="1" applyAlignment="1">
      <x:alignment horizontal="center" vertical="center" wrapText="1"/>
    </x:xf>
    <x:xf numFmtId="0" fontId="3" fillId="6" borderId="30" xfId="0" applyNumberFormat="1" applyFont="1" applyFill="1" applyBorder="1" applyAlignment="1">
      <x:alignment horizontal="center" vertical="center" wrapText="1"/>
    </x:xf>
    <x:xf numFmtId="2" fontId="3" fillId="6" borderId="30" xfId="0" applyNumberFormat="1" applyFont="1" applyFill="1" applyBorder="1" applyAlignment="1">
      <x:alignment horizontal="center" vertical="center" wrapText="1"/>
    </x:xf>
    <x:xf numFmtId="0" fontId="3" fillId="6" borderId="29" xfId="0" applyNumberFormat="1" applyFont="1" applyFill="1" applyBorder="1" applyAlignment="1">
      <x:alignment horizontal="center" vertical="center" wrapText="1"/>
    </x:xf>
    <x:xf numFmtId="0" fontId="3" fillId="6" borderId="63" xfId="0" applyNumberFormat="1" applyFont="1" applyFill="1" applyBorder="1" applyAlignment="1">
      <x:alignment horizontal="center" vertical="center" wrapText="1"/>
    </x:xf>
    <x:xf numFmtId="0" fontId="3" fillId="6" borderId="53" xfId="0" applyNumberFormat="1" applyFont="1" applyFill="1" applyBorder="1" applyAlignment="1">
      <x:alignment horizontal="center" vertical="center" wrapText="1"/>
    </x:xf>
    <x:xf numFmtId="2" fontId="3" fillId="6" borderId="53" xfId="0" applyNumberFormat="1" applyFont="1" applyFill="1" applyBorder="1" applyAlignment="1">
      <x:alignment horizontal="center" vertical="center" wrapText="1"/>
    </x:xf>
    <x:xf numFmtId="0" fontId="3" fillId="6" borderId="56" xfId="0" applyNumberFormat="1" applyFont="1" applyFill="1" applyBorder="1" applyAlignment="1">
      <x:alignment horizontal="center" vertical="center" wrapText="1"/>
    </x:xf>
    <x:xf numFmtId="2" fontId="3" fillId="6" borderId="29" xfId="0" applyNumberFormat="1" applyFont="1" applyFill="1" applyBorder="1" applyAlignment="1">
      <x:alignment horizontal="center" vertical="center" wrapText="1"/>
    </x:xf>
    <x:xf numFmtId="0" fontId="0" fillId="4" borderId="29" xfId="0" applyNumberFormat="1" applyFont="1" applyFill="1" applyBorder="1" applyAlignment="1">
      <x:alignment horizontal="left" vertical="top" wrapText="1"/>
    </x:xf>
    <x:xf numFmtId="0" fontId="0" fillId="4" borderId="53" xfId="0" applyNumberFormat="1" applyFont="1" applyFill="1" applyBorder="1" applyAlignment="1">
      <x:alignment vertical="top" wrapText="1"/>
    </x:xf>
    <x:xf numFmtId="0" fontId="0" fillId="4" borderId="53" xfId="0" applyNumberFormat="1" applyFont="1" applyFill="1" applyBorder="1" applyAlignment="1">
      <x:alignment horizontal="left" vertical="top" wrapText="1"/>
    </x:xf>
    <x:xf numFmtId="0" fontId="0" fillId="5" borderId="63" xfId="0" applyNumberFormat="1" applyFont="1" applyFill="1" applyBorder="1" applyAlignment="1">
      <x:alignment vertical="top" wrapText="1"/>
    </x:xf>
    <x:xf numFmtId="0" fontId="3" fillId="6" borderId="29" xfId="0" applyNumberFormat="1" applyFont="1" applyFill="1" applyBorder="1" applyAlignment="1">
      <x:alignment vertical="top" wrapText="1"/>
    </x:xf>
    <x:xf numFmtId="2" fontId="3" fillId="6" borderId="29" xfId="0" applyNumberFormat="1" applyFont="1" applyFill="1" applyBorder="1" applyAlignment="1">
      <x:alignment vertical="top" wrapText="1"/>
    </x:xf>
    <x:xf numFmtId="164" fontId="0" fillId="5" borderId="29" xfId="0" applyNumberFormat="1" applyFont="1" applyFill="1" applyBorder="1" applyAlignment="1">
      <x:alignment horizontal="center" vertical="top" wrapText="1"/>
    </x:xf>
    <x:xf numFmtId="164" fontId="0" fillId="5" borderId="53" xfId="0" applyNumberFormat="1" applyFont="1" applyFill="1" applyBorder="1" applyAlignment="1">
      <x:alignment horizontal="left" vertical="top" wrapText="1"/>
    </x:xf>
    <x:xf numFmtId="2" fontId="3" fillId="6" borderId="55" xfId="0" applyNumberFormat="1" applyFont="1" applyFill="1" applyBorder="1" applyAlignment="1">
      <x:alignment vertical="top" wrapText="1"/>
    </x:xf>
    <x:xf numFmtId="164" fontId="0" fillId="5" borderId="55" xfId="0" applyNumberFormat="1" applyFont="1" applyFill="1" applyBorder="1" applyAlignment="1">
      <x:alignment vertical="top" wrapText="1"/>
    </x:xf>
    <x:xf numFmtId="0" fontId="0" fillId="5" borderId="53" xfId="0" applyNumberFormat="1" applyFont="1" applyFill="1" applyBorder="1" applyAlignment="1">
      <x:alignment horizontal="center" vertical="top" wrapText="1"/>
    </x:xf>
    <x:xf numFmtId="164" fontId="0" fillId="5" borderId="53" xfId="0" applyNumberFormat="1" applyFont="1" applyFill="1" applyBorder="1" applyAlignment="1">
      <x:alignment horizontal="center" vertical="top" wrapText="1"/>
    </x:xf>
    <x:xf numFmtId="164" fontId="0" fillId="5" borderId="56" xfId="0" applyNumberFormat="1" applyFont="1" applyFill="1" applyBorder="1" applyAlignment="1">
      <x:alignment horizontal="center"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9" fillId="4" borderId="29" xfId="0" applyNumberFormat="1" applyFont="1" applyFill="1" applyBorder="1" applyAlignment="1">
      <x:alignment horizontal="center" vertical="center" wrapText="1"/>
    </x:xf>
    <x:xf numFmtId="0" fontId="9" fillId="5" borderId="29" xfId="0" applyNumberFormat="1" applyFont="1" applyFill="1" applyBorder="1" applyAlignment="1">
      <x:alignment horizontal="center" vertical="center" wrapText="1"/>
    </x:xf>
    <x:xf numFmtId="0" fontId="9" fillId="6" borderId="29" xfId="0" applyNumberFormat="1" applyFont="1" applyFill="1" applyBorder="1" applyAlignment="1">
      <x:alignment horizontal="center" vertical="center" wrapText="1"/>
    </x:xf>
    <x:xf numFmtId="0" fontId="9" fillId="4" borderId="55" xfId="0" applyNumberFormat="1" applyFont="1" applyFill="1" applyBorder="1" applyAlignment="1">
      <x:alignment horizontal="center" vertical="center" wrapText="1"/>
    </x:xf>
    <x:xf numFmtId="0" fontId="9" fillId="5" borderId="55" xfId="0" applyNumberFormat="1" applyFont="1" applyFill="1" applyBorder="1" applyAlignment="1">
      <x:alignment horizontal="center" vertical="center" wrapText="1"/>
    </x:xf>
    <x:xf numFmtId="0" fontId="9" fillId="6" borderId="55" xfId="0" applyNumberFormat="1" applyFont="1" applyFill="1" applyBorder="1" applyAlignment="1">
      <x:alignment horizontal="center" vertical="center" wrapText="1"/>
    </x:xf>
    <x:xf numFmtId="0" fontId="3" fillId="5" borderId="63" xfId="0" applyNumberFormat="1" applyFont="1" applyFill="1" applyBorder="1" applyAlignment="1">
      <x:alignment vertical="top" wrapText="1"/>
    </x:xf>
    <x:xf numFmtId="0" fontId="3" fillId="5" borderId="63" xfId="0" applyNumberFormat="1" applyFont="1" applyFill="1" applyBorder="1" applyAlignment="1">
      <x:alignment horizontal="center" vertical="top" wrapText="1"/>
    </x:xf>
    <x:xf numFmtId="0" fontId="3" fillId="5" borderId="63" xfId="0" applyNumberFormat="1" applyFont="1" applyFill="1" applyBorder="1" applyAlignment="1">
      <x:alignment horizontal="center" vertical="center" wrapText="1"/>
    </x:xf>
    <x:xf numFmtId="0" fontId="0" fillId="5" borderId="53" xfId="0" applyNumberFormat="1" applyFont="1" applyFill="1" applyBorder="1" applyAlignment="1">
      <x:alignment vertical="center" wrapText="1"/>
    </x:xf>
    <x:xf numFmtId="0" fontId="0" fillId="5" borderId="56" xfId="0" applyNumberFormat="1" applyFont="1" applyFill="1" applyBorder="1" applyAlignment="1">
      <x:alignment vertical="center" wrapText="1"/>
    </x:xf>
    <x:xf numFmtId="0" fontId="6" fillId="11" borderId="21" xfId="0" applyNumberFormat="1" applyFont="1" applyFill="1" applyBorder="1" applyAlignment="1">
      <x:alignment wrapText="1"/>
    </x:xf>
    <x:xf numFmtId="0" fontId="6" fillId="11" borderId="22" xfId="0" applyNumberFormat="1" applyFont="1" applyFill="1" applyBorder="1" applyAlignment="1">
      <x:alignment wrapText="1"/>
    </x:xf>
    <x:xf numFmtId="0" fontId="6" fillId="11" borderId="23" xfId="0" applyNumberFormat="1" applyFont="1" applyFill="1" applyBorder="1" applyAlignment="1">
      <x:alignment wrapText="1"/>
    </x:xf>
    <x:xf numFmtId="0" fontId="7" fillId="6" borderId="2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25" xfId="0" applyNumberFormat="1" applyFont="1" applyFill="1" applyBorder="1" applyAlignment="1">
      <x:alignment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2d613ac13b4df6" /><Relationship Type="http://schemas.openxmlformats.org/officeDocument/2006/relationships/theme" Target="/xl/theme/theme1.xml" Id="R006b377c74b940d1" /><Relationship Type="http://schemas.openxmlformats.org/officeDocument/2006/relationships/sharedStrings" Target="/xl/sharedStrings.xml" Id="Rc50d4c1c05584e55" /><Relationship Type="http://schemas.openxmlformats.org/officeDocument/2006/relationships/worksheet" Target="/xl/worksheets/sheet1.xml" Id="R71bff969c805436f" /><Relationship Type="http://schemas.openxmlformats.org/officeDocument/2006/relationships/worksheet" Target="/xl/worksheets/sheet2.xml" Id="R7fcc799fc72b41ab" /><Relationship Type="http://schemas.openxmlformats.org/officeDocument/2006/relationships/worksheet" Target="/xl/worksheets/sheet3.xml" Id="R6d66591f32cf43b4" /><Relationship Type="http://schemas.openxmlformats.org/officeDocument/2006/relationships/worksheet" Target="/xl/worksheets/sheet4.xml" Id="Re67a43fa3155410b" /><Relationship Type="http://schemas.openxmlformats.org/officeDocument/2006/relationships/worksheet" Target="/xl/worksheets/sheet5.xml" Id="Rd08608d8c2324d0d" /><Relationship Type="http://schemas.openxmlformats.org/officeDocument/2006/relationships/worksheet" Target="/xl/worksheets/sheet6.xml" Id="R6353ab4c1e1c4cde" /><Relationship Type="http://schemas.openxmlformats.org/officeDocument/2006/relationships/worksheet" Target="/xl/worksheets/sheet7.xml" Id="Rd403133d0404424c" /><Relationship Type="http://schemas.openxmlformats.org/officeDocument/2006/relationships/worksheet" Target="/xl/worksheets/sheet8.xml" Id="R2ca4e95958354a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24" customHeight="1">
      <x:c r="A3" s="3" t="s">
        <x:v>2</x:v>
      </x:c>
      <x:c r="B3" s="547" t="str">
        <x:v>KUNING = input/reviewer</x:v>
      </x:c>
      <x:c r="C3" s="547" t="s">
        <x:v>3</x:v>
      </x:c>
      <x:c r="D3" s="548" t="str">
        <x:v>BIRU = data/hasil otomatis</x:v>
      </x:c>
      <x:c r="E3" s="548" t="str">
        <x:v>ABU = belum dapat dinilai</x:v>
      </x:c>
      <x:c r="F3" s="549" t="str">
        <x:v>HIJAU = dapat dinilai</x:v>
      </x:c>
      <x:c r="G3" s="549"/>
      <x:c r="H3" s="550" t="str">
        <x:v>ABU = belum dapat dinilai</x:v>
      </x:c>
      <x:c r="I3" s="550"/>
    </x:row>
    <x:row r="5" ht="15">
      <x:c r="A5" s="6" t="s">
        <x:v>4</x:v>
      </x:c>
      <x:c r="B5" s="6"/>
      <x:c r="C5" s="6"/>
      <x:c r="D5" s="6"/>
      <x:c r="E5" s="6"/>
      <x:c r="F5" s="555"/>
      <x:c r="G5" s="555"/>
      <x:c r="H5" s="555"/>
      <x:c r="I5" s="555"/>
      <x:c r="J5" s="555"/>
      <x:c r="K5" s="555"/>
    </x:row>
    <x:row r="6" ht="99.75" customHeight="1">
      <x:c r="A6" s="64" t="s">
        <x:v>5</x:v>
      </x:c>
      <x:c r="B6" s="245" t="str">
        <x:v>Badan Perencanaan Pembangunan, Riset, dan Inovasi Daerah Kabupaten Bintan</x:v>
      </x:c>
      <x:c r="C6" s="106"/>
      <x:c r="D6" s="65" t="s">
        <x:v>6</x:v>
      </x:c>
      <x:c r="E6" s="247" t="str">
        <x:v>PKS W.32-HH.04.02-29 / 2/000.4.7.2/VI/2026 — 30 Juni 2026</x:v>
      </x:c>
      <x:c r="F6" s="556"/>
      <x:c r="G6" s="556"/>
      <x:c r="H6" s="556"/>
      <x:c r="I6" s="556"/>
      <x:c r="J6" s="556"/>
      <x:c r="K6" s="556"/>
    </x:row>
    <x:row r="7" ht="117" customHeight="1">
      <x:c r="A7" s="66" t="s">
        <x:v>7</x:v>
      </x:c>
      <x:c r="B7" s="245" t="str">
        <x:v>Pelindungan dan Pemanfaatan KI: sosialisasi/bimtek KI, peningkatan kemampuan SDM bidang KI, fasilitasi pendaftaran KI, pembentukan Sentra KI, dan kegiatan lain yang disepakati.</x:v>
      </x:c>
      <x:c r="C7" s="107"/>
      <x:c r="D7" s="67" t="s">
        <x:v>8</x:v>
      </x:c>
      <x:c r="E7" s="247" t="str">
        <x:v>Update pasca-baseline s.d. 27 September 2026</x:v>
      </x:c>
      <x:c r="F7" s="556"/>
      <x:c r="G7" s="556"/>
      <x:c r="H7" s="556"/>
      <x:c r="I7" s="556"/>
      <x:c r="J7" s="556"/>
      <x:c r="K7" s="556"/>
    </x:row>
    <x:row r="8" ht="99.75" customHeight="1">
      <x:c r="A8" s="66" t="s">
        <x:v>9</x:v>
      </x:c>
      <x:c r="B8" s="249" t="str">
        <x:v>Pokja Data / Reviewer</x:v>
      </x:c>
      <x:c r="C8" s="107"/>
      <x:c r="D8" s="67" t="s">
        <x:v>10</x:v>
      </x:c>
      <x:c r="E8" s="251" t="str">
        <x:v>27 September 2026</x:v>
      </x:c>
      <x:c r="F8" s="556"/>
      <x:c r="G8" s="556"/>
      <x:c r="H8" s="556"/>
      <x:c r="I8" s="556"/>
      <x:c r="J8" s="556"/>
      <x:c r="K8" s="556"/>
    </x:row>
    <x:row r="9" ht="120.75" customHeight="1">
      <x:c r="A9" s="68" t="s">
        <x:v>11</x:v>
      </x:c>
      <x:c r="B9" s="245" t="str">
        <x:v>Mitra: Diana Martin (utama) dan Susila Candra (cadangan). Baseline juga mencatat indikasi PIC internal Bidang KI atas nama Booby Briando, namun dasar penetapan formal belum tersedia.</x:v>
      </x:c>
      <x:c r="C9" s="108"/>
      <x:c r="D9" s="69" t="s">
        <x:v>12</x:v>
      </x:c>
      <x:c r="E9" s="247" t="str">
        <x:v>30 Juni 2026 s.d. 29 Juni 2029 — usia perjanjian 89 hari (&lt;6 bulan)</x:v>
      </x:c>
      <x:c r="F9" s="556"/>
      <x:c r="G9" s="556"/>
      <x:c r="H9" s="556"/>
      <x:c r="I9" s="556"/>
      <x:c r="J9" s="556"/>
      <x:c r="K9" s="556"/>
    </x:row>
    <x:row r="11" ht="15">
      <x:c r="A11" s="6" t="s">
        <x:v>13</x:v>
      </x:c>
      <x:c r="B11" s="6"/>
      <x:c r="C11" s="6"/>
      <x:c r="D11" s="6"/>
      <x:c r="E11" s="6"/>
      <x:c r="F11" s="6"/>
      <x:c r="G11" s="6"/>
      <x:c r="H11" s="6"/>
      <x:c r="I11" s="6"/>
      <x:c r="J11" s="6"/>
      <x:c r="K11" s="6"/>
    </x:row>
    <x:row r="12" ht="15">
      <x:c r="A12" s="267" t="s">
        <x:v>14</x:v>
      </x:c>
      <x:c r="B12" s="268" t="s">
        <x:v>15</x:v>
      </x:c>
      <x:c r="C12" s="268" t="s">
        <x:v>16</x:v>
      </x:c>
      <x:c r="D12" s="268" t="s">
        <x:v>17</x:v>
      </x:c>
      <x:c r="E12" s="268" t="s">
        <x:v>18</x:v>
      </x:c>
      <x:c r="F12" s="268" t="s">
        <x:v>19</x:v>
      </x:c>
      <x:c r="G12" s="268" t="s">
        <x:v>20</x:v>
      </x:c>
      <x:c r="H12" s="268" t="s">
        <x:v>21</x:v>
      </x:c>
      <x:c r="I12" s="268" t="s">
        <x:v>22</x:v>
      </x:c>
      <x:c r="J12" s="268" t="s">
        <x:v>23</x:v>
      </x:c>
      <x:c r="K12" s="269" t="s">
        <x:v>24</x:v>
      </x:c>
    </x:row>
    <x:row r="13" ht="81.94999694824219" customHeight="1">
      <x:c r="A13" s="270" t="s">
        <x:v>25</x:v>
      </x:c>
      <x:c r="B13" s="271">
        <x:v>10</x:v>
      </x:c>
      <x:c r="C13" s="272" t="s">
        <x:v>26</x:v>
      </x:c>
      <x:c r="D13" s="253" t="str">
        <x:v>Unit pengampu, PIC internal/mitra, dan rencana tindak lanjut belum lengkap pada final baseline.</x:v>
      </x:c>
      <x:c r="E13" s="255" t="str">
        <x:v>PIC mitra utama dan cadangan sudah jelas dan hadir dalam forum penguatan. Terdapat 3 usulan tindak lanjut, termasuk sosialisasi HAKI dan fasilitasi pendaftaran KI. Indikasi PIC internal ada pada baseline, tetapi dasar formal belum tersedia.</x:v>
      </x:c>
      <x:c r="F13" s="559" t="str">
        <x:v>DAPAT DINILAI</x:v>
      </x:c>
      <x:c r="G13" s="560" t="str">
        <x:v>baperida.xlsx — IDENTITAS &amp; PIC dan USULAN TINDAK LANJUT; final baseline P04.</x:v>
      </x:c>
      <x:c r="H13" s="561" t="n">
        <x:v>2</x:v>
      </x:c>
      <x:c r="I13" s="562" t="n">
        <x:f t="shared" ref="I13:I19" si="0">IF(F13="DAPAT DINILAI",IF(ISNUMBER(H13),H13/4*B13,""),"")</x:f>
        <x:v>5</x:v>
      </x:c>
      <x:c r="J13" s="257" t="str">
        <x:v>Penanggung jawab mitra dan sebagian rencana tindak lanjut sudah jelas, tetapi pembagian peran dan mekanisme koordinasi internal belum konsisten. Rubrik I1 skor 2.</x:v>
      </x:c>
      <x:c r="K13" s="273" t="str">
        <x:v>Konfirmasi PIC internal secara formal, tetapkan owner per ruang lingkup, dan lengkapi target waktu usulan 2–3.</x:v>
      </x:c>
    </x:row>
    <x:row r="14" ht="81.94999694824219" customHeight="1">
      <x:c r="A14" s="270" t="s">
        <x:v>27</x:v>
      </x:c>
      <x:c r="B14" s="271">
        <x:v>15</x:v>
      </x:c>
      <x:c r="C14" s="272" t="s">
        <x:v>28</x:v>
      </x:c>
      <x:c r="D14" s="253" t="str">
        <x:v>Pelaksanaan dan hasil: BELUM TERSEDIA pada final baseline.</x:v>
      </x:c>
      <x:c r="E14" s="255" t="str">
        <x:v>Terdapat 2 kegiatan pasca-baseline: Rapat Koordinasi Kelitbangan Kabupaten Bintan 2026 dan penyediaan data HAKI terdaftar untuk kebutuhan IGA 2026. Keterkaitan keduanya dengan ruang lingkup PKS tersedia secara umum, namun implementasi inti KI masih sangat awal.</x:v>
      </x:c>
      <x:c r="F14" s="559" t="str">
        <x:v>DAPAT DINILAI</x:v>
      </x:c>
      <x:c r="G14" s="560" t="str">
        <x:v>baperida.xlsx — 2 kegiatan berstatus Sudah Dilaksanakan, masing-masing memiliki tautan bukti.</x:v>
      </x:c>
      <x:c r="H14" s="561" t="n">
        <x:v>1</x:v>
      </x:c>
      <x:c r="I14" s="562" t="n">
        <x:f t="shared" si="0">IF(F14="DAPAT DINILAI",IF(ISNUMBER(H14),H14/4*B14,""),"")</x:f>
        <x:v>3.75</x:v>
      </x:c>
      <x:c r="J14" s="257" t="str">
        <x:v>Tindak lanjut sudah mulai terjadi tetapi masih sangat terbatas dibanding lima ruang lingkup utama. Rubrik I2 skor 1.</x:v>
      </x:c>
      <x:c r="K14" s="273" t="str">
        <x:v>Prioritaskan sosialisasi KI, fasilitasi pendaftaran, dan pembentukan/penguatan Sentra KI.</x:v>
      </x:c>
    </x:row>
    <x:row r="15" ht="81.94999694824219" customHeight="1">
      <x:c r="A15" s="270" t="s">
        <x:v>29</x:v>
      </x:c>
      <x:c r="B15" s="271">
        <x:v>15</x:v>
      </x:c>
      <x:c r="C15" s="272" t="s">
        <x:v>30</x:v>
      </x:c>
      <x:c r="D15" s="253" t="str">
        <x:v>Pelaksanaan dan eviden implementasi: BELUM TERSEDIA pada final baseline.</x:v>
      </x:c>
      <x:c r="E15" s="255" t="str">
        <x:v>Output awal berupa koordinasi kelitbangan dan tersedianya data HAKI terdaftar. Output ini berguna sebagai fondasi, tetapi belum merupakan output utama yang lengkap dari ruang lingkup sosialisasi, kapasitas SDM, fasilitasi pendaftaran, dan Sentra KI.</x:v>
      </x:c>
      <x:c r="F15" s="559" t="str">
        <x:v>DAPAT DINILAI</x:v>
      </x:c>
      <x:c r="G15" s="560" t="str">
        <x:v>baperida.xlsx — hasil/manfaat 2 kegiatan dan tautan bukti.</x:v>
      </x:c>
      <x:c r="H15" s="561" t="n">
        <x:v>1</x:v>
      </x:c>
      <x:c r="I15" s="562" t="n">
        <x:f t="shared" si="0">IF(F15="DAPAT DINILAI",IF(ISNUMBER(H15),H15/4*B15,""),"")</x:f>
        <x:v>3.75</x:v>
      </x:c>
      <x:c r="J15" s="257" t="str">
        <x:v>Output masih sangat terbatas dibanding keluaran utama yang diharapkan. Rubrik I3 skor 1.</x:v>
      </x:c>
      <x:c r="K15" s="273" t="str">
        <x:v>Tetapkan output minimum untuk sosialisasi, pendaftaran KI, peningkatan kapasitas, dan Sentra KI.</x:v>
      </x:c>
    </x:row>
    <x:row r="16" ht="81.94999694824219" customHeight="1">
      <x:c r="A16" s="270" t="s">
        <x:v>31</x:v>
      </x:c>
      <x:c r="B16" s="271">
        <x:v>20</x:v>
      </x:c>
      <x:c r="C16" s="272" t="s">
        <x:v>32</x:v>
      </x:c>
      <x:c r="D16" s="253" t="str">
        <x:v>Final baseline belum memiliki data outcome/manfaat terukur.</x:v>
      </x:c>
      <x:c r="E16" s="255" t="str">
        <x:v>Manfaat awal disebutkan berupa peningkatan koordinasi/sinergi kelitbangan dan pemenuhan data untuk IGA. Namun usia PKS baru 89 hari, sehingga outcome KI belum cukup matang untuk dinilai.</x:v>
      </x:c>
      <x:c r="F16" s="563" t="str">
        <x:v>BELUM DAPAT DINILAI</x:v>
      </x:c>
      <x:c r="G16" s="560" t="str">
        <x:v>baperida.xlsx — hasil/manfaat awal dicatat sebagai indikasi, bukan dasar pemberian skor outcome.</x:v>
      </x:c>
      <x:c r="H16" s="563"/>
      <x:c r="I16" s="563" t="str">
        <x:f t="shared" si="0">IF(F16="DAPAT DINILAI",IF(ISNUMBER(H16),H16/4*B16,""),"")</x:f>
      </x:c>
      <x:c r="J16" s="257" t="str">
        <x:v>Outcome belum diberi skor karena periode implementasi belum memadai (&lt;6 bulan), bukan karena bukti tidak ada.</x:v>
      </x:c>
      <x:c r="K16" s="273" t="str">
        <x:v>Mulai kumpulkan indikator outcome: jumlah peserta, usulan/pendaftaran KI, layanan Sentra KI, dan pemanfaatan hasil.</x:v>
      </x:c>
    </x:row>
    <x:row r="17" ht="81.94999694824219" customHeight="1">
      <x:c r="A17" s="270" t="s">
        <x:v>33</x:v>
      </x:c>
      <x:c r="B17" s="271">
        <x:v>20</x:v>
      </x:c>
      <x:c r="C17" s="272" t="s">
        <x:v>34</x:v>
      </x:c>
      <x:c r="D17" s="253" t="str">
        <x:v>Final baseline belum memiliki data kontribusi/dampak.</x:v>
      </x:c>
      <x:c r="E17" s="255" t="str">
        <x:v>Arah kontribusi pada inovasi daerah dan pemanfaatan data KI mulai terlihat, tetapi hubungan dengan capaian kinerja/pelayanan KI belum cukup matang pada usia PKS 89 hari.</x:v>
      </x:c>
      <x:c r="F17" s="563" t="str">
        <x:v>BELUM DAPAT DINILAI</x:v>
      </x:c>
      <x:c r="G17" s="560" t="str">
        <x:v>baperida.xlsx — manfaat awal dan usulan tindak lanjut; belum ada outcome matang.</x:v>
      </x:c>
      <x:c r="H17" s="563"/>
      <x:c r="I17" s="563" t="str">
        <x:f t="shared" si="0">IF(F17="DAPAT DINILAI",IF(ISNUMBER(H17),H17/4*B17,""),"")</x:f>
      </x:c>
      <x:c r="J17" s="257" t="str">
        <x:v>Kontribusi/dampak belum dinilai karena masa implementasi masih awal.</x:v>
      </x:c>
      <x:c r="K17" s="273" t="str">
        <x:v>Nilai kontribusi setelah outcome pendaftaran, kapasitas SDM, atau Sentra KI mulai terbentuk.</x:v>
      </x:c>
    </x:row>
    <x:row r="18" ht="81.94999694824219" customHeight="1">
      <x:c r="A18" s="270" t="s">
        <x:v>35</x:v>
      </x:c>
      <x:c r="B18" s="271">
        <x:v>10</x:v>
      </x:c>
      <x:c r="C18" s="272" t="s">
        <x:v>36</x:v>
      </x:c>
      <x:c r="D18" s="253" t="str">
        <x:v>Arsip dan P2MA: TERVERIFIKASI; eviden implementasi: BELUM TERSEDIA.</x:v>
      </x:c>
      <x:c r="E18" s="255" t="str">
        <x:v>Evidence pasca-baseline tersedia untuk 2 kegiatan melalui tautan Google Drive, dan data PIC/identitas mitra terisi. Namun data internal per 5 ruang lingkup masih berstatus BELUM DIPEROLEH dan evidence belum terstruktur.</x:v>
      </x:c>
      <x:c r="F18" s="559" t="str">
        <x:v>DAPAT DINILAI</x:v>
      </x:c>
      <x:c r="G18" s="560" t="str">
        <x:v>baperida.xlsx; workbook P04 gabungan; final baseline P04.</x:v>
      </x:c>
      <x:c r="H18" s="561" t="n">
        <x:v>2</x:v>
      </x:c>
      <x:c r="I18" s="562" t="n">
        <x:f t="shared" si="0">IF(F18="DAPAT DINILAI",IF(ISNUMBER(H18),H18/4*B18,""),"")</x:f>
        <x:v>5</x:v>
      </x:c>
      <x:c r="J18" s="257" t="str">
        <x:v>Evidence utama awal tersedia tetapi kelengkapan dan keteraturan antar ruang lingkup belum konsisten. Rubrik I6 skor 2.</x:v>
      </x:c>
      <x:c r="K18" s="273" t="str">
        <x:v>Buat repository P04 dan indeks bukti per kegiatan/ruang lingkup; sinkronkan data internal dengan bukti mitra.</x:v>
      </x:c>
    </x:row>
    <x:row r="19" ht="81.94999694824219" customHeight="1">
      <x:c r="A19" s="274" t="s">
        <x:v>37</x:v>
      </x:c>
      <x:c r="B19" s="275">
        <x:v>10</x:v>
      </x:c>
      <x:c r="C19" s="276" t="s">
        <x:v>38</x:v>
      </x:c>
      <x:c r="D19" s="277" t="str">
        <x:v>Masa berlaku: TERVERIFIKASI; hambatan/gap operasional: BELUM TERSEDIA.</x:v>
      </x:c>
      <x:c r="E19" s="278" t="str">
        <x:v>Risiko utama pada masa awal adalah belum jelasnya PIC internal formal, tindak lanjut yang belum memiliki target lengkap, dan implementasi inti KI yang masih terbatas. Terdapat 3 usulan tindak lanjut sebagai dasar keberlanjutan.</x:v>
      </x:c>
      <x:c r="F19" s="564" t="str">
        <x:v>DAPAT DINILAI</x:v>
      </x:c>
      <x:c r="G19" s="565" t="str">
        <x:v>baperida.xlsx — PIC, 3 usulan tindak lanjut, 2 kegiatan; final baseline.</x:v>
      </x:c>
      <x:c r="H19" s="566" t="n">
        <x:v>2</x:v>
      </x:c>
      <x:c r="I19" s="567" t="n">
        <x:f t="shared" si="0">IF(F19="DAPAT DINILAI",IF(ISNUMBER(H19),H19/4*B19,""),"")</x:f>
        <x:v>5</x:v>
      </x:c>
      <x:c r="J19" s="280" t="str">
        <x:v>Risiko utama mulai dikenali dan terdapat arah tindak lanjut, tetapi mitigasi dan pengendalian belum matang. Rubrik I7 skor 2.</x:v>
      </x:c>
      <x:c r="K19" s="282" t="str">
        <x:v>Tetapkan target waktu, owner, dan review bulanan selama masa implementasi awal.</x:v>
      </x:c>
    </x:row>
    <x:row r="21" ht="39" customHeight="1">
      <x:c r="A21" s="6" t="s">
        <x:v>39</x:v>
      </x:c>
      <x:c r="B21" s="6"/>
      <x:c r="C21" s="6"/>
      <x:c r="D21" s="6"/>
      <x:c r="E21" s="6"/>
      <x:c r="F21" s="6"/>
      <x:c r="G21" s="6"/>
      <x:c r="H21" s="6"/>
      <x:c r="I21" s="6"/>
      <x:c r="J21" s="6"/>
      <x:c r="K21" s="6"/>
    </x:row>
    <x:row r="22" ht="28.5" customHeight="1">
      <x:c r="A22" s="343" t="s">
        <x:v>40</x:v>
      </x:c>
      <x:c r="B22" s="344" t="n">
        <x:f>COUNTIF($F$13:$F$19,"DAPAT DINILAI")</x:f>
        <x:v>5</x:v>
      </x:c>
      <x:c r="C22" s="99"/>
      <x:c r="E22" s="81"/>
      <x:c r="F22" s="81"/>
      <x:c r="H22" s="31" t="s">
        <x:v>41</x:v>
      </x:c>
      <x:c r="I22" s="31"/>
      <x:c r="J22" s="31"/>
      <x:c r="K22" s="31"/>
    </x:row>
    <x:row r="23" ht="33.95000076293945" customHeight="1">
      <x:c r="A23" s="345" t="s">
        <x:v>42</x:v>
      </x:c>
      <x:c r="B23" s="346" t="n">
        <x:f>COUNTIF($F$13:$F$19,"BELUM DAPAT DINILAI")</x:f>
        <x:v>2</x:v>
      </x:c>
      <x:c r="C23" s="99"/>
      <x:c r="H23" s="79" t="s">
        <x:v>43</x:v>
      </x:c>
      <x:c r="I23" s="97" t="s">
        <x:v>44</x:v>
      </x:c>
      <x:c r="J23" s="97"/>
      <x:c r="K23" s="78"/>
    </x:row>
    <x:row r="24" ht="33.95000076293945" customHeight="1">
      <x:c r="A24" s="345" t="s">
        <x:v>45</x:v>
      </x:c>
      <x:c r="B24" s="346" t="n">
        <x:f>COUNTIF($F$13:$F$19,"BUKTI BELUM MEMADAI")</x:f>
        <x:v>0</x:v>
      </x:c>
      <x:c r="C24" s="99"/>
      <x:c r="H24" s="79" t="s">
        <x:v>46</x:v>
      </x:c>
      <x:c r="I24" s="97" t="s">
        <x:v>47</x:v>
      </x:c>
      <x:c r="J24" s="97"/>
      <x:c r="K24" s="77"/>
    </x:row>
    <x:row r="25" ht="33.95000076293945" customHeight="1">
      <x:c r="A25" s="345" t="s">
        <x:v>48</x:v>
      </x:c>
      <x:c r="B25" s="347" t="n">
        <x:f>SUMIF($F$13:$F$19,"DAPAT DINILAI",$B$13:$B$19)</x:f>
        <x:v>60</x:v>
      </x:c>
      <x:c r="C25" s="103"/>
      <x:c r="H25" s="79" t="s">
        <x:v>49</x:v>
      </x:c>
      <x:c r="I25" s="97" t="s">
        <x:v>50</x:v>
      </x:c>
      <x:c r="J25" s="97"/>
      <x:c r="K25" s="27"/>
    </x:row>
    <x:row r="26" ht="33.95000076293945" customHeight="1">
      <x:c r="A26" s="345" t="s">
        <x:v>51</x:v>
      </x:c>
      <x:c r="B26" s="347" t="str">
        <x:f>IF(B22=7,SUM($I$13:$I$19),"")</x:f>
      </x:c>
      <x:c r="C26" s="105"/>
      <x:c r="H26" s="79" t="s">
        <x:v>52</x:v>
      </x:c>
      <x:c r="I26" s="97" t="s">
        <x:v>53</x:v>
      </x:c>
      <x:c r="J26" s="97"/>
      <x:c r="K26" s="20"/>
    </x:row>
    <x:row r="27" ht="33.95000076293945" customHeight="1">
      <x:c r="A27" s="345" t="s">
        <x:v>54</x:v>
      </x:c>
      <x:c r="B27" s="346" t="str">
        <x:f>IF(B24&gt;0,"BUKTI BELUM MEMADAI",IF(B22=7,"SIAP DIVALIDASI",IF(B23&gt;0,"MASA IMPLEMENTASI AWAL",IF(B22=0,"BELUM DINILAI","DALAM PENILAIAN"))))</x:f>
        <x:v>MASA IMPLEMENTASI AWAL</x:v>
      </x:c>
      <x:c r="C27" s="100"/>
      <x:c r="H27" s="79" t="s">
        <x:v>55</x:v>
      </x:c>
      <x:c r="I27" s="97" t="s">
        <x:v>56</x:v>
      </x:c>
      <x:c r="J27" s="97"/>
      <x:c r="K27" s="23"/>
    </x:row>
    <x:row r="28" ht="31.5" customHeight="1">
      <x:c r="A28" s="348" t="s">
        <x:v>57</x:v>
      </x:c>
      <x:c r="B28" s="349" t="str">
        <x:f>IF(B26="","",IF(B26&gt;=80,"KUAT",IF(B26&gt;=60,"CUKUP / PERLU PENGUATAN",IF(B26&gt;=40,"PERLU PERBAIKAN","KRITIS"))))</x:f>
      </x:c>
      <x:c r="C28" s="101"/>
    </x:row>
  </x:sheetData>
  <x:mergeCells>
    <x:mergeCell ref="B6:C6"/>
    <x:mergeCell ref="B7:C7"/>
    <x:mergeCell ref="B8:C8"/>
    <x:mergeCell ref="B9:C9"/>
    <x:mergeCell ref="B22:C22"/>
    <x:mergeCell ref="B27:C27"/>
    <x:mergeCell ref="B28:C28"/>
    <x:mergeCell ref="B23:C23"/>
    <x:mergeCell ref="B24:C24"/>
    <x:mergeCell ref="B25:C25"/>
    <x:mergeCell ref="B26:C26"/>
    <x:mergeCell ref="I23:J23"/>
    <x:mergeCell ref="I24:J24"/>
    <x:mergeCell ref="I25:J25"/>
    <x:mergeCell ref="I26:J26"/>
    <x:mergeCell ref="I27:J27"/>
    <x:mergeCell ref="B3:C3"/>
    <x:mergeCell ref="D3:E3"/>
    <x:mergeCell ref="F3:G3"/>
    <x:mergeCell ref="H3:I3"/>
  </x:mergeCells>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0.25" customWidth="1"/>
    <x:col min="2" max="2" width="16.875" customWidth="1"/>
    <x:col min="3" max="3" width="28.5" customWidth="1"/>
    <x:col min="4" max="4" width="26" customWidth="1"/>
    <x:col min="5" max="5" width="23.5" customWidth="1"/>
    <x:col min="6" max="6" width="14.125" customWidth="1"/>
    <x:col min="7" max="7" width="14.375" customWidth="1"/>
    <x:col min="8" max="8" width="3" customWidth="1"/>
    <x:col min="9" max="9" width="13.875" customWidth="1"/>
    <x:col min="10" max="10" width="23.375" customWidth="1"/>
    <x:col min="11" max="11" width="20" customWidth="1"/>
  </x:cols>
  <x:sheetData>
    <x:row r="1" ht="19.5">
      <x:c r="A1" s="1" t="s">
        <x:v>58</x:v>
      </x:c>
      <x:c r="B1" s="1"/>
      <x:c r="C1" s="1"/>
      <x:c r="D1" s="1"/>
      <x:c r="E1" s="1"/>
      <x:c r="F1" s="1"/>
      <x:c r="G1" s="1"/>
      <x:c r="H1" s="1"/>
      <x:c r="I1" s="1"/>
      <x:c r="J1" s="1"/>
      <x:c r="K1" s="1"/>
    </x:row>
    <x:row r="2" ht="76.5">
      <x:c r="A2" s="2" t="s">
        <x:v>59</x:v>
      </x:c>
      <x:c r="B2" s="2"/>
      <x:c r="C2" s="2"/>
      <x:c r="D2" s="2"/>
      <x:c r="E2" s="2"/>
      <x:c r="F2" s="2"/>
      <x:c r="G2" s="2"/>
      <x:c r="H2" s="2"/>
      <x:c r="I2" s="2"/>
      <x:c r="J2" s="2"/>
      <x:c r="K2" s="2"/>
    </x:row>
    <x:row r="3" ht="24" customHeight="1">
      <x:c r="A3" s="3" t="s">
        <x:v>2</x:v>
      </x:c>
      <x:c r="B3" s="533" t="str">
        <x:v>KUNING = input/keputusan</x:v>
      </x:c>
      <x:c r="C3" s="533" t="s">
        <x:v>3</x:v>
      </x:c>
      <x:c r="D3" s="537" t="str">
        <x:v>BIRU = hasil otomatis/ringkasan</x:v>
      </x:c>
      <x:c r="E3" s="537" t="str">
        <x:v>KUNING = perhatian</x:v>
      </x:c>
    </x:row>
    <x:row r="5" ht="15">
      <x:c r="A5" s="6" t="s">
        <x:v>60</x:v>
      </x:c>
      <x:c r="B5" s="6"/>
      <x:c r="C5" s="6"/>
      <x:c r="D5" s="6" t="s">
        <x:v>61</x:v>
      </x:c>
      <x:c r="E5" s="6"/>
      <x:c r="F5" s="6"/>
      <x:c r="G5" s="6"/>
      <x:c r="H5" s="6"/>
      <x:c r="I5" s="6"/>
      <x:c r="J5" s="6"/>
      <x:c r="K5" s="6"/>
    </x:row>
    <x:row r="6" s="128" customFormat="1" ht="42.75">
      <x:c r="A6" s="75" t="s">
        <x:v>54</x:v>
      </x:c>
      <x:c r="B6" s="339" t="str">
        <x:f>PENILAIAN!B27</x:f>
        <x:v>MASA IMPLEMENTASI AWAL</x:v>
      </x:c>
      <x:c r="D6" s="132" t="s">
        <x:v>62</x:v>
      </x:c>
      <x:c r="E6" s="299" t="str">
        <x:v>OUTPUT AWAL / IMPLEMENTASI BERJALAN</x:v>
      </x:c>
      <x:c r="F6" s="131"/>
      <x:c r="G6" s="131"/>
      <x:c r="H6" s="129"/>
      <x:c r="I6" s="129"/>
      <x:c r="J6" s="129"/>
      <x:c r="K6" s="129"/>
    </x:row>
    <x:row r="7" s="128" customFormat="1" ht="21.75" customHeight="1">
      <x:c r="A7" s="75" t="s">
        <x:v>63</x:v>
      </x:c>
      <x:c r="B7" s="359" t="str">
        <x:f>IF(PENILAIAN!B26="","",PENILAIAN!B26)</x:f>
      </x:c>
      <x:c r="D7" s="133" t="s">
        <x:v>64</x:v>
      </x:c>
      <x:c r="E7" s="299" t="str">
        <x:v>PKS baru berjalan 89 hari. PIC mitra, usulan tindak lanjut, dan dua kegiatan awal sudah tersedia, namun outcome dan kontribusi/dampak belum memasuki periode penilaian yang memadai.</x:v>
      </x:c>
      <x:c r="F7" s="131"/>
      <x:c r="G7" s="131"/>
    </x:row>
    <x:row r="8" s="128" customFormat="1" ht="21" customHeight="1">
      <x:c r="A8" s="75" t="s">
        <x:v>57</x:v>
      </x:c>
      <x:c r="B8" s="359" t="str">
        <x:f>IF(PENILAIAN!B28="","",PENILAIAN!B28)</x:f>
      </x:c>
      <x:c r="D8" s="134"/>
      <x:c r="E8" s="131"/>
      <x:c r="F8" s="131"/>
      <x:c r="G8" s="131"/>
    </x:row>
    <x:row r="9" s="128" customFormat="1" ht="15">
      <x:c r="A9" s="75" t="s">
        <x:v>65</x:v>
      </x:c>
      <x:c r="B9" s="359" t="n">
        <x:f>PENILAIAN!B22</x:f>
        <x:v>5</x:v>
      </x:c>
      <x:c r="D9" s="135"/>
      <x:c r="E9" s="131"/>
      <x:c r="F9" s="131"/>
      <x:c r="G9" s="131"/>
    </x:row>
    <x:row r="10" s="128" customFormat="1" ht="15">
      <x:c r="A10" s="75" t="s">
        <x:v>66</x:v>
      </x:c>
      <x:c r="B10" s="359" t="n">
        <x:f>PENILAIAN!B23</x:f>
        <x:v>2</x:v>
      </x:c>
    </x:row>
    <x:row r="11" s="128" customFormat="1" ht="15">
      <x:c r="A11" s="75" t="s">
        <x:v>67</x:v>
      </x:c>
      <x:c r="B11" s="359" t="n">
        <x:f>PENILAIAN!B24</x:f>
        <x:v>0</x:v>
      </x:c>
    </x:row>
    <x:row r="12" s="130" customFormat="1" ht="15">
      <x:c r="A12" s="75" t="s">
        <x:v>68</x:v>
      </x:c>
      <x:c r="B12" s="359" t="n">
        <x:f>PENILAIAN!B25</x:f>
        <x:v>60</x:v>
      </x:c>
    </x:row>
    <x:row r="14" ht="15">
      <x:c r="A14" s="6" t="s">
        <x:v>69</x:v>
      </x:c>
      <x:c r="B14" s="6"/>
      <x:c r="C14" s="6"/>
      <x:c r="D14" s="6"/>
      <x:c r="E14" s="6"/>
      <x:c r="F14" s="6"/>
      <x:c r="G14" s="6"/>
      <x:c r="H14" s="6"/>
      <x:c r="I14" s="6"/>
      <x:c r="J14" s="6"/>
      <x:c r="K14" s="6"/>
    </x:row>
    <x:row r="15" ht="15">
      <x:c r="A15" s="400" t="s">
        <x:v>70</x:v>
      </x:c>
      <x:c r="B15" s="401" t="s">
        <x:v>71</x:v>
      </x:c>
      <x:c r="C15" s="401" t="s">
        <x:v>72</x:v>
      </x:c>
      <x:c r="D15" s="401" t="s">
        <x:v>73</x:v>
      </x:c>
      <x:c r="E15" s="401" t="s">
        <x:v>74</x:v>
      </x:c>
      <x:c r="F15" s="401" t="s">
        <x:v>75</x:v>
      </x:c>
      <x:c r="G15" s="401" t="s">
        <x:v>76</x:v>
      </x:c>
      <x:c r="H15" s="402"/>
      <x:c r="I15" s="403" t="s">
        <x:v>77</x:v>
      </x:c>
      <x:c r="J15" s="404"/>
    </x:row>
    <x:row r="16" s="83" customFormat="1" ht="73.5" customHeight="1">
      <x:c r="A16" s="270" t="str">
        <x:v>Masa berlaku</x:v>
      </x:c>
      <x:c r="B16" s="297" t="str">
        <x:v>E0 - Normal</x:v>
      </x:c>
      <x:c r="C16" s="361" t="str">
        <x:v>PKS berlaku 30 Juni 2026 s.d. 29 Juni 2029.</x:v>
      </x:c>
      <x:c r="D16" s="361" t="str">
        <x:v>Pertahankan monitoring masa berlaku.</x:v>
      </x:c>
      <x:c r="E16" s="361" t="str">
        <x:v>Pengelola kerja sama</x:v>
      </x:c>
      <x:c r="F16" s="362" t="str">
        <x:v>Review berkala</x:v>
      </x:c>
      <x:c r="G16" s="361" t="str">
        <x:v>BERJALAN</x:v>
      </x:c>
      <x:c r="H16" s="405"/>
      <x:c r="I16" s="365" t="s">
        <x:v>78</x:v>
      </x:c>
      <x:c r="J16" s="375" t="str">
        <x:f>IF(COUNTIF($B$16:$B$19,"E3 - Kritis")&gt;0,"E3 - Kritis",IF(COUNTIF($B$16:$B$19,"E2 - Perlu Tindakan")&gt;0,"E2 - Perlu Tindakan",IF(COUNTIF($B$16:$B$19,"E1 - Perhatian")&gt;0,"E1 - Perhatian",IF(COUNTIF($B$16:$B$19,"E0 - Normal")&gt;0,"E0 - Normal","V0 - Data belum cukup"))))</x:f>
        <x:v>E1 - Perhatian</x:v>
      </x:c>
    </x:row>
    <x:row r="17" s="83" customFormat="1" ht="73.5" customHeight="1">
      <x:c r="A17" s="270" t="str">
        <x:v>Pelaksanaan / tenggat</x:v>
      </x:c>
      <x:c r="B17" s="299" t="str">
        <x:v>E1 - Perhatian</x:v>
      </x:c>
      <x:c r="C17" s="361" t="str">
        <x:v>Dua kegiatan awal tersedia, tetapi implementasi inti pada lima ruang lingkup masih terbatas.</x:v>
      </x:c>
      <x:c r="D17" s="361" t="str">
        <x:v>Jalankan sosialisasi KI, fasilitasi pendaftaran, dan tindak lanjut Sentra KI.</x:v>
      </x:c>
      <x:c r="E17" s="361" t="str">
        <x:v>PIC internal + PIC Bapperida</x:v>
      </x:c>
      <x:c r="F17" s="362" t="str">
        <x:v>Triwulan IV 2026</x:v>
      </x:c>
      <x:c r="G17" s="361" t="str">
        <x:v>DALAM TINDAK LANJUT</x:v>
      </x:c>
      <x:c r="H17" s="405"/>
      <x:c r="I17" s="366" t="s">
        <x:v>79</x:v>
      </x:c>
      <x:c r="J17" s="376" t="s">
        <x:v>80</x:v>
      </x:c>
    </x:row>
    <x:row r="18" s="83" customFormat="1" ht="73.5" customHeight="1">
      <x:c r="A18" s="270" t="str">
        <x:v>Data / evidence</x:v>
      </x:c>
      <x:c r="B18" s="299" t="str">
        <x:v>E1 - Perhatian</x:v>
      </x:c>
      <x:c r="C18" s="361" t="str">
        <x:v>Dua evidence kegiatan tersedia; data internal per ruang lingkup masih belum diperoleh.</x:v>
      </x:c>
      <x:c r="D18" s="361" t="str">
        <x:v>Konsolidasikan repository dan sinkronkan data internal/mitra.</x:v>
      </x:c>
      <x:c r="E18" s="361" t="str">
        <x:v>Pengelola + unit KI</x:v>
      </x:c>
      <x:c r="F18" s="362" t="str">
        <x:v>Oktober 2026</x:v>
      </x:c>
      <x:c r="G18" s="361" t="str">
        <x:v>DALAM TINDAK LANJUT</x:v>
      </x:c>
      <x:c r="H18" s="405"/>
      <x:c r="I18" s="366" t="s">
        <x:v>81</x:v>
      </x:c>
      <x:c r="J18" s="376" t="str">
        <x:v>Fokus masa implementasi awal: tegaskan tata kelola, realisasikan kegiatan inti KI, dan mulai membangun data outcome.</x:v>
      </x:c>
    </x:row>
    <x:row r="19" s="83" customFormat="1" ht="104.25" customHeight="1">
      <x:c r="A19" s="274" t="str">
        <x:v>Penanggung jawab / koordinasi</x:v>
      </x:c>
      <x:c r="B19" s="304" t="str">
        <x:v>E1 - Perhatian</x:v>
      </x:c>
      <x:c r="C19" s="377" t="str">
        <x:v>PIC mitra sudah jelas; PIC internal formal dan pembagian peran perlu ditegaskan.</x:v>
      </x:c>
      <x:c r="D19" s="377" t="str">
        <x:v>Konfirmasi PIC internal dan owner per ruang lingkup.</x:v>
      </x:c>
      <x:c r="E19" s="377" t="str">
        <x:v>Pengelola kerja sama</x:v>
      </x:c>
      <x:c r="F19" s="378" t="str">
        <x:v>Oktober 2026</x:v>
      </x:c>
      <x:c r="G19" s="377" t="str">
        <x:v>DALAM TINDAK LANJUT</x:v>
      </x:c>
      <x:c r="H19" s="406"/>
      <x:c r="I19" s="380"/>
      <x:c r="J19" s="381"/>
    </x:row>
    <x:row r="21" ht="15">
      <x:c r="A21" s="6" t="s">
        <x:v>82</x:v>
      </x:c>
      <x:c r="B21" s="6"/>
      <x:c r="C21" s="6"/>
      <x:c r="D21" s="6"/>
      <x:c r="E21" s="6"/>
      <x:c r="F21" s="6"/>
      <x:c r="G21" s="6"/>
      <x:c r="H21" s="6"/>
      <x:c r="I21" s="6"/>
      <x:c r="J21" s="6"/>
      <x:c r="K21" s="6"/>
    </x:row>
    <x:row r="22" ht="44" customHeight="1">
      <x:c r="A22" s="415" t="s">
        <x:v>83</x:v>
      </x:c>
      <x:c r="B22" s="718" t="str">
        <x:v>TIDAK</x:v>
      </x:c>
      <x:c r="D22" s="112" t="s">
        <x:v>84</x:v>
      </x:c>
      <x:c r="E22" s="111" t="s">
        <x:v>85</x:v>
      </x:c>
      <x:c r="F22" s="111"/>
      <x:c r="G22" s="17"/>
      <x:c r="H22" s="17"/>
      <x:c r="I22" s="17"/>
      <x:c r="J22" s="17"/>
      <x:c r="K22" s="18"/>
    </x:row>
    <x:row r="23" ht="50" customHeight="1">
      <x:c r="A23" s="416" t="s">
        <x:v>86</x:v>
      </x:c>
      <x:c r="B23" s="719" t="str">
        <x:v>Dapat diselesaikan pada level pengelola/PIC</x:v>
      </x:c>
      <x:c r="D23" s="113"/>
      <x:c r="E23" s="111"/>
      <x:c r="F23" s="111"/>
      <x:c r="G23" s="20"/>
      <x:c r="H23" s="20"/>
      <x:c r="I23" s="20"/>
      <x:c r="J23" s="20"/>
      <x:c r="K23" s="21"/>
    </x:row>
    <x:row r="24" ht="105" customHeight="1">
      <x:c r="A24" s="417" t="s">
        <x:v>87</x:v>
      </x:c>
      <x:c r="B24" s="720" t="str">
        <x:v>Belum ada isu material yang membutuhkan keputusan pimpinan; kebutuhan saat ini adalah aktivasi operasional dan penataan evidence.</x:v>
      </x:c>
      <x:c r="D24" s="22"/>
      <x:c r="E24" s="23"/>
      <x:c r="F24" s="23"/>
      <x:c r="G24" s="23"/>
      <x:c r="H24" s="23"/>
      <x:c r="I24" s="23"/>
      <x:c r="J24" s="23"/>
      <x:c r="K24" s="24"/>
    </x:row>
  </x:sheetData>
  <x:mergeCells>
    <x:mergeCell ref="E6:G6"/>
    <x:mergeCell ref="E7:G9"/>
    <x:mergeCell ref="D7:D9"/>
    <x:mergeCell ref="J18:J19"/>
    <x:mergeCell ref="I18:I19"/>
    <x:mergeCell ref="E22:F23"/>
    <x:mergeCell ref="D22:D23"/>
    <x:mergeCell ref="B3:C3"/>
    <x:mergeCell ref="D3:E3"/>
  </x:mergeCells>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15.5"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24" customHeight="1">
      <x:c r="A3" s="3" t="s">
        <x:v>2</x:v>
      </x:c>
      <x:c r="B3" s="533" t="str">
        <x:v>KUNING = input/validasi/keputusan</x:v>
      </x:c>
      <x:c r="C3" s="533" t="s">
        <x:v>3</x:v>
      </x:c>
      <x:c r="D3" s="537" t="str">
        <x:v>BIRU = ringkasan/hasil otomatis</x:v>
      </x:c>
      <x:c r="E3" s="537" t="str">
        <x:v>BIRU = ringkasan otomatis</x:v>
      </x:c>
    </x:row>
    <x:row r="5" ht="15">
      <x:c r="A5" s="511" t="s">
        <x:v>90</x:v>
      </x:c>
      <x:c r="B5" s="512"/>
      <x:c r="C5" s="512"/>
      <x:c r="D5" s="512" t="s">
        <x:v>91</x:v>
      </x:c>
      <x:c r="E5" s="513"/>
      <x:c r="F5" s="81"/>
      <x:c r="G5" s="81"/>
      <x:c r="H5" s="81"/>
      <x:c r="I5" s="81"/>
      <x:c r="J5" s="81"/>
      <x:c r="K5" s="81"/>
    </x:row>
    <x:row r="6" ht="28.5">
      <x:c r="A6" s="487" t="s">
        <x:v>54</x:v>
      </x:c>
      <x:c r="B6" s="423" t="str">
        <x:f>PENILAIAN!B27</x:f>
        <x:v>MASA IMPLEMENTASI AWAL</x:v>
      </x:c>
      <x:c r="C6" s="405"/>
      <x:c r="D6" s="488" t="s">
        <x:v>92</x:v>
      </x:c>
      <x:c r="E6" s="273" t="str">
        <x:v>DRAFT — MASA IMPLEMENTASI AWAL</x:v>
      </x:c>
    </x:row>
    <x:row r="7" ht="15">
      <x:c r="A7" s="487" t="s">
        <x:v>63</x:v>
      </x:c>
      <x:c r="B7" s="424" t="str">
        <x:f>IF(PENILAIAN!B26="","",PENILAIAN!B26)</x:f>
      </x:c>
      <x:c r="C7" s="405"/>
      <x:c r="D7" s="488" t="s">
        <x:v>93</x:v>
      </x:c>
      <x:c r="E7" s="273"/>
    </x:row>
    <x:row r="8" ht="15">
      <x:c r="A8" s="487" t="s">
        <x:v>57</x:v>
      </x:c>
      <x:c r="B8" s="424" t="str">
        <x:f>IF(PENILAIAN!B28="","",PENILAIAN!B28)</x:f>
      </x:c>
      <x:c r="C8" s="405"/>
      <x:c r="D8" s="488" t="s">
        <x:v>94</x:v>
      </x:c>
      <x:c r="E8" s="441"/>
    </x:row>
    <x:row r="9" ht="33" customHeight="1">
      <x:c r="A9" s="487" t="s">
        <x:v>62</x:v>
      </x:c>
      <x:c r="B9" s="424" t="str">
        <x:f>IF(KENDALI!E6="","",KENDALI!E6)</x:f>
        <x:v>OUTPUT AWAL / IMPLEMENTASI BERJALAN</x:v>
      </x:c>
      <x:c r="C9" s="405"/>
      <x:c r="D9" s="489" t="s">
        <x:v>95</x:v>
      </x:c>
      <x:c r="E9" s="443" t="str">
        <x:v>Penilaian menggunakan Final Baseline P04, data internal per ruang lingkup, dan baperida.xlsx sebagai evidence tambahan. PKS baru 89 hari, sehingga I4 Outcome dan I5 Kontribusi/Dampak belum dinilai.</x:v>
      </x:c>
    </x:row>
    <x:row r="10" ht="33" customHeight="1">
      <x:c r="A10" s="487" t="s">
        <x:v>78</x:v>
      </x:c>
      <x:c r="B10" s="424" t="str">
        <x:f>IF(KENDALI!J16="","",KENDALI!J16)</x:f>
        <x:v>E1 - Perhatian</x:v>
      </x:c>
      <x:c r="C10" s="405"/>
      <x:c r="D10" s="490"/>
      <x:c r="E10" s="445"/>
    </x:row>
    <x:row r="11" ht="15">
      <x:c r="A11" s="487" t="s">
        <x:v>96</x:v>
      </x:c>
      <x:c r="B11" s="424" t="str">
        <x:f>IF(KENDALI!B22="","",KENDALI!B22)</x:f>
        <x:v>TIDAK</x:v>
      </x:c>
      <x:c r="C11" s="405"/>
      <x:c r="D11" s="490"/>
      <x:c r="E11" s="445"/>
    </x:row>
    <x:row r="12" ht="15">
      <x:c r="A12" s="487" t="s">
        <x:v>66</x:v>
      </x:c>
      <x:c r="B12" s="424" t="n">
        <x:f>PENILAIAN!B23</x:f>
        <x:v>2</x:v>
      </x:c>
      <x:c r="C12" s="405"/>
      <x:c r="D12" s="490"/>
      <x:c r="E12" s="445"/>
    </x:row>
    <x:row r="13" ht="15">
      <x:c r="A13" s="491" t="s">
        <x:v>67</x:v>
      </x:c>
      <x:c r="B13" s="447" t="n">
        <x:f>PENILAIAN!B24</x:f>
        <x:v>0</x:v>
      </x:c>
      <x:c r="C13" s="406"/>
      <x:c r="D13" s="492"/>
      <x:c r="E13" s="381"/>
    </x:row>
    <x:row r="14">
      <x:c r="A14" s="405"/>
      <x:c r="B14" s="405"/>
      <x:c r="C14" s="405"/>
      <x:c r="D14" s="405"/>
      <x:c r="E14" s="405"/>
    </x:row>
    <x:row r="15" ht="15">
      <x:c r="A15" s="511" t="s">
        <x:v>97</x:v>
      </x:c>
      <x:c r="B15" s="512"/>
      <x:c r="C15" s="512"/>
      <x:c r="D15" s="512"/>
      <x:c r="E15" s="513"/>
      <x:c r="F15" s="81"/>
      <x:c r="G15" s="81"/>
      <x:c r="H15" s="81"/>
      <x:c r="I15" s="81"/>
      <x:c r="J15" s="81"/>
      <x:c r="K15" s="81"/>
    </x:row>
    <x:row r="16" ht="180" customHeight="1">
      <x:c r="A16" s="493" t="s">
        <x:v>98</x:v>
      </x:c>
      <x:c r="B16" s="255" t="str">
        <x:v>Dibanding baseline, kini telah tersedia PIC mitra, 3 usulan tindak lanjut, 2 kegiatan dengan bukti, dan output awal. Namun kerja sama masih dalam masa implementasi awal dan implementasi inti KI belum merata.</x:v>
      </x:c>
      <x:c r="C16" s="405"/>
      <x:c r="D16" s="462" t="s">
        <x:v>84</x:v>
      </x:c>
      <x:c r="E16" s="463" t="s">
        <x:v>99</x:v>
      </x:c>
      <x:c r="F16" s="25"/>
      <x:c r="G16" s="25"/>
      <x:c r="H16" s="25"/>
      <x:c r="I16" s="25"/>
      <x:c r="J16" s="25"/>
      <x:c r="K16" s="26"/>
    </x:row>
    <x:row r="17" ht="87.75" customHeight="1">
      <x:c r="A17" s="493" t="s">
        <x:v>100</x:v>
      </x:c>
      <x:c r="B17" s="257" t="str">
        <x:v>LANJUTKAN IMPLEMENTASI AWAL DAN BANGUN BUKTI HASIL</x:v>
      </x:c>
      <x:c r="C17" s="405"/>
      <x:c r="D17" s="405"/>
      <x:c r="E17" s="464"/>
      <x:c r="F17" s="27"/>
      <x:c r="G17" s="27"/>
      <x:c r="H17" s="27"/>
      <x:c r="I17" s="27"/>
      <x:c r="J17" s="27"/>
      <x:c r="K17" s="28"/>
    </x:row>
    <x:row r="18" ht="167.25" customHeight="1">
      <x:c r="A18" s="493" t="s">
        <x:v>86</x:v>
      </x:c>
      <x:c r="B18" s="257" t="str">
        <x:v>Fondasi pengelolaan dan kegiatan awal sudah terbentuk, tetapi outcome/kontribusi belum waktunya dinilai dan ruang lingkup utama masih perlu diaktifkan.</x:v>
      </x:c>
      <x:c r="C18" s="405"/>
      <x:c r="D18" s="405"/>
      <x:c r="E18" s="464"/>
      <x:c r="F18" s="29"/>
      <x:c r="G18" s="29"/>
      <x:c r="H18" s="29"/>
      <x:c r="I18" s="29"/>
      <x:c r="J18" s="29"/>
      <x:c r="K18" s="30"/>
    </x:row>
    <x:row r="19" ht="215.25" customHeight="1">
      <x:c r="A19" s="493" t="s">
        <x:v>101</x:v>
      </x:c>
      <x:c r="B19" s="257" t="str">
        <x:v>1) Konfirmasi PIC internal; 2) lengkapi target 3 usulan tindak lanjut; 3) laksanakan sosialisasi KI dan fasilitasi pendaftaran; 4) siapkan arah pembentukan/penguatan Sentra KI; 5) konsolidasikan evidence; 6) kumpulkan indikator outcome untuk review berikutnya.</x:v>
      </x:c>
      <x:c r="C19" s="405"/>
      <x:c r="D19" s="405"/>
      <x:c r="E19" s="464"/>
      <x:c r="F19" s="27"/>
      <x:c r="G19" s="27"/>
      <x:c r="H19" s="27"/>
      <x:c r="I19" s="27"/>
      <x:c r="J19" s="27"/>
      <x:c r="K19" s="28"/>
    </x:row>
    <x:row r="20" ht="81.75" customHeight="1">
      <x:c r="A20" s="493" t="s">
        <x:v>74</x:v>
      </x:c>
      <x:c r="B20" s="257" t="str">
        <x:v>Unit pengampu KI Kanwil bersama PIC Bapperida Kabupaten Bintan</x:v>
      </x:c>
      <x:c r="C20" s="405"/>
      <x:c r="D20" s="405"/>
      <x:c r="E20" s="464"/>
      <x:c r="F20" s="27"/>
      <x:c r="G20" s="27"/>
      <x:c r="H20" s="27"/>
      <x:c r="I20" s="27"/>
      <x:c r="J20" s="27"/>
      <x:c r="K20" s="28"/>
    </x:row>
    <x:row r="21" ht="69" customHeight="1">
      <x:c r="A21" s="514" t="s">
        <x:v>102</x:v>
      </x:c>
      <x:c r="B21" s="466" t="str">
        <x:v>Triwulan IV 2026; review outcome setelah periode implementasi memadai</x:v>
      </x:c>
      <x:c r="C21" s="406"/>
      <x:c r="D21" s="406"/>
      <x:c r="E21" s="467"/>
      <x:c r="F21" s="29"/>
      <x:c r="G21" s="29"/>
      <x:c r="H21" s="29"/>
      <x:c r="I21" s="29"/>
      <x:c r="J21" s="29"/>
      <x:c r="K21" s="30"/>
    </x:row>
    <x:row r="22">
      <x:c r="A22" s="405"/>
      <x:c r="B22" s="405"/>
      <x:c r="C22" s="405"/>
      <x:c r="D22" s="405"/>
      <x:c r="E22" s="405"/>
    </x:row>
    <x:row r="23" ht="15">
      <x:c r="A23" s="511" t="s">
        <x:v>103</x:v>
      </x:c>
      <x:c r="B23" s="513"/>
      <x:c r="C23" s="515"/>
      <x:c r="D23" s="515"/>
      <x:c r="E23" s="515"/>
      <x:c r="F23" s="81"/>
      <x:c r="G23" s="81"/>
      <x:c r="H23" s="81"/>
      <x:c r="I23" s="81"/>
      <x:c r="J23" s="81"/>
      <x:c r="K23" s="81"/>
    </x:row>
    <x:row r="24" ht="15">
      <x:c r="A24" s="516" t="s">
        <x:v>104</x:v>
      </x:c>
      <x:c r="B24" s="475" t="str">
        <x:v>BELUM DIPUTUSKAN</x:v>
      </x:c>
      <x:c r="C24" s="405"/>
      <x:c r="D24" s="405"/>
      <x:c r="E24" s="405"/>
      <x:c r="F24" s="25"/>
      <x:c r="G24" s="25"/>
      <x:c r="H24" s="25"/>
      <x:c r="I24" s="25"/>
      <x:c r="J24" s="25"/>
      <x:c r="K24" s="26"/>
    </x:row>
    <x:row r="25" ht="15">
      <x:c r="A25" s="516" t="s">
        <x:v>105</x:v>
      </x:c>
      <x:c r="B25" s="475" t="str">
        <x:v>-</x:v>
      </x:c>
      <x:c r="C25" s="405"/>
      <x:c r="D25" s="405"/>
      <x:c r="E25" s="405"/>
      <x:c r="F25" s="27"/>
      <x:c r="G25" s="27"/>
      <x:c r="H25" s="27"/>
      <x:c r="I25" s="27"/>
      <x:c r="J25" s="27"/>
      <x:c r="K25" s="28"/>
    </x:row>
    <x:row r="26" ht="15">
      <x:c r="A26" s="516" t="s">
        <x:v>106</x:v>
      </x:c>
      <x:c r="B26" s="476" t="str">
        <x:v>-</x:v>
      </x:c>
      <x:c r="C26" s="405"/>
      <x:c r="D26" s="405"/>
      <x:c r="E26" s="405"/>
      <x:c r="F26" s="27"/>
      <x:c r="G26" s="27"/>
      <x:c r="H26" s="27"/>
      <x:c r="I26" s="27"/>
      <x:c r="J26" s="27"/>
      <x:c r="K26" s="28"/>
    </x:row>
    <x:row r="27" ht="15">
      <x:c r="A27" s="516" t="s">
        <x:v>107</x:v>
      </x:c>
      <x:c r="B27" s="475" t="str">
        <x:v>-</x:v>
      </x:c>
      <x:c r="C27" s="405"/>
      <x:c r="D27" s="405"/>
      <x:c r="E27" s="405"/>
      <x:c r="F27" s="27"/>
      <x:c r="G27" s="27"/>
      <x:c r="H27" s="27"/>
      <x:c r="I27" s="27"/>
      <x:c r="J27" s="27"/>
      <x:c r="K27" s="28"/>
    </x:row>
    <x:row r="28" ht="15">
      <x:c r="A28" s="517" t="s">
        <x:v>108</x:v>
      </x:c>
      <x:c r="B28" s="478" t="str">
        <x:v>-</x:v>
      </x:c>
      <x:c r="C28" s="405"/>
      <x:c r="D28" s="405"/>
      <x:c r="E28" s="405"/>
      <x:c r="F28" s="29"/>
      <x:c r="G28" s="29"/>
      <x:c r="H28" s="29"/>
      <x:c r="I28" s="29"/>
      <x:c r="J28" s="29"/>
      <x:c r="K28" s="30"/>
    </x:row>
    <x:row r="29">
      <x:c r="A29" s="88"/>
      <x:c r="B29" s="88"/>
    </x:row>
  </x:sheetData>
  <x:mergeCells>
    <x:mergeCell ref="E9:E13"/>
    <x:mergeCell ref="D9:D13"/>
    <x:mergeCell ref="B3:C3"/>
    <x:mergeCell ref="D3:E3"/>
  </x:mergeCells>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21.375" style="127" customWidth="1"/>
    <x:col min="2" max="2" width="7.375" style="127" customWidth="1"/>
    <x:col min="3" max="3" width="22.5" style="127" customWidth="1"/>
    <x:col min="4" max="4" width="18.75" style="127" customWidth="1"/>
    <x:col min="5" max="5" width="18.125" style="127" customWidth="1"/>
    <x:col min="6" max="6" width="22.25" style="127" customWidth="1"/>
    <x:col min="7" max="7" width="21.875" style="127" customWidth="1"/>
    <x:col min="8" max="8" width="19.875" style="127" customWidth="1"/>
    <x:col min="9" max="9" width="18" style="127" customWidth="1"/>
  </x:cols>
  <x:sheetData>
    <x:row r="1" ht="19.5">
      <x:c r="A1" s="116" t="s">
        <x:v>109</x:v>
      </x:c>
      <x:c r="B1" s="116"/>
      <x:c r="C1" s="116"/>
      <x:c r="D1" s="116"/>
      <x:c r="E1" s="116"/>
      <x:c r="F1" s="116"/>
      <x:c r="G1" s="116"/>
      <x:c r="H1" s="116"/>
      <x:c r="I1" s="116"/>
    </x:row>
    <x:row r="2" ht="51" customHeight="1">
      <x:c r="A2" s="115" t="s">
        <x:v>110</x:v>
      </x:c>
      <x:c r="B2" s="115"/>
      <x:c r="C2" s="115"/>
      <x:c r="D2" s="115"/>
      <x:c r="E2" s="115"/>
      <x:c r="F2" s="114"/>
      <x:c r="G2" s="114"/>
      <x:c r="H2" s="114"/>
      <x:c r="I2" s="114"/>
    </x:row>
    <x:row r="4" ht="15">
      <x:c r="A4" s="15" t="s">
        <x:v>14</x:v>
      </x:c>
      <x:c r="B4" s="15" t="s">
        <x:v>15</x:v>
      </x:c>
      <x:c r="C4" s="15" t="s">
        <x:v>111</x:v>
      </x:c>
      <x:c r="D4" s="15" t="s">
        <x:v>112</x:v>
      </x:c>
      <x:c r="E4" s="15" t="s">
        <x:v>113</x:v>
      </x:c>
      <x:c r="F4" s="15" t="s">
        <x:v>114</x:v>
      </x:c>
      <x:c r="G4" s="15" t="s">
        <x:v>115</x:v>
      </x:c>
      <x:c r="H4" s="15" t="s">
        <x:v>116</x:v>
      </x:c>
      <x:c r="I4" s="15" t="s">
        <x:v>81</x:v>
      </x:c>
    </x:row>
    <x:row r="5" ht="110.0999984741211" customHeight="1">
      <x:c r="A5" s="117" t="s">
        <x:v>25</x:v>
      </x:c>
      <x:c r="B5" s="118">
        <x:v>10</x:v>
      </x:c>
      <x:c r="C5" s="78" t="s">
        <x:v>117</x:v>
      </x:c>
      <x:c r="D5" s="78" t="s">
        <x:v>118</x:v>
      </x:c>
      <x:c r="E5" s="78" t="s">
        <x:v>119</x:v>
      </x:c>
      <x:c r="F5" s="78" t="s">
        <x:v>120</x:v>
      </x:c>
      <x:c r="G5" s="78" t="s">
        <x:v>121</x:v>
      </x:c>
      <x:c r="H5" s="78" t="s">
        <x:v>122</x:v>
      </x:c>
      <x:c r="I5" s="119" t="s">
        <x:v>123</x:v>
      </x:c>
    </x:row>
    <x:row r="6" ht="110.0999984741211" customHeight="1">
      <x:c r="A6" s="120" t="s">
        <x:v>27</x:v>
      </x:c>
      <x:c r="B6" s="121">
        <x:v>15</x:v>
      </x:c>
      <x:c r="C6" s="77" t="s">
        <x:v>124</x:v>
      </x:c>
      <x:c r="D6" s="77" t="s">
        <x:v>125</x:v>
      </x:c>
      <x:c r="E6" s="77" t="s">
        <x:v>126</x:v>
      </x:c>
      <x:c r="F6" s="77" t="s">
        <x:v>127</x:v>
      </x:c>
      <x:c r="G6" s="77" t="s">
        <x:v>128</x:v>
      </x:c>
      <x:c r="H6" s="77" t="s">
        <x:v>129</x:v>
      </x:c>
      <x:c r="I6" s="122"/>
    </x:row>
    <x:row r="7" ht="110.0999984741211" customHeight="1">
      <x:c r="A7" s="120" t="s">
        <x:v>29</x:v>
      </x:c>
      <x:c r="B7" s="121">
        <x:v>15</x:v>
      </x:c>
      <x:c r="C7" s="77" t="s">
        <x:v>130</x:v>
      </x:c>
      <x:c r="D7" s="77" t="s">
        <x:v>131</x:v>
      </x:c>
      <x:c r="E7" s="77" t="s">
        <x:v>132</x:v>
      </x:c>
      <x:c r="F7" s="77" t="s">
        <x:v>133</x:v>
      </x:c>
      <x:c r="G7" s="77" t="s">
        <x:v>134</x:v>
      </x:c>
      <x:c r="H7" s="77" t="s">
        <x:v>135</x:v>
      </x:c>
      <x:c r="I7" s="122"/>
    </x:row>
    <x:row r="8" ht="110.0999984741211" customHeight="1">
      <x:c r="A8" s="120" t="s">
        <x:v>31</x:v>
      </x:c>
      <x:c r="B8" s="121">
        <x:v>20</x:v>
      </x:c>
      <x:c r="C8" s="77" t="s">
        <x:v>136</x:v>
      </x:c>
      <x:c r="D8" s="77" t="s">
        <x:v>137</x:v>
      </x:c>
      <x:c r="E8" s="77" t="s">
        <x:v>138</x:v>
      </x:c>
      <x:c r="F8" s="77" t="s">
        <x:v>139</x:v>
      </x:c>
      <x:c r="G8" s="77" t="s">
        <x:v>140</x:v>
      </x:c>
      <x:c r="H8" s="77" t="s">
        <x:v>141</x:v>
      </x:c>
      <x:c r="I8" s="122" t="s">
        <x:v>142</x:v>
      </x:c>
    </x:row>
    <x:row r="9" ht="110.0999984741211" customHeight="1">
      <x:c r="A9" s="120" t="s">
        <x:v>33</x:v>
      </x:c>
      <x:c r="B9" s="121">
        <x:v>20</x:v>
      </x:c>
      <x:c r="C9" s="77" t="s">
        <x:v>143</x:v>
      </x:c>
      <x:c r="D9" s="77" t="s">
        <x:v>144</x:v>
      </x:c>
      <x:c r="E9" s="77" t="s">
        <x:v>145</x:v>
      </x:c>
      <x:c r="F9" s="77" t="s">
        <x:v>146</x:v>
      </x:c>
      <x:c r="G9" s="77" t="s">
        <x:v>147</x:v>
      </x:c>
      <x:c r="H9" s="77" t="s">
        <x:v>148</x:v>
      </x:c>
      <x:c r="I9" s="122" t="s">
        <x:v>149</x:v>
      </x:c>
    </x:row>
    <x:row r="10" ht="110.0999984741211" customHeight="1">
      <x:c r="A10" s="120" t="s">
        <x:v>35</x:v>
      </x:c>
      <x:c r="B10" s="121">
        <x:v>10</x:v>
      </x:c>
      <x:c r="C10" s="77" t="s">
        <x:v>150</x:v>
      </x:c>
      <x:c r="D10" s="77" t="s">
        <x:v>151</x:v>
      </x:c>
      <x:c r="E10" s="77" t="s">
        <x:v>152</x:v>
      </x:c>
      <x:c r="F10" s="77" t="s">
        <x:v>153</x:v>
      </x:c>
      <x:c r="G10" s="77" t="s">
        <x:v>154</x:v>
      </x:c>
      <x:c r="H10" s="77" t="s">
        <x:v>155</x:v>
      </x:c>
      <x:c r="I10" s="122" t="s">
        <x:v>156</x:v>
      </x:c>
    </x:row>
    <x:row r="11" ht="110.0999984741211" customHeight="1">
      <x:c r="A11" s="123" t="s">
        <x:v>37</x:v>
      </x:c>
      <x:c r="B11" s="124">
        <x:v>10</x:v>
      </x:c>
      <x:c r="C11" s="125" t="s">
        <x:v>157</x:v>
      </x:c>
      <x:c r="D11" s="125" t="s">
        <x:v>158</x:v>
      </x:c>
      <x:c r="E11" s="125" t="s">
        <x:v>159</x:v>
      </x:c>
      <x:c r="F11" s="125" t="s">
        <x:v>160</x:v>
      </x:c>
      <x:c r="G11" s="125" t="s">
        <x:v>161</x:v>
      </x:c>
      <x:c r="H11" s="125" t="s">
        <x:v>162</x:v>
      </x:c>
      <x:c r="I11" s="126" t="s">
        <x:v>163</x:v>
      </x:c>
    </x:row>
  </x:sheetData>
  <x:mergeCells>
    <x:mergeCell ref="A2:E2"/>
  </x:mergeCells>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3">
      <x:c r="A3" s="529" t="str">
        <x:v>Legenda warna</x:v>
      </x:c>
      <x:c r="B3" s="529" t="str">
        <x:v>KUNING #FFF2CC = input/keputusan pengguna</x:v>
      </x:c>
      <x:c r="C3" s="529" t="str">
        <x:v>BIRU = data sumber/hasil otomatis; HIJAU = DAPAT DINILAI; ABU = BELUM DAPAT DINILAI</x:v>
      </x:c>
    </x:row>
    <x:row r="4" ht="15">
      <x:c r="A4" s="6" t="s">
        <x:v>166</x:v>
      </x:c>
      <x:c r="B4" s="6"/>
      <x:c r="C4" s="6"/>
      <x:c r="D4" s="6"/>
      <x:c r="E4" s="6"/>
      <x:c r="F4" s="6"/>
    </x:row>
    <x:row r="5" ht="15">
      <x:c r="A5" s="35" t="s">
        <x:v>167</x:v>
      </x:c>
      <x:c r="B5" s="36" t="s">
        <x:v>168</x:v>
      </x:c>
    </x:row>
    <x:row r="6" ht="28.5">
      <x:c r="A6" s="19" t="s">
        <x:v>169</x:v>
      </x:c>
      <x:c r="B6" s="21" t="s">
        <x:v>170</x:v>
      </x:c>
    </x:row>
    <x:row r="7" ht="42.75">
      <x:c r="A7" s="19" t="s">
        <x:v>171</x:v>
      </x:c>
      <x:c r="B7" s="21" t="s">
        <x:v>172</x:v>
      </x:c>
    </x:row>
    <x:row r="8">
      <x:c r="A8" s="19" t="s">
        <x:v>93</x:v>
      </x:c>
      <x:c r="B8" s="21" t="s">
        <x:v>173</x:v>
      </x:c>
    </x:row>
    <x:row r="9" ht="28.5">
      <x:c r="A9" s="22" t="s">
        <x:v>174</x:v>
      </x:c>
      <x:c r="B9" s="24" t="s">
        <x:v>175</x:v>
      </x:c>
    </x:row>
    <x:row r="11" ht="15">
      <x:c r="A11" s="6" t="s">
        <x:v>176</x:v>
      </x:c>
      <x:c r="B11" s="6"/>
      <x:c r="C11" s="6"/>
      <x:c r="D11" s="6"/>
      <x:c r="E11" s="6"/>
      <x:c r="F11" s="6"/>
    </x:row>
    <x:row r="12" ht="28.5">
      <x:c r="A12" s="32" t="s">
        <x:v>43</x:v>
      </x:c>
      <x:c r="B12" s="17" t="s">
        <x:v>177</x:v>
      </x:c>
      <x:c r="C12" s="18" t="s">
        <x:v>178</x:v>
      </x:c>
    </x:row>
    <x:row r="13" ht="28.5">
      <x:c r="A13" s="33" t="s">
        <x:v>46</x:v>
      </x:c>
      <x:c r="B13" s="20" t="s">
        <x:v>179</x:v>
      </x:c>
      <x:c r="C13" s="21" t="s">
        <x:v>180</x:v>
      </x:c>
    </x:row>
    <x:row r="14" ht="28.5">
      <x:c r="A14" s="33" t="s">
        <x:v>49</x:v>
      </x:c>
      <x:c r="B14" s="20" t="s">
        <x:v>181</x:v>
      </x:c>
      <x:c r="C14" s="21" t="s">
        <x:v>182</x:v>
      </x:c>
    </x:row>
    <x:row r="15" ht="15">
      <x:c r="A15" s="33" t="s">
        <x:v>52</x:v>
      </x:c>
      <x:c r="B15" s="20" t="s">
        <x:v>183</x:v>
      </x:c>
      <x:c r="C15" s="21" t="s">
        <x:v>184</x:v>
      </x:c>
    </x:row>
    <x:row r="16" ht="28.5">
      <x:c r="A16" s="34" t="s">
        <x:v>55</x:v>
      </x:c>
      <x:c r="B16" s="23" t="s">
        <x:v>185</x:v>
      </x:c>
      <x:c r="C16" s="24" t="s">
        <x:v>186</x:v>
      </x:c>
    </x:row>
    <x:row r="20" ht="15">
      <x:c r="A20" s="6" t="s">
        <x:v>187</x:v>
      </x:c>
      <x:c r="B20" s="6"/>
      <x:c r="C20" s="6"/>
      <x:c r="D20" s="6"/>
      <x:c r="E20" s="6"/>
      <x:c r="F20" s="6"/>
    </x:row>
    <x:row r="21" ht="15">
      <x:c r="A21" s="35" t="s">
        <x:v>71</x:v>
      </x:c>
      <x:c r="B21" s="37" t="s">
        <x:v>188</x:v>
      </x:c>
      <x:c r="C21" s="36" t="s">
        <x:v>189</x:v>
      </x:c>
    </x:row>
    <x:row r="22">
      <x:c r="A22" s="19" t="s">
        <x:v>190</x:v>
      </x:c>
      <x:c r="B22" s="20" t="s">
        <x:v>191</x:v>
      </x:c>
      <x:c r="C22" s="21" t="s">
        <x:v>192</x:v>
      </x:c>
    </x:row>
    <x:row r="23" ht="28.5">
      <x:c r="A23" s="19" t="s">
        <x:v>193</x:v>
      </x:c>
      <x:c r="B23" s="20" t="s">
        <x:v>194</x:v>
      </x:c>
      <x:c r="C23" s="21" t="s">
        <x:v>195</x:v>
      </x:c>
    </x:row>
    <x:row r="24" ht="57">
      <x:c r="A24" s="22" t="s">
        <x:v>196</x:v>
      </x:c>
      <x:c r="B24" s="23" t="s">
        <x:v>197</x:v>
      </x:c>
      <x:c r="C24" s="24" t="s">
        <x:v>195</x:v>
      </x:c>
    </x:row>
    <x:row r="27" ht="15">
      <x:c r="A27" s="6" t="s">
        <x:v>198</x:v>
      </x:c>
      <x:c r="B27" s="6"/>
      <x:c r="C27" s="6"/>
      <x:c r="D27" s="6"/>
      <x:c r="E27" s="6"/>
      <x:c r="F27" s="6"/>
    </x:row>
    <x:row r="28" ht="28.5">
      <x:c r="A28" s="32" t="s">
        <x:v>112</x:v>
      </x:c>
      <x:c r="B28" s="18" t="s">
        <x:v>199</x:v>
      </x:c>
    </x:row>
    <x:row r="29" ht="28.5">
      <x:c r="A29" s="33" t="s">
        <x:v>66</x:v>
      </x:c>
      <x:c r="B29" s="21" t="s">
        <x:v>200</x:v>
      </x:c>
    </x:row>
    <x:row r="30" ht="28.5">
      <x:c r="A30" s="33" t="s">
        <x:v>45</x:v>
      </x:c>
      <x:c r="B30" s="21" t="s">
        <x:v>201</x:v>
      </x:c>
    </x:row>
    <x:row r="31" ht="15">
      <x:c r="A31" s="33" t="s">
        <x:v>51</x:v>
      </x:c>
      <x:c r="B31" s="21" t="s">
        <x:v>202</x:v>
      </x:c>
    </x:row>
    <x:row r="32" ht="57">
      <x:c r="A32" s="34" t="s">
        <x:v>203</x:v>
      </x:c>
      <x:c r="B32" s="24" t="s">
        <x:v>204</x:v>
      </x:c>
      <x:c r="C32" t="s">
        <x:v>205</x:v>
      </x:c>
    </x:row>
    <x:row r="35" ht="15">
      <x:c r="A35" s="6" t="s">
        <x:v>206</x:v>
      </x:c>
      <x:c r="B35" s="6"/>
      <x:c r="C35" s="6"/>
      <x:c r="D35" s="6"/>
      <x:c r="E35" s="6"/>
      <x:c r="F35" s="6"/>
    </x:row>
    <x:row r="36" ht="15">
      <x:c r="A36" s="35" t="s">
        <x:v>207</x:v>
      </x:c>
      <x:c r="B36" s="36" t="s">
        <x:v>208</x:v>
      </x:c>
    </x:row>
    <x:row r="37" ht="28.5">
      <x:c r="A37" s="19" t="s">
        <x:v>209</x:v>
      </x:c>
      <x:c r="B37" s="21" t="s">
        <x:v>210</x:v>
      </x:c>
    </x:row>
    <x:row r="38" ht="28.5">
      <x:c r="A38" s="19" t="s">
        <x:v>211</x:v>
      </x:c>
      <x:c r="B38" s="21" t="s">
        <x:v>212</x:v>
      </x:c>
    </x:row>
    <x:row r="39" ht="28.5">
      <x:c r="A39" s="19" t="s">
        <x:v>213</x:v>
      </x:c>
      <x:c r="B39" s="21" t="s">
        <x:v>214</x:v>
      </x:c>
    </x:row>
    <x:row r="40" ht="28.5">
      <x:c r="A40" s="22" t="s">
        <x:v>215</x:v>
      </x:c>
      <x:c r="B40" s="24" t="s">
        <x:v>216</x:v>
      </x:c>
    </x:row>
    <x:row r="42" ht="15">
      <x:c r="A42" s="6" t="s">
        <x:v>217</x:v>
      </x:c>
      <x:c r="B42" s="6"/>
      <x:c r="C42" s="6"/>
      <x:c r="D42" s="6"/>
      <x:c r="E42" s="6"/>
      <x:c r="F42" s="6"/>
    </x:row>
    <x:row r="43" ht="15">
      <x:c r="A43" s="35" t="s">
        <x:v>218</x:v>
      </x:c>
      <x:c r="B43" s="36" t="s">
        <x:v>219</x:v>
      </x:c>
    </x:row>
    <x:row r="44" ht="28.5">
      <x:c r="A44" s="19" t="s">
        <x:v>220</x:v>
      </x:c>
      <x:c r="B44" s="21" t="s">
        <x:v>221</x:v>
      </x:c>
    </x:row>
    <x:row r="45" ht="28.5">
      <x:c r="A45" s="19" t="s">
        <x:v>222</x:v>
      </x:c>
      <x:c r="B45" s="21" t="s">
        <x:v>223</x:v>
      </x:c>
    </x:row>
    <x:row r="46" ht="28.5">
      <x:c r="A46" s="19" t="s">
        <x:v>224</x:v>
      </x:c>
      <x:c r="B46" s="21" t="s">
        <x:v>225</x:v>
      </x:c>
    </x:row>
    <x:row r="47" ht="28.5">
      <x:c r="A47" s="19" t="s">
        <x:v>226</x:v>
      </x:c>
      <x:c r="B47" s="21" t="s">
        <x:v>227</x:v>
      </x:c>
    </x:row>
    <x:row r="48" ht="28.5">
      <x:c r="A48" s="22" t="s">
        <x:v>228</x:v>
      </x:c>
      <x:c r="B48" s="24" t="s">
        <x:v>229</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230</x:v>
      </x:c>
      <x:c r="B1" s="1"/>
      <x:c r="C1" s="1"/>
      <x:c r="D1" s="1"/>
      <x:c r="E1" s="1"/>
      <x:c r="F1" s="1"/>
      <x:c r="G1" s="1"/>
      <x:c r="H1" s="1"/>
    </x:row>
    <x:row r="2" ht="114.75">
      <x:c r="A2" s="2" t="s">
        <x:v>231</x:v>
      </x:c>
      <x:c r="B2" s="2"/>
      <x:c r="C2" s="2"/>
      <x:c r="D2" s="2"/>
      <x:c r="E2" s="2"/>
      <x:c r="F2" s="2"/>
      <x:c r="G2" s="2"/>
      <x:c r="H2" s="2"/>
    </x:row>
    <x:row r="4" ht="15">
      <x:c r="A4" s="6" t="s">
        <x:v>232</x:v>
      </x:c>
      <x:c r="B4" s="6"/>
      <x:c r="C4" s="6"/>
      <x:c r="D4" s="6"/>
      <x:c r="E4" s="6"/>
      <x:c r="F4" s="6"/>
      <x:c r="G4" s="6"/>
      <x:c r="H4" s="6"/>
    </x:row>
    <x:row r="5" ht="15">
      <x:c r="A5" s="15" t="s">
        <x:v>14</x:v>
      </x:c>
      <x:c r="B5" s="15" t="s">
        <x:v>233</x:v>
      </x:c>
      <x:c r="C5" s="15" t="s">
        <x:v>71</x:v>
      </x:c>
      <x:c r="D5" s="15" t="s">
        <x:v>234</x:v>
      </x:c>
      <x:c r="E5" s="15" t="s">
        <x:v>15</x:v>
      </x:c>
      <x:c r="F5" s="15" t="s">
        <x:v>235</x:v>
      </x:c>
      <x:c r="G5" s="15" t="s">
        <x:v>219</x:v>
      </x:c>
      <x:c r="H5" s="15" t="s">
        <x:v>101</x:v>
      </x:c>
    </x:row>
    <x:row r="6" ht="28.5">
      <x:c r="A6" s="16" t="s">
        <x:v>236</x:v>
      </x:c>
      <x:c r="B6" s="17" t="s">
        <x:v>237</x:v>
      </x:c>
      <x:c r="C6" s="17" t="s">
        <x:v>190</x:v>
      </x:c>
      <x:c r="D6" s="17">
        <x:v>1</x:v>
      </x:c>
      <x:c r="E6" s="17">
        <x:v>10</x:v>
      </x:c>
      <x:c r="F6" s="17">
        <x:v>2.5</x:v>
      </x:c>
      <x:c r="G6" s="17" t="s">
        <x:v>238</x:v>
      </x:c>
      <x:c r="H6" s="18" t="s">
        <x:v>239</x:v>
      </x:c>
    </x:row>
    <x:row r="7">
      <x:c r="A7" s="19" t="s">
        <x:v>240</x:v>
      </x:c>
      <x:c r="B7" s="20" t="s">
        <x:v>241</x:v>
      </x:c>
      <x:c r="C7" s="20" t="s">
        <x:v>190</x:v>
      </x:c>
      <x:c r="D7" s="20">
        <x:v>0</x:v>
      </x:c>
      <x:c r="E7" s="20">
        <x:v>15</x:v>
      </x:c>
      <x:c r="F7" s="20">
        <x:v>0</x:v>
      </x:c>
      <x:c r="G7" s="20" t="s">
        <x:v>242</x:v>
      </x:c>
      <x:c r="H7" s="21" t="s">
        <x:v>243</x:v>
      </x:c>
    </x:row>
    <x:row r="8" ht="28.5">
      <x:c r="A8" s="19" t="s">
        <x:v>244</x:v>
      </x:c>
      <x:c r="B8" s="20" t="s">
        <x:v>245</x:v>
      </x:c>
      <x:c r="C8" s="20" t="s">
        <x:v>190</x:v>
      </x:c>
      <x:c r="D8" s="20">
        <x:v>0</x:v>
      </x:c>
      <x:c r="E8" s="20">
        <x:v>15</x:v>
      </x:c>
      <x:c r="F8" s="20">
        <x:v>0</x:v>
      </x:c>
      <x:c r="G8" s="20" t="s">
        <x:v>246</x:v>
      </x:c>
      <x:c r="H8" s="21" t="s">
        <x:v>247</x:v>
      </x:c>
    </x:row>
    <x:row r="9" ht="28.5">
      <x:c r="A9" s="19" t="s">
        <x:v>248</x:v>
      </x:c>
      <x:c r="B9" s="20" t="s">
        <x:v>249</x:v>
      </x:c>
      <x:c r="C9" s="20" t="s">
        <x:v>190</x:v>
      </x:c>
      <x:c r="D9" s="20">
        <x:v>0</x:v>
      </x:c>
      <x:c r="E9" s="20">
        <x:v>20</x:v>
      </x:c>
      <x:c r="F9" s="20">
        <x:v>0</x:v>
      </x:c>
      <x:c r="G9" s="20" t="s">
        <x:v>250</x:v>
      </x:c>
      <x:c r="H9" s="21" t="s">
        <x:v>251</x:v>
      </x:c>
    </x:row>
    <x:row r="10" ht="28.5">
      <x:c r="A10" s="19" t="s">
        <x:v>252</x:v>
      </x:c>
      <x:c r="B10" s="20" t="s">
        <x:v>253</x:v>
      </x:c>
      <x:c r="C10" s="20" t="s">
        <x:v>190</x:v>
      </x:c>
      <x:c r="D10" s="20">
        <x:v>0</x:v>
      </x:c>
      <x:c r="E10" s="20">
        <x:v>20</x:v>
      </x:c>
      <x:c r="F10" s="20">
        <x:v>0</x:v>
      </x:c>
      <x:c r="G10" s="20" t="s">
        <x:v>254</x:v>
      </x:c>
      <x:c r="H10" s="21" t="s">
        <x:v>255</x:v>
      </x:c>
    </x:row>
    <x:row r="11" ht="28.5">
      <x:c r="A11" s="19" t="s">
        <x:v>256</x:v>
      </x:c>
      <x:c r="B11" s="20" t="s">
        <x:v>257</x:v>
      </x:c>
      <x:c r="C11" s="20" t="s">
        <x:v>190</x:v>
      </x:c>
      <x:c r="D11" s="20">
        <x:v>3</x:v>
      </x:c>
      <x:c r="E11" s="20">
        <x:v>10</x:v>
      </x:c>
      <x:c r="F11" s="20">
        <x:v>7.5</x:v>
      </x:c>
      <x:c r="G11" s="20" t="s">
        <x:v>258</x:v>
      </x:c>
      <x:c r="H11" s="21" t="s">
        <x:v>259</x:v>
      </x:c>
    </x:row>
    <x:row r="12" ht="28.5">
      <x:c r="A12" s="22" t="s">
        <x:v>260</x:v>
      </x:c>
      <x:c r="B12" s="23" t="s">
        <x:v>261</x:v>
      </x:c>
      <x:c r="C12" s="23" t="s">
        <x:v>190</x:v>
      </x:c>
      <x:c r="D12" s="23">
        <x:v>1</x:v>
      </x:c>
      <x:c r="E12" s="23">
        <x:v>10</x:v>
      </x:c>
      <x:c r="F12" s="23">
        <x:v>2.5</x:v>
      </x:c>
      <x:c r="G12" s="23" t="s">
        <x:v>262</x:v>
      </x:c>
      <x:c r="H12" s="24" t="s">
        <x:v>263</x:v>
      </x:c>
    </x:row>
    <x:row r="14" ht="15">
      <x:c r="A14" s="6" t="s">
        <x:v>264</x:v>
      </x:c>
      <x:c r="B14" s="6"/>
      <x:c r="C14" s="6"/>
      <x:c r="D14" s="6"/>
      <x:c r="E14" s="6"/>
      <x:c r="F14" s="6"/>
      <x:c r="G14" s="6"/>
      <x:c r="H14" s="6"/>
    </x:row>
    <x:row r="15" ht="15">
      <x:c r="A15" s="15" t="s">
        <x:v>14</x:v>
      </x:c>
      <x:c r="B15" s="15" t="s">
        <x:v>233</x:v>
      </x:c>
      <x:c r="C15" s="15" t="s">
        <x:v>71</x:v>
      </x:c>
      <x:c r="D15" s="15" t="s">
        <x:v>234</x:v>
      </x:c>
      <x:c r="E15" s="15" t="s">
        <x:v>15</x:v>
      </x:c>
      <x:c r="F15" s="15" t="s">
        <x:v>235</x:v>
      </x:c>
      <x:c r="G15" s="15" t="s">
        <x:v>219</x:v>
      </x:c>
      <x:c r="H15" s="15" t="s">
        <x:v>101</x:v>
      </x:c>
    </x:row>
    <x:row r="16" ht="28.5">
      <x:c r="A16" s="16" t="s">
        <x:v>236</x:v>
      </x:c>
      <x:c r="B16" s="17" t="s">
        <x:v>265</x:v>
      </x:c>
      <x:c r="C16" s="17" t="s">
        <x:v>190</x:v>
      </x:c>
      <x:c r="D16" s="17">
        <x:v>3</x:v>
      </x:c>
      <x:c r="E16" s="17">
        <x:v>10</x:v>
      </x:c>
      <x:c r="F16" s="17">
        <x:v>7.5</x:v>
      </x:c>
      <x:c r="G16" s="17" t="s">
        <x:v>266</x:v>
      </x:c>
      <x:c r="H16" s="18" t="s">
        <x:v>267</x:v>
      </x:c>
    </x:row>
    <x:row r="17">
      <x:c r="A17" s="19" t="s">
        <x:v>240</x:v>
      </x:c>
      <x:c r="B17" s="20" t="s">
        <x:v>268</x:v>
      </x:c>
      <x:c r="C17" s="20" t="s">
        <x:v>190</x:v>
      </x:c>
      <x:c r="D17" s="20">
        <x:v>2</x:v>
      </x:c>
      <x:c r="E17" s="20">
        <x:v>15</x:v>
      </x:c>
      <x:c r="F17" s="20">
        <x:v>7.5</x:v>
      </x:c>
      <x:c r="G17" s="20" t="s">
        <x:v>269</x:v>
      </x:c>
      <x:c r="H17" s="21" t="s">
        <x:v>270</x:v>
      </x:c>
    </x:row>
    <x:row r="18" ht="28.5">
      <x:c r="A18" s="19" t="s">
        <x:v>244</x:v>
      </x:c>
      <x:c r="B18" s="20" t="s">
        <x:v>271</x:v>
      </x:c>
      <x:c r="C18" s="20" t="s">
        <x:v>196</x:v>
      </x:c>
      <x:c r="D18" s="20"/>
      <x:c r="E18" s="20">
        <x:v>15</x:v>
      </x:c>
      <x:c r="F18" s="20"/>
      <x:c r="G18" s="20" t="s">
        <x:v>272</x:v>
      </x:c>
      <x:c r="H18" s="21" t="s">
        <x:v>273</x:v>
      </x:c>
    </x:row>
    <x:row r="19">
      <x:c r="A19" s="19" t="s">
        <x:v>248</x:v>
      </x:c>
      <x:c r="B19" s="20" t="s">
        <x:v>274</x:v>
      </x:c>
      <x:c r="C19" s="20" t="s">
        <x:v>196</x:v>
      </x:c>
      <x:c r="D19" s="20"/>
      <x:c r="E19" s="20">
        <x:v>20</x:v>
      </x:c>
      <x:c r="F19" s="20"/>
      <x:c r="G19" s="20" t="s">
        <x:v>275</x:v>
      </x:c>
      <x:c r="H19" s="21" t="s">
        <x:v>276</x:v>
      </x:c>
    </x:row>
    <x:row r="20">
      <x:c r="A20" s="19" t="s">
        <x:v>252</x:v>
      </x:c>
      <x:c r="B20" s="20" t="s">
        <x:v>277</x:v>
      </x:c>
      <x:c r="C20" s="20" t="s">
        <x:v>196</x:v>
      </x:c>
      <x:c r="D20" s="20"/>
      <x:c r="E20" s="20">
        <x:v>20</x:v>
      </x:c>
      <x:c r="F20" s="20"/>
      <x:c r="G20" s="20" t="s">
        <x:v>275</x:v>
      </x:c>
      <x:c r="H20" s="21" t="s">
        <x:v>278</x:v>
      </x:c>
    </x:row>
    <x:row r="21">
      <x:c r="A21" s="19" t="s">
        <x:v>256</x:v>
      </x:c>
      <x:c r="B21" s="20" t="s">
        <x:v>279</x:v>
      </x:c>
      <x:c r="C21" s="20" t="s">
        <x:v>190</x:v>
      </x:c>
      <x:c r="D21" s="20">
        <x:v>3</x:v>
      </x:c>
      <x:c r="E21" s="20">
        <x:v>10</x:v>
      </x:c>
      <x:c r="F21" s="20">
        <x:v>7.5</x:v>
      </x:c>
      <x:c r="G21" s="20" t="s">
        <x:v>280</x:v>
      </x:c>
      <x:c r="H21" s="21" t="s">
        <x:v>281</x:v>
      </x:c>
    </x:row>
    <x:row r="22">
      <x:c r="A22" s="22" t="s">
        <x:v>260</x:v>
      </x:c>
      <x:c r="B22" s="23" t="s">
        <x:v>282</x:v>
      </x:c>
      <x:c r="C22" s="23" t="s">
        <x:v>190</x:v>
      </x:c>
      <x:c r="D22" s="23">
        <x:v>3</x:v>
      </x:c>
      <x:c r="E22" s="23">
        <x:v>10</x:v>
      </x:c>
      <x:c r="F22" s="23">
        <x:v>7.5</x:v>
      </x:c>
      <x:c r="G22" s="23" t="s">
        <x:v>283</x:v>
      </x:c>
      <x:c r="H22" s="24" t="s">
        <x:v>284</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38" t="str">
        <x:v>SUMBER DATA — FINAL BASELINE P04 Badan Perencanaan Pembangunan, Riset, dan Inovasi Daerah Kabupaten Bintan</x:v>
      </x:c>
      <x:c r="B1" s="38"/>
      <x:c r="C1" s="38"/>
      <x:c r="D1" s="38"/>
      <x:c r="E1" s="38"/>
      <x:c r="F1" s="38"/>
      <x:c r="G1" s="38"/>
      <x:c r="H1" s="38"/>
      <x:c r="I1" s="38"/>
    </x:row>
    <x:row r="2">
      <x:c r="A2" s="39" t="str">
        <x:v>Disalin dari FINAL BASELINE MITRA KINERJA — cut-off 28 Agustus 2026. Perkembangan setelah cut-off dinilai melalui Scorecard.</x:v>
      </x:c>
      <x:c r="B2" s="39"/>
      <x:c r="C2" s="39"/>
      <x:c r="D2" s="39"/>
      <x:c r="E2" s="39"/>
      <x:c r="F2" s="39"/>
      <x:c r="G2" s="39"/>
      <x:c r="H2" s="39"/>
      <x:c r="I2" s="39"/>
    </x:row>
    <x:row r="4" ht="15">
      <x:c r="A4" s="40" t="str">
        <x:v>No</x:v>
      </x:c>
      <x:c r="B4" s="41" t="str">
        <x:v>Kelompok</x:v>
      </x:c>
      <x:c r="C4" s="41" t="str">
        <x:v>Elemen baseline</x:v>
      </x:c>
      <x:c r="D4" s="41" t="str">
        <x:v>Yang diperiksa</x:v>
      </x:c>
      <x:c r="E4" s="41" t="str">
        <x:v>Sumber/bukti minimum</x:v>
      </x:c>
      <x:c r="F4" s="41" t="str">
        <x:v>Status</x:v>
      </x:c>
      <x:c r="G4" s="41" t="str">
        <x:v>Fakta/hasil pemeriksaan</x:v>
      </x:c>
      <x:c r="H4" s="41" t="str">
        <x:v>Sumber/link bukti</x:v>
      </x:c>
      <x:c r="I4" s="42" t="str">
        <x:v>Catatan khusus (opsional)</x:v>
      </x:c>
    </x:row>
    <x:row r="5" ht="72" customHeight="1">
      <x:c r="A5" s="43" t="n">
        <x:v>1</x:v>
      </x:c>
      <x:c r="B5" s="27" t="str">
        <x:v>IDENTITAS</x:v>
      </x:c>
      <x:c r="C5" s="27" t="str">
        <x:v>Identitas naskah</x:v>
      </x:c>
      <x:c r="D5" s="27" t="str">
        <x:v>Jenis, nomor para pihak, judul, dan nama resmi mitra sesuai naskah.</x:v>
      </x:c>
      <x:c r="E5" s="27" t="str">
        <x:v>Naskah bertanda tangan; P2MA sebagai pembanding.</x:v>
      </x:c>
      <x:c r="F5" s="27" t="str">
        <x:v>TERVERIFIKASI</x:v>
      </x:c>
      <x:c r="G5" s="27" t="str">
        <x:v>sudah sesuai</x:v>
      </x:c>
      <x:c r="H5" s="27" t="str">
        <x:v>https://p2ma.kemenkum.go.id/uploads/kerjasama/naskah/1785760267.pdf</x:v>
      </x:c>
      <x:c r="I5" s="44"/>
    </x:row>
    <x:row r="6" ht="72" customHeight="1">
      <x:c r="A6" s="43" t="n">
        <x:v>2</x:v>
      </x:c>
      <x:c r="B6" s="27" t="str">
        <x:v>MASA BERLAKU</x:v>
      </x:c>
      <x:c r="C6" s="27" t="str">
        <x:v>Masa berlaku</x:v>
      </x:c>
      <x:c r="D6" s="27" t="str">
        <x:v>Tanggal efektif, durasi, dan tanggal berakhir sesuai klausul naskah.</x:v>
      </x:c>
      <x:c r="E6" s="27" t="str">
        <x:v>Klausul jangka waktu; halaman tanda tangan; P2MA.</x:v>
      </x:c>
      <x:c r="F6" s="27" t="str">
        <x:v>TERVERIFIKASI</x:v>
      </x:c>
      <x:c r="G6" s="27" t="str">
        <x:v>P2MA publik menampilkan status Berlangsung, mulai 30 Juni 2026 dan berakhir 29 Juni 2029; tanggal sesuai data awal.</x:v>
      </x:c>
      <x:c r="H6" s="27" t="str">
        <x:v>https://p2ma.kemenkum.go.id/kdn/pencarian?tipe=1&amp;keyword=Badan%20Perencanaan%20Pembangunan%2C%20Riset%2C%20dan%20Inovasi%20Daerah%20Kabupaten%20Bintan</x:v>
      </x:c>
      <x:c r="I6" s="44"/>
    </x:row>
    <x:row r="7" ht="72" customHeight="1">
      <x:c r="A7" s="43" t="n">
        <x:v>3</x:v>
      </x:c>
      <x:c r="B7" s="27" t="str">
        <x:v>SUBSTANSI</x:v>
      </x:c>
      <x:c r="C7" s="27" t="str">
        <x:v>Ruang lingkup</x:v>
      </x:c>
      <x:c r="D7" s="27" t="str">
        <x:v>Ruang kerja, kewajiban, atau kegiatan utama yang disepakati.</x:v>
      </x:c>
      <x:c r="E7" s="27" t="str">
        <x:v>Pasal ruang lingkup/hak-kewajiban; lampiran.</x:v>
      </x:c>
      <x:c r="F7" s="27" t="str">
        <x:v>TERVERIFIKASI</x:v>
      </x:c>
      <x:c r="G7" s="27" t="str">
        <x:v>Ruang lingkup yang tercatat meliputi sosialisasi dan bimbingan teknis KI; peningkatan kapasitas SDM di bidang KI; fasilitasi pendaftaran KI; pembentukan Sentra KI; serta kegiatan lain yang disepakati di bidang KI.</x:v>
      </x:c>
      <x:c r="H7" s="27" t="str">
        <x:v>https://p2ma.kemenkum.go.id/uploads/kerjasama/naskah/1785760267.pdf</x:v>
      </x:c>
      <x:c r="I7" s="44"/>
    </x:row>
    <x:row r="8" ht="72" customHeight="1">
      <x:c r="A8" s="43" t="n">
        <x:v>4</x:v>
      </x:c>
      <x:c r="B8" s="27" t="str">
        <x:v>TATA KELOLA</x:v>
      </x:c>
      <x:c r="C8" s="27" t="str">
        <x:v>Status arsip</x:v>
      </x:c>
      <x:c r="D8" s="27" t="str">
        <x:v>Ketersediaan naskah lengkap pada lokasi arsip resmi dan dapat ditemukan kembali.</x:v>
      </x:c>
      <x:c r="E8" s="27" t="str">
        <x:v>Arsip resmi; register; folder organisasi.</x:v>
      </x:c>
      <x:c r="F8" s="27" t="str">
        <x:v>TERVERIFIKASI</x:v>
      </x:c>
      <x:c r="G8" s="27" t="str">
        <x:v>Salinan naskah dapat dibuka melalui P2MA. Lokasi arsip resmi internal sudah ada di Bagian Tata Usaha dan Umum Kantor Wilayah.</x:v>
      </x:c>
      <x:c r="H8" s="27" t="str">
        <x:v>Naskah P2MA pada baris 5; arsip internal sudah di Arsiparis</x:v>
      </x:c>
      <x:c r="I8" s="44"/>
    </x:row>
    <x:row r="9" ht="72" customHeight="1">
      <x:c r="A9" s="43" t="n">
        <x:v>5</x:v>
      </x:c>
      <x:c r="B9" s="27" t="str">
        <x:v>TATA KELOLA</x:v>
      </x:c>
      <x:c r="C9" s="27" t="str">
        <x:v>Status P2MA</x:v>
      </x:c>
      <x:c r="D9" s="27" t="str">
        <x:v>Keberadaan entri dan kesesuaian metadata P2MA dengan naskah resmi.</x:v>
      </x:c>
      <x:c r="E9" s="27" t="str">
        <x:v>P2MA dan naskah bertanda tangan.</x:v>
      </x:c>
      <x:c r="F9" s="27" t="str">
        <x:v>TERVERIFIKASI</x:v>
      </x:c>
      <x:c r="G9" s="27" t="str">
        <x:v>Entri publik P2MA ditemukan dengan status Berlangsung dan naskah PDF dapat dibuka. Satu entri ditemukan dan tautan PDF dapat dibuka.</x:v>
      </x:c>
      <x:c r="H9" s="27" t="str">
        <x:v>https://p2ma.kemenkum.go.id/kdn/pencarian?tipe=1&amp;keyword=Badan%20Perencanaan%20Pembangunan%2C%20Riset%2C%20dan%20Inovasi%20Daerah%20Kabupaten%20Bintan</x:v>
      </x:c>
      <x:c r="I9" s="44"/>
    </x:row>
    <x:row r="10" ht="72" customHeight="1">
      <x:c r="A10" s="43" t="n">
        <x:v>6</x:v>
      </x:c>
      <x:c r="B10" s="27" t="str">
        <x:v>PENGAMPU</x:v>
      </x:c>
      <x:c r="C10" s="27" t="str">
        <x:v>Unit pengampu</x:v>
      </x:c>
      <x:c r="D10" s="27" t="str">
        <x:v>Unit internal yang bertanggung jawab atas substansi dan implementasi kerja sama.</x:v>
      </x:c>
      <x:c r="E10" s="27" t="str">
        <x:v>ND/SK/pembagian tugas; konfirmasi tertulis unit.</x:v>
      </x:c>
      <x:c r="F10" s="27" t="str">
        <x:v>BELUM TERSEDIA</x:v>
      </x:c>
      <x:c r="G10" s="27" t="str">
        <x:v>Naskah dan P2MA publik belum cukup untuk menetapkan unit internal yang bertanggung jawab atas implementasi kerja sama.</x:v>
      </x:c>
      <x:c r="H10" s="27" t="str">
        <x:v>Naskah/P2MA publik; ND, SK, pembagian tugas, atau konfirmasi unit belum diperoleh.</x:v>
      </x:c>
      <x:c r="I10" s="44"/>
    </x:row>
    <x:row r="11" ht="72" customHeight="1">
      <x:c r="A11" s="43" t="n">
        <x:v>7</x:v>
      </x:c>
      <x:c r="B11" s="27" t="str">
        <x:v>PIC</x:v>
      </x:c>
      <x:c r="C11" s="27" t="str">
        <x:v>PIC internal</x:v>
      </x:c>
      <x:c r="D11" s="27" t="str">
        <x:v>PIC utama dan cadangan yang aktif, lengkap dengan jabatan, kontak, dan dasar penetapan.</x:v>
      </x:c>
      <x:c r="E11" s="27" t="str">
        <x:v>ND/SK/daftar PIC; konfirmasi tertulis unit.</x:v>
      </x:c>
      <x:c r="F11" s="27" t="str">
        <x:v>BELUM TERSEDIA</x:v>
      </x:c>
      <x:c r="G11" s="27" t="str">
        <x:v>Pemeriksa mencatat PIC internal Bidang KI atas nama Booby Briando. Namun dasar penetapan, PIC cadangan, dan nomor kontak belum tercantum dalam bukti minimum.</x:v>
      </x:c>
      <x:c r="H11" s="27" t="str">
        <x:v>Keterangan pemeriksa; ND/SK/daftar PIC atau konfirmasi tertulis belum dilampirkan.</x:v>
      </x:c>
      <x:c r="I11" s="44"/>
    </x:row>
    <x:row r="12" ht="72" customHeight="1">
      <x:c r="A12" s="43" t="n">
        <x:v>8</x:v>
      </x:c>
      <x:c r="B12" s="27" t="str">
        <x:v>PIC</x:v>
      </x:c>
      <x:c r="C12" s="27" t="str">
        <x:v>PIC mitra</x:v>
      </x:c>
      <x:c r="D12" s="27" t="str">
        <x:v>Penghubung operasional pihak mitra yang telah dikonfirmasi.</x:v>
      </x:c>
      <x:c r="E12" s="27" t="str">
        <x:v>Surat/email/form konfirmasi resmi dari mitra.</x:v>
      </x:c>
      <x:c r="F12" s="27" t="str">
        <x:v>BELUM TERSEDIA</x:v>
      </x:c>
      <x:c r="G12" s="27" t="str">
        <x:v>Pemeriksa mencatat PIC pihak Bapperida atas nama Ibu Diana. Namun dasar penetapan dan konfirmasi tertulis sebagai PIC operasional belum dilampirkan.</x:v>
      </x:c>
      <x:c r="H12" s="27" t="str">
        <x:v>Keterangan pemeriksa; surat/email/formulir penunjukan PIC mitra belum dilampirkan.</x:v>
      </x:c>
      <x:c r="I12" s="44"/>
    </x:row>
    <x:row r="13" ht="72" customHeight="1">
      <x:c r="A13" s="43" t="n">
        <x:v>9</x:v>
      </x:c>
      <x:c r="B13" s="27" t="str">
        <x:v>TINDAK LANJUT</x:v>
      </x:c>
      <x:c r="C13" s="27" t="str">
        <x:v>Rencana tindak lanjut</x:v>
      </x:c>
      <x:c r="D13" s="27" t="str">
        <x:v>Dokumen atau komitmen operasional yang memuat kegiatan, periode, target, dan/atau PIC.</x:v>
      </x:c>
      <x:c r="E13" s="27" t="str">
        <x:v>Rencana aksi; matriks kerja; kalender; notula.</x:v>
      </x:c>
      <x:c r="F13" s="27" t="str">
        <x:v>BELUM TERSEDIA</x:v>
      </x:c>
      <x:c r="G13" s="27" t="str">
        <x:v>Ruang lingkup naskah tersedia, tetapi belum ditemukan rencana aksi atau komitmen operasional yang memuat kegiatan, periode, target, dan PIC.</x:v>
      </x:c>
      <x:c r="H13" s="27" t="str">
        <x:v>Rencana aksi, matriks kerja, kalender, atau notula belum diperoleh.</x:v>
      </x:c>
      <x:c r="I13" s="44"/>
    </x:row>
    <x:row r="14" ht="72" customHeight="1">
      <x:c r="A14" s="43" t="n">
        <x:v>10</x:v>
      </x:c>
      <x:c r="B14" s="27" t="str">
        <x:v>PELAKSANAAN</x:v>
      </x:c>
      <x:c r="C14" s="27" t="str">
        <x:v>Pelaksanaan dan hasil</x:v>
      </x:c>
      <x:c r="D14" s="27" t="str">
        <x:v>Kegiatan aktual, realisasi terhadap target jatuh tempo, serta output yang dihasilkan.</x:v>
      </x:c>
      <x:c r="E14" s="27" t="str">
        <x:v>Laporan; undangan; notula; daftar hadir; data hasil.</x:v>
      </x:c>
      <x:c r="F14" s="27" t="str">
        <x:v>BELUM TERSEDIA</x:v>
      </x:c>
      <x:c r="G14" s="27" t="str">
        <x:v>Berdasarkan keterangan pemeriksa, belum terdapat kegiatan bersama yang dilaksanakan dalam kerangka kerja sama ini.</x:v>
      </x:c>
      <x:c r="H14" s="27" t="str">
        <x:v>Konfirmasi internal pemeriksa/unit terkait; dokumen kegiatan tidak tersedia.</x:v>
      </x:c>
      <x:c r="I14" s="44"/>
    </x:row>
    <x:row r="15" ht="72" customHeight="1">
      <x:c r="A15" s="43" t="n">
        <x:v>11</x:v>
      </x:c>
      <x:c r="B15" s="27" t="str">
        <x:v>EVIDEN</x:v>
      </x:c>
      <x:c r="C15" s="27" t="str">
        <x:v>Eviden implementasi</x:v>
      </x:c>
      <x:c r="D15" s="27" t="str">
        <x:v>Bukti pelaksanaan/output, lokasi penyimpanan, dan tingkat keteraturannya.</x:v>
      </x:c>
      <x:c r="E15" s="27" t="str">
        <x:v>Folder resmi; indeks bukti; dokumen/data kegiatan.</x:v>
      </x:c>
      <x:c r="F15" s="27" t="str">
        <x:v>BELUM TERSEDIA</x:v>
      </x:c>
      <x:c r="G15" s="27" t="str">
        <x:v>Karena belum terdapat kegiatan bersama, belum tersedia eviden implementasi berupa laporan, notula, daftar hadir, atau output kegiatan.</x:v>
      </x:c>
      <x:c r="H15" s="27" t="str">
        <x:v>Konfirmasi internal pemeriksa/unit terkait.</x:v>
      </x:c>
      <x:c r="I15" s="44"/>
    </x:row>
    <x:row r="16" ht="72" customHeight="1">
      <x:c r="A16" s="45" t="n">
        <x:v>12</x:v>
      </x:c>
      <x:c r="B16" s="46" t="str">
        <x:v>HAMBATAN</x:v>
      </x:c>
      <x:c r="C16" s="46" t="str">
        <x:v>Hambatan/gap</x:v>
      </x:c>
      <x:c r="D16" s="46" t="str">
        <x:v>Kendala faktual atau kekosongan data yang memengaruhi implementasi dan sudah dikonfirmasi.</x:v>
      </x:c>
      <x:c r="E16" s="46" t="str">
        <x:v>Konfirmasi unit/PIC/mitra; notula; laporan; bukti keterlambatan.</x:v>
      </x:c>
      <x:c r="F16" s="46" t="str">
        <x:v>BELUM TERSEDIA</x:v>
      </x:c>
      <x:c r="G16" s="46" t="str">
        <x:v>Belum terdapat kegiatan bersama. Hambatan pelaksanaan yang spesifik belum diidentifikasi; kondisi utama saat ini adalah kerja sama belum diturunkan ke pelaksanaan operasional.</x:v>
      </x:c>
      <x:c r="H16" s="46" t="str">
        <x:v>Konfirmasi internal pemeriksa/unit terkait.</x:v>
      </x:c>
      <x:c r="I16" s="47"/>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375" customWidth="1"/>
    <x:col min="2" max="2" width="34" customWidth="1"/>
    <x:col min="3" max="3" width="22" customWidth="1"/>
    <x:col min="4" max="4" width="48" customWidth="1"/>
    <x:col min="5" max="5" width="18" customWidth="1"/>
    <x:col min="6" max="6" width="42" customWidth="1"/>
  </x:cols>
  <x:sheetData>
    <x:row r="1" ht="18">
      <x:c r="A1" s="721" t="str">
        <x:v>SUMBER DATA PASCA-BASELINE — P04 Badan Perencanaan Pembangunan, Riset, dan Inovasi Daerah Kabupaten Bintan</x:v>
      </x:c>
      <x:c r="B1" s="722"/>
      <x:c r="C1" s="722"/>
      <x:c r="D1" s="722"/>
      <x:c r="E1" s="722"/>
      <x:c r="F1" s="723"/>
    </x:row>
    <x:row r="2">
      <x:c r="A2" s="724" t="str">
        <x:v>Penilaian s.d. 27 September 2026 menggunakan data internal P04 dan baperida.xlsx sebagai evidence tambahan.</x:v>
      </x:c>
      <x:c r="B2" s="725"/>
      <x:c r="C2" s="725"/>
      <x:c r="D2" s="725"/>
      <x:c r="E2" s="725"/>
      <x:c r="F2" s="726"/>
    </x:row>
    <x:row r="3">
      <x:c r="A3" s="610"/>
      <x:c r="B3" s="395"/>
      <x:c r="C3" s="395"/>
      <x:c r="D3" s="395"/>
      <x:c r="E3" s="395"/>
      <x:c r="F3" s="611"/>
    </x:row>
    <x:row r="4" ht="30">
      <x:c r="A4" s="608" t="str">
        <x:v>No</x:v>
      </x:c>
      <x:c r="B4" s="600" t="str">
        <x:v>Sumber</x:v>
      </x:c>
      <x:c r="C4" s="600" t="str">
        <x:v>Jenis Data</x:v>
      </x:c>
      <x:c r="D4" s="600" t="str">
        <x:v>Fakta Kunci</x:v>
      </x:c>
      <x:c r="E4" s="600" t="str">
        <x:v>Indikator Scorecard</x:v>
      </x:c>
      <x:c r="F4" s="609" t="str">
        <x:v>Catatan Rekonsiliasi</x:v>
      </x:c>
    </x:row>
    <x:row r="5" ht="42.75">
      <x:c r="A5" s="610" t="n">
        <x:v>1</x:v>
      </x:c>
      <x:c r="B5" s="395" t="str">
        <x:v>baperida.xlsx — IDENTITAS &amp; PIC</x:v>
      </x:c>
      <x:c r="C5" s="395" t="str">
        <x:v>Mitra</x:v>
      </x:c>
      <x:c r="D5" s="405" t="str">
        <x:v>PIC utama Diana Martin dan PIC cadangan Susila Candra; keduanya hadir dalam forum penguatan.</x:v>
      </x:c>
      <x:c r="E5" s="405" t="str">
        <x:v>I1,I7</x:v>
      </x:c>
      <x:c r="F5" s="464" t="str">
        <x:v>Konfirmasi PIC mitra kuat.</x:v>
      </x:c>
    </x:row>
    <x:row r="6" ht="42.75">
      <x:c r="A6" s="610" t="n">
        <x:v>2</x:v>
      </x:c>
      <x:c r="B6" s="395" t="str">
        <x:v>baperida.xlsx — PELAKSANAAN KEGIATAN</x:v>
      </x:c>
      <x:c r="C6" s="395" t="str">
        <x:v>Mitra</x:v>
      </x:c>
      <x:c r="D6" s="405" t="str">
        <x:v>2 kegiatan sudah dilaksanakan dan memiliki tautan bukti: koordinasi kelitbangan dan data HAKI terdaftar untuk IGA.</x:v>
      </x:c>
      <x:c r="E6" s="405" t="str">
        <x:v>I2,I3,I4,I6</x:v>
      </x:c>
      <x:c r="F6" s="464" t="str">
        <x:v>Dipakai sebagai evidence implementasi awal.</x:v>
      </x:c>
    </x:row>
    <x:row r="7" ht="42.75">
      <x:c r="A7" s="610" t="n">
        <x:v>3</x:v>
      </x:c>
      <x:c r="B7" s="395" t="str">
        <x:v>baperida.xlsx — USULAN TINDAK LANJUT</x:v>
      </x:c>
      <x:c r="C7" s="395" t="str">
        <x:v>Mitra</x:v>
      </x:c>
      <x:c r="D7" s="405" t="str">
        <x:v>3 usulan: sosialisasi HAKI, konsultasi produk hukum, fasilitasi pendaftaran KI.</x:v>
      </x:c>
      <x:c r="E7" s="405" t="str">
        <x:v>I1,I2,I7</x:v>
      </x:c>
      <x:c r="F7" s="464" t="str">
        <x:v>Target baru lengkap pada usulan pertama.</x:v>
      </x:c>
    </x:row>
    <x:row r="8" ht="42.75">
      <x:c r="A8" s="610" t="n">
        <x:v>4</x:v>
      </x:c>
      <x:c r="B8" s="395" t="str">
        <x:v>P04_BAPPERIDA_BINTAN_Data_per_Stakeholder.xlsx</x:v>
      </x:c>
      <x:c r="C8" s="395" t="str">
        <x:v>Internal</x:v>
      </x:c>
      <x:c r="D8" s="405" t="str">
        <x:v>Lima matriks ruang lingkup masih berstatus BELUM DIPEROLEH.</x:v>
      </x:c>
      <x:c r="E8" s="405" t="str">
        <x:v>I2,I3,I6,I7</x:v>
      </x:c>
      <x:c r="F8" s="464" t="str">
        <x:v>Perlu sinkronisasi internal dengan data mitra terbaru.</x:v>
      </x:c>
    </x:row>
    <x:row r="9" ht="42.75">
      <x:c r="A9" s="610" t="n">
        <x:v>5</x:v>
      </x:c>
      <x:c r="B9" s="395" t="str">
        <x:v>FINAL BASELINE P04</x:v>
      </x:c>
      <x:c r="C9" s="395" t="str">
        <x:v>Baseline</x:v>
      </x:c>
      <x:c r="D9" s="405" t="str">
        <x:v>Arsip/P2MA terverifikasi; PIC internal/mitra dan pelaksanaan belum tersedia pada cut-off.</x:v>
      </x:c>
      <x:c r="E9" s="405" t="str">
        <x:v>I1,I6,I7</x:v>
      </x:c>
      <x:c r="F9" s="464" t="str">
        <x:v>Menjadi titik awal perubahan.</x:v>
      </x:c>
    </x:row>
    <x:row r="10" ht="42.75">
      <x:c r="A10" s="610"/>
      <x:c r="B10" s="395"/>
      <x:c r="C10" s="395"/>
      <x:c r="D10" s="405"/>
      <x:c r="E10" s="405"/>
      <x:c r="F10" s="464"/>
    </x:row>
    <x:row r="11" ht="28.5">
      <x:c r="A11" s="610" t="str">
        <x:v>Catatan Kematangan</x:v>
      </x:c>
      <x:c r="B11" s="395" t="str">
        <x:v>PKS berlaku sejak 30 Juni 2026</x:v>
      </x:c>
      <x:c r="C11" s="395" t="str">
        <x:v>Usia saat penilaian 89 hari (&lt;6 bulan)</x:v>
      </x:c>
      <x:c r="D11" s="405" t="str">
        <x:v>I4 Outcome dan I5 Kontribusi/Dampak = BELUM DAPAT DINILAI</x:v>
      </x:c>
      <x:c r="E11" s="405" t="str">
        <x:v>Status Scorecard = MASA IMPLEMENTASI AWAL</x:v>
      </x:c>
      <x:c r="F11" s="464" t="str">
        <x:v>Indikator tata kelola, implementasi, output, evidence, dan risiko tetap dinilai; indikator hasil yang belum matang tidak dipaksa diberi skor.</x:v>
      </x:c>
    </x:row>
    <x:row r="12" ht="28.5">
      <x:c r="A12" s="612"/>
      <x:c r="B12" s="396"/>
      <x:c r="C12" s="396"/>
      <x:c r="D12" s="406"/>
      <x:c r="E12" s="406"/>
      <x:c r="F12" s="467"/>
    </x:row>
    <x:row r="13">
      <x:c r="A13" s="395"/>
      <x:c r="B13" s="395"/>
      <x:c r="C13" s="395"/>
      <x:c r="D13" s="405"/>
      <x:c r="E13" s="405"/>
      <x:c r="F13" s="405"/>
    </x:row>
    <x:row r="14" s="83" customFormat="1" ht="51">
      <x:c r="A14" s="633"/>
      <x:c r="B14" s="633"/>
      <x:c r="C14" s="633"/>
      <x:c r="D14" s="633"/>
      <x:c r="E14" s="633"/>
      <x:c r="F14" s="633"/>
    </x:row>
    <x:row r="15">
      <x:c r="A15" s="395"/>
      <x:c r="B15" s="395"/>
      <x:c r="C15" s="395"/>
      <x:c r="D15" s="405"/>
      <x:c r="E15" s="405"/>
      <x:c r="F15" s="405"/>
    </x:row>
    <x:row r="16">
      <x:c r="A16" s="395"/>
      <x:c r="B16" s="395"/>
      <x:c r="C16" s="395"/>
      <x:c r="D16" s="405"/>
      <x:c r="E16" s="405"/>
      <x:c r="F16" s="405"/>
    </x:row>
    <x:row r="17">
      <x:c r="A17" s="395"/>
      <x:c r="B17" s="395"/>
      <x:c r="C17" s="395"/>
      <x:c r="D17" s="405"/>
      <x:c r="E17" s="405"/>
      <x:c r="F17" s="405"/>
    </x:row>
    <x:row r="18">
      <x:c r="A18" s="395"/>
      <x:c r="B18" s="395"/>
      <x:c r="C18" s="395"/>
      <x:c r="D18" s="405"/>
      <x:c r="E18" s="405"/>
      <x:c r="F18" s="405"/>
    </x:row>
    <x:row r="19">
      <x:c r="A19" s="395"/>
      <x:c r="B19" s="395"/>
      <x:c r="C19" s="395"/>
      <x:c r="D19" s="405"/>
      <x:c r="E19" s="405"/>
      <x:c r="F19" s="405"/>
    </x:row>
    <x:row r="20">
      <x:c r="A20" s="395"/>
      <x:c r="B20" s="395"/>
      <x:c r="C20" s="395"/>
      <x:c r="D20" s="405"/>
      <x:c r="E20" s="405"/>
      <x:c r="F20" s="405"/>
    </x:row>
    <x:row r="21">
      <x:c r="A21" s="395"/>
      <x:c r="B21" s="395"/>
      <x:c r="C21" s="395"/>
      <x:c r="D21" s="405"/>
      <x:c r="E21" s="405"/>
      <x:c r="F21" s="405"/>
    </x:row>
    <x:row r="22">
      <x:c r="A22" s="395"/>
      <x:c r="B22" s="395"/>
      <x:c r="C22" s="395"/>
      <x:c r="D22" s="405"/>
      <x:c r="E22" s="405"/>
      <x:c r="F22" s="405"/>
    </x:row>
    <x:row r="23">
      <x:c r="A23" s="395"/>
      <x:c r="B23" s="395"/>
      <x:c r="C23" s="395"/>
      <x:c r="D23" s="405"/>
      <x:c r="E23" s="405"/>
      <x:c r="F23" s="405"/>
    </x:row>
    <x:row r="24">
      <x:c r="A24" s="395"/>
      <x:c r="B24" s="395"/>
      <x:c r="C24" s="395"/>
      <x:c r="D24" s="405"/>
      <x:c r="E24" s="405"/>
      <x:c r="F24" s="405"/>
    </x:row>
    <x:row r="25">
      <x:c r="A25" s="395"/>
      <x:c r="B25" s="395"/>
      <x:c r="C25" s="395"/>
      <x:c r="D25" s="405"/>
      <x:c r="E25" s="405"/>
      <x:c r="F25" s="405"/>
    </x:row>
    <x:row r="26">
      <x:c r="A26" s="395"/>
      <x:c r="B26" s="395"/>
      <x:c r="C26" s="395"/>
      <x:c r="D26" s="405"/>
      <x:c r="E26" s="405"/>
      <x:c r="F26" s="405"/>
    </x:row>
    <x:row r="27">
      <x:c r="A27" s="395"/>
      <x:c r="B27" s="395"/>
      <x:c r="C27" s="395"/>
      <x:c r="D27" s="405"/>
      <x:c r="E27" s="405"/>
      <x:c r="F27" s="405"/>
    </x:row>
    <x:row r="28">
      <x:c r="A28" s="395"/>
      <x:c r="B28" s="395"/>
      <x:c r="C28" s="395"/>
      <x:c r="D28" s="405"/>
      <x:c r="E28" s="405"/>
      <x:c r="F28" s="405"/>
    </x:row>
    <x:row r="29">
      <x:c r="A29" s="395"/>
      <x:c r="B29" s="395"/>
      <x:c r="C29" s="395"/>
      <x:c r="D29" s="405"/>
      <x:c r="E29" s="405"/>
      <x:c r="F29" s="405"/>
    </x:row>
    <x:row r="30">
      <x:c r="A30" s="395"/>
      <x:c r="B30" s="395"/>
      <x:c r="C30" s="395"/>
      <x:c r="D30" s="405"/>
      <x:c r="E30" s="405"/>
      <x:c r="F30" s="405"/>
    </x:row>
    <x:row r="31">
      <x:c r="A31" s="395"/>
      <x:c r="B31" s="395"/>
      <x:c r="C31" s="395"/>
      <x:c r="D31" s="405"/>
      <x:c r="E31" s="405"/>
      <x:c r="F31" s="405"/>
    </x:row>
    <x:row r="32">
      <x:c r="A32" s="395"/>
      <x:c r="B32" s="395"/>
      <x:c r="C32" s="395"/>
      <x:c r="D32" s="405"/>
      <x:c r="E32" s="405"/>
      <x:c r="F32" s="405"/>
    </x:row>
    <x:row r="33">
      <x:c r="A33" s="395"/>
      <x:c r="B33" s="395"/>
      <x:c r="C33" s="395"/>
      <x:c r="D33" s="405"/>
      <x:c r="E33" s="405"/>
      <x:c r="F33" s="405"/>
    </x:row>
    <x:row r="34">
      <x:c r="A34" s="395"/>
      <x:c r="B34" s="395"/>
      <x:c r="C34" s="395"/>
      <x:c r="D34" s="405"/>
      <x:c r="E34" s="405"/>
      <x:c r="F34" s="405"/>
    </x:row>
    <x:row r="35">
      <x:c r="A35" s="395"/>
      <x:c r="B35" s="395"/>
      <x:c r="C35" s="395"/>
      <x:c r="D35" s="405"/>
      <x:c r="E35" s="405"/>
      <x:c r="F35" s="405"/>
    </x:row>
    <x:row r="36">
      <x:c r="A36" s="395"/>
      <x:c r="B36" s="395"/>
      <x:c r="C36" s="395"/>
      <x:c r="D36" s="405"/>
      <x:c r="E36" s="405"/>
      <x:c r="F36" s="405"/>
    </x:row>
    <x:row r="37">
      <x:c r="A37" s="395"/>
      <x:c r="B37" s="395"/>
      <x:c r="C37" s="395"/>
      <x:c r="D37" s="405"/>
      <x:c r="E37" s="405"/>
      <x:c r="F37" s="405"/>
    </x:row>
    <x:row r="38">
      <x:c r="A38" s="395"/>
      <x:c r="B38" s="395"/>
      <x:c r="C38" s="395"/>
      <x:c r="D38" s="405"/>
      <x:c r="E38" s="405"/>
      <x:c r="F38" s="405"/>
    </x:row>
    <x:row r="39">
      <x:c r="A39" s="395"/>
      <x:c r="B39" s="395"/>
      <x:c r="C39" s="395"/>
      <x:c r="D39" s="405"/>
      <x:c r="E39" s="405"/>
      <x:c r="F39" s="405"/>
    </x:row>
    <x:row r="40">
      <x:c r="A40" s="395"/>
      <x:c r="B40" s="395"/>
      <x:c r="C40" s="395"/>
      <x:c r="D40" s="405"/>
      <x:c r="E40" s="405"/>
      <x:c r="F40" s="405"/>
    </x:row>
  </x:sheetData>
  <x:pageMargins left="0.7" right="0.7" top="0.75" bottom="0.75" header="0.3" footer="0.3"/>
</x:worksheet>
</file>