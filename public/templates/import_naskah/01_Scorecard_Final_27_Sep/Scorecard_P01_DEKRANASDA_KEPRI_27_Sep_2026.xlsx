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a2ee854e6c4e90" /></Relationships>
</file>

<file path=xl/workbook.xml><?xml version="1.0" encoding="utf-8"?>
<x:workbook xmlns:x="http://schemas.openxmlformats.org/spreadsheetml/2006/main">
  <x:sheets>
    <x:sheet xmlns:r="http://schemas.openxmlformats.org/officeDocument/2006/relationships" name="PENILAIAN" sheetId="1" r:id="Rf944e49d796c4b19"/>
    <x:sheet xmlns:r="http://schemas.openxmlformats.org/officeDocument/2006/relationships" name="KENDALI" sheetId="2" r:id="Ra4fd92f9ec84496b"/>
    <x:sheet xmlns:r="http://schemas.openxmlformats.org/officeDocument/2006/relationships" name="REKOMENDASI" sheetId="3" r:id="R7d91433811f84b71"/>
    <x:sheet xmlns:r="http://schemas.openxmlformats.org/officeDocument/2006/relationships" name="RUBRIK" sheetId="4" r:id="R0f93a233025a4a05"/>
    <x:sheet xmlns:r="http://schemas.openxmlformats.org/officeDocument/2006/relationships" name="PANDUAN" sheetId="5" r:id="R37bcda3f59384577"/>
    <x:sheet xmlns:r="http://schemas.openxmlformats.org/officeDocument/2006/relationships" name="CONTOH" sheetId="6" r:id="R64d70bbb2bee49ee"/>
    <x:sheet xmlns:r="http://schemas.openxmlformats.org/officeDocument/2006/relationships" name="SUMBER_BASELINE" sheetId="7" r:id="R9af4308b56554739"/>
    <x:sheet xmlns:r="http://schemas.openxmlformats.org/officeDocument/2006/relationships" name="SUMBER_AKTUAL" sheetId="8" r:id="R7edecf93345242cd"/>
  </x:sheets>
</x:workbook>
</file>

<file path=xl/sharedStrings.xml><?xml version="1.0" encoding="utf-8"?>
<x:sst xmlns:x="http://schemas.openxmlformats.org/spreadsheetml/2006/main">
  <x:si>
    <x:t xml:space="preserve">1. PENILAIAN SCORECARD MITRA KINERJA</x:t>
  </x:si>
  <x:si>
    <x:t xml:space="preserve">Tujuan: menilai fakta pelaksanaan dan hasil kerja sama. PIC/unit teknis menyampaikan fakta &amp; evidence; Reviewer/Pengelola memberi status dan skor.</x:t>
  </x:si>
  <x:si>
    <x:t xml:space="preserve">Legenda</x:t>
  </x:si>
  <x:si>
    <x:t xml:space="preserve">BIRU = hasil otomatis / ringkasan</x:t>
  </x:si>
  <x:si>
    <x:t xml:space="preserve">A. IDENTITAS KERJA SAMA</x:t>
  </x:si>
  <x:si>
    <x:t xml:space="preserve">Nama Mitra</x:t>
  </x:si>
  <x:si>
    <x:t xml:space="preserve">Nomor/Tanggal Naskah</x:t>
  </x:si>
  <x:si>
    <x:t xml:space="preserve">Ruang Lingkup</x:t>
  </x:si>
  <x:si>
    <x:t xml:space="preserve">Periode Penilaian</x:t>
  </x:si>
  <x:si>
    <x:t xml:space="preserve">Reviewer/Pengelola</x:t>
  </x:si>
  <x:si>
    <x:t xml:space="preserve">Tanggal Penilaian</x:t>
  </x:si>
  <x:si>
    <x:t xml:space="preserve">PIC/Focal Point</x:t>
  </x:si>
  <x:si>
    <x:t xml:space="preserve">Masa Berlaku</x:t>
  </x:si>
  <x:si>
    <x:t xml:space="preserve">B. PENILAIAN I1–I7</x:t>
  </x:si>
  <x:si>
    <x:t xml:space="preserve">Indikator</x:t>
  </x:si>
  <x:si>
    <x:t xml:space="preserve">Bobot</x:t>
  </x:si>
  <x:si>
    <x:t xml:space="preserve">Apa yang Dinilai</x:t>
  </x:si>
  <x:si>
    <x:t xml:space="preserve">Kondisi Baseline</x:t>
  </x:si>
  <x:si>
    <x:t xml:space="preserve">Kondisi Saat Ini</x:t>
  </x:si>
  <x:si>
    <x:t xml:space="preserve">Status Penilaian</x:t>
  </x:si>
  <x:si>
    <x:t xml:space="preserve">Evidence / Lokasi Bukti</x:t>
  </x:si>
  <x:si>
    <x:t xml:space="preserve">Skor 0–4</x:t>
  </x:si>
  <x:si>
    <x:t xml:space="preserve">Nilai Bobot</x:t>
  </x:si>
  <x:si>
    <x:t xml:space="preserve">Alasan Skor / Temuan</x:t>
  </x:si>
  <x:si>
    <x:t xml:space="preserve">Catatan Tindak Lanjut</x:t>
  </x:si>
  <x:si>
    <x:t xml:space="preserve">I1. Kejelasan Pengelolaan &amp; Rencana Tindak Lanjut</x:t>
  </x:si>
  <x:si>
    <x:t xml:space="preserve">Apakah pelaksanaan kerja sama telah memiliki penanggung jawab yang jelas, rencana tindak lanjut yang dapat dilaksanakan, dan mekanisme koordinasi untuk memastikan tindak lanjut tersebut berjalan?</x:t>
  </x:si>
  <x:si>
    <x:t xml:space="preserve">I2. Implementasi / Tindak Lanjut</x:t>
  </x:si>
  <x:si>
    <x:t xml:space="preserve">Apakah kerja sama telah ditindaklanjuti melalui kegiatan atau langkah implementasi yang relevan dan dapat dibuktikan?</x:t>
  </x:si>
  <x:si>
    <x:t xml:space="preserve">I3. Output</x:t>
  </x:si>
  <x:si>
    <x:t xml:space="preserve">Apakah implementasi menghasilkan hasil langsung/produk yang seharusnya dicapai?</x:t>
  </x:si>
  <x:si>
    <x:t xml:space="preserve">I4. Outcome</x:t>
  </x:si>
  <x:si>
    <x:t xml:space="preserve">Apakah output menghasilkan perubahan atau manfaat bagi sasaran, proses, layanan, atau organisasi?</x:t>
  </x:si>
  <x:si>
    <x:t xml:space="preserve">I5. Kontribusi / Dampak</x:t>
  </x:si>
  <x:si>
    <x:t xml:space="preserve">Apakah hasil kerja sama memberikan kontribusi yang dapat dijelaskan terhadap kinerja organisasi dan/atau pelayanan hukum?</x:t>
  </x:si>
  <x:si>
    <x:t xml:space="preserve">I6. Evidence &amp; Data</x:t>
  </x:si>
  <x:si>
    <x:t xml:space="preserve">Apakah kondisi, pelaksanaan, dan hasil kerja sama didukung data/evidence yang dapat dipercaya dan ditelusuri?</x:t>
  </x:si>
  <x:si>
    <x:t xml:space="preserve">I7. Risiko &amp; Keberlanjutan</x:t>
  </x:si>
  <x:si>
    <x:t xml:space="preserve">Apakah risiko pelaksanaan dikendalikan dan terdapat kondisi yang mendukung keberlanjutan manfaat kerja sama?</x:t>
  </x:si>
  <x:si>
    <x:t xml:space="preserve">C. RINGKASAN OTOMATIS PENILAIAN</x:t>
  </x:si>
  <x:si>
    <x:t xml:space="preserve">Jumlah indikator dapat dinilai</x:t>
  </x:si>
  <x:si>
    <x:t xml:space="preserve">Panduan cepat untuk pengguna baru</x:t>
  </x:si>
  <x:si>
    <x:t xml:space="preserve">Jumlah BDN</x:t>
  </x:si>
  <x:si>
    <x:t xml:space="preserve">1</x:t>
  </x:si>
  <x:si>
    <x:t xml:space="preserve">Isi Baseline dan Kondisi Saat Ini berdasarkan fakta, bukan asumsi.</x:t>
  </x:si>
  <x:si>
    <x:t xml:space="preserve">Bukti belum memadai</x:t>
  </x:si>
  <x:si>
    <x:t xml:space="preserve">2</x:t>
  </x:si>
  <x:si>
    <x:t xml:space="preserve">Tentukan Status Penilaian sebelum memberi skor.</x:t>
  </x:si>
  <x:si>
    <x:t xml:space="preserve">Bobot yang dapat dinilai</x:t>
  </x:si>
  <x:si>
    <x:t xml:space="preserve">3</x:t>
  </x:si>
  <x:si>
    <x:t xml:space="preserve">Skor 0 hanya jika sudah dapat dinilai dan faktanya tidak terpenuhi.</x:t>
  </x:si>
  <x:si>
    <x:t xml:space="preserve">Nilai final</x:t>
  </x:si>
  <x:si>
    <x:t xml:space="preserve">4</x:t>
  </x:si>
  <x:si>
    <x:t xml:space="preserve">Jika evidence belum cukup, pilih BUKTI BELUM MEMADAI — jangan beri skor.</x:t>
  </x:si>
  <x:si>
    <x:t xml:space="preserve">Status Scorecard</x:t>
  </x:si>
  <x:si>
    <x:t xml:space="preserve">5</x:t>
  </x:si>
  <x:si>
    <x:t xml:space="preserve">Jika secara objektif belum waktunya hasil muncul, pilih BELUM DAPAT DINILAI.</x:t>
  </x:si>
  <x:si>
    <x:t xml:space="preserve">Kategori</x:t>
  </x:si>
  <x:si>
    <x:t xml:space="preserve">2. KENDALI MANAJERIAL</x:t>
  </x:si>
  <x:si>
    <x:t xml:space="preserve">Tujuan: membaca posisi kerja sama, peringatan dini, dan kebutuhan intervensi. Sheet ini tidak mengubah skor I1–I7.</x:t>
  </x:si>
  <x:si>
    <x:t xml:space="preserve">A. RINGKASAN DARI PENILAIAN</x:t>
  </x:si>
  <x:si>
    <x:t xml:space="preserve">B. POSISI PORTOFOLIO</x:t>
  </x:si>
  <x:si>
    <x:t xml:space="preserve">Posisi Portofolio</x:t>
  </x:si>
  <x:si>
    <x:t xml:space="preserve">Nilai Final</x:t>
  </x:si>
  <x:si>
    <x:t xml:space="preserve">Dasar Penetapan</x:t>
  </x:si>
  <x:si>
    <x:t xml:space="preserve">Indikator Dapat Dinilai</x:t>
  </x:si>
  <x:si>
    <x:t xml:space="preserve">BDN</x:t>
  </x:si>
  <x:si>
    <x:t xml:space="preserve">Bukti Belum Memadai</x:t>
  </x:si>
  <x:si>
    <x:t xml:space="preserve">Bobot Dinilai</x:t>
  </x:si>
  <x:si>
    <x:t xml:space="preserve">C. EARLY WARNING — TERPISAH DARI NILAI SCORECARD</x:t>
  </x:si>
  <x:si>
    <x:t xml:space="preserve">Area Kontrol</x:t>
  </x:si>
  <x:si>
    <x:t xml:space="preserve">Status</x:t>
  </x:si>
  <x:si>
    <x:t xml:space="preserve">Fakta / Bukti Singkat</x:t>
  </x:si>
  <x:si>
    <x:t xml:space="preserve">Tindakan</x:t>
  </x:si>
  <x:si>
    <x:t xml:space="preserve">Penanggung Jawab</x:t>
  </x:si>
  <x:si>
    <x:t xml:space="preserve">Target</x:t>
  </x:si>
  <x:si>
    <x:t xml:space="preserve">Progres</x:t>
  </x:si>
  <x:si>
    <x:t xml:space="preserve">Ringkasan Early Warning</x:t>
  </x:si>
  <x:si>
    <x:t xml:space="preserve">Warning Tertinggi</x:t>
  </x:si>
  <x:si>
    <x:t xml:space="preserve">Status Penanganan</x:t>
  </x:si>
  <x:si>
    <x:t xml:space="preserve">DALAM TINDAK LANJUT</x:t>
  </x:si>
  <x:si>
    <x:t xml:space="preserve">Catatan</x:t>
  </x:si>
  <x:si>
    <x:t xml:space="preserve">D. UJI KEBUTUHAN INTERVENSI PIMPINAN</x:t>
  </x:si>
  <x:si>
    <x:t xml:space="preserve">Perlu Intervensi Pimpinan?</x:t>
  </x:si>
  <x:si>
    <x:t xml:space="preserve">Panduan</x:t>
  </x:si>
  <x:si>
    <x:t xml:space="preserve">Intervensi hanya dipakai bila isu/keputusan tidak dapat diselesaikan pada level pengelola/unit pelaksana atau memang membutuhkan kewenangan/arahan pimpinan.</x:t>
  </x:si>
  <x:si>
    <x:t xml:space="preserve">Alasan Utama</x:t>
  </x:si>
  <x:si>
    <x:t xml:space="preserve">Uraian Singkat</x:t>
  </x:si>
  <x:si>
    <x:t xml:space="preserve">3. REKOMENDASI &amp; KEPUTUSAN</x:t>
  </x:si>
  <x:si>
    <x:t xml:space="preserve">Tujuan: merangkum hasil penilaian dan kendali menjadi rekomendasi yang dapat ditindaklanjuti serta keputusan/arahan sesuai kewenangan.</x:t>
  </x:si>
  <x:si>
    <x:t xml:space="preserve">A. RINGKASAN HASIL</x:t>
  </x:si>
  <x:si>
    <x:t xml:space="preserve">B. VALIDASI</x:t>
  </x:si>
  <x:si>
    <x:t xml:space="preserve">Status Validasi</x:t>
  </x:si>
  <x:si>
    <x:t xml:space="preserve">Validator</x:t>
  </x:si>
  <x:si>
    <x:t xml:space="preserve">Tanggal Validasi</x:t>
  </x:si>
  <x:si>
    <x:t xml:space="preserve">Catatan Validasi</x:t>
  </x:si>
  <x:si>
    <x:t xml:space="preserve">Intervensi Pimpinan</x:t>
  </x:si>
  <x:si>
    <x:t xml:space="preserve">C. REKOMENDASI TINDAK LANJUT</x:t>
  </x:si>
  <x:si>
    <x:t xml:space="preserve">Temuan Utama</x:t>
  </x:si>
  <x:si>
    <x:t xml:space="preserve">Rekomendasi bukan keputusan otomatis dari nilai. Gunakan nilai, posisi portofolio, warning, validasi, dan konteks substansi secara bersama.</x:t>
  </x:si>
  <x:si>
    <x:t xml:space="preserve">Rekomendasi</x:t>
  </x:si>
  <x:si>
    <x:t xml:space="preserve">Tindak Lanjut</x:t>
  </x:si>
  <x:si>
    <x:t xml:space="preserve">Target Waktu</x:t>
  </x:si>
  <x:si>
    <x:t xml:space="preserve">D. KEPUTUSAN / ARAHAN PIMPINAN</x:t>
  </x:si>
  <x:si>
    <x:t xml:space="preserve">Status Keputusan</x:t>
  </x:si>
  <x:si>
    <x:t xml:space="preserve">Pejabat Berwenang</x:t>
  </x:si>
  <x:si>
    <x:t xml:space="preserve">Tanggal Keputusan</x:t>
  </x:si>
  <x:si>
    <x:t xml:space="preserve">Keputusan / Arahan</x:t>
  </x:si>
  <x:si>
    <x:t xml:space="preserve">Review Berikutnya</x:t>
  </x:si>
  <x:si>
    <x:t xml:space="preserve">RUBRIK PENILAIAN I1–I7</x:t>
  </x:si>
  <x:si>
    <x:t xml:space="preserve">Gunakan setelah Status Penilaian = DAPAT DINILAI. Kolom 'Yang Dicek' membantu pengguna baru memahami indikator secara praktis.</x:t>
  </x:si>
  <x:si>
    <x:t xml:space="preserve">Yang Dicek</x:t>
  </x:si>
  <x:si>
    <x:t xml:space="preserve">Skor 0</x:t>
  </x:si>
  <x:si>
    <x:t xml:space="preserve">Skor 1</x:t>
  </x:si>
  <x:si>
    <x:t xml:space="preserve">Skor 2</x:t>
  </x:si>
  <x:si>
    <x:t xml:space="preserve">Skor 3</x:t>
  </x:si>
  <x:si>
    <x:t xml:space="preserve">Skor 4</x:t>
  </x:si>
  <x:si>
    <x:t xml:space="preserve">1) Penanggung jawab jelas; 2) ada rencana tindak lanjut yang realistis; 3) ada cara koordinasi untuk memastikan tindak lanjut berjalan.</x:t>
  </x:si>
  <x:si>
    <x:t xml:space="preserve">Setelah diverifikasi, penanggung jawab dan tindak lanjut belum dapat ditentukan.</x:t>
  </x:si>
  <x:si>
    <x:t xml:space="preserve">Penanggung jawab mulai diketahui, tetapi pembagian peran/tindak lanjut belum jelas.</x:t>
  </x:si>
  <x:si>
    <x:t xml:space="preserve">Penanggung jawab dan sebagian tindak lanjut sudah jelas, tetapi koordinasi atau kesiapan pelaksanaan belum konsisten.</x:t>
  </x:si>
  <x:si>
    <x:t xml:space="preserve">Penanggung jawab, rencana tindak lanjut, dan koordinasi jelas serta berjalan sesuai kebutuhan.</x:t>
  </x:si>
  <x:si>
    <x:t xml:space="preserve">Pengelolaan berjalan konsisten, adaptif terhadap perubahan, dan mampu menjaga kesinambungan pelaksanaan.</x:t>
  </x:si>
  <x:si>
    <x:t xml:space="preserve">Tidak mensyaratkan struktur PIC yang sama untuk semua kerja sama.</x:t>
  </x:si>
  <x:si>
    <x:t xml:space="preserve">Apakah ada kegiatan/langkah nyata setelah penandatanganan atau pada periode penilaian?</x:t>
  </x:si>
  <x:si>
    <x:t xml:space="preserve">Setelah cukup waktu dan diverifikasi, tidak terdapat tindak lanjut.</x:t>
  </x:si>
  <x:si>
    <x:t xml:space="preserve">Ada tindak lanjut sangat terbatas atau insidental.</x:t>
  </x:si>
  <x:si>
    <x:t xml:space="preserve">Sebagian tindak lanjut dilaksanakan, tetapi masih terdapat gap berarti.</x:t>
  </x:si>
  <x:si>
    <x:t xml:space="preserve">Tindak lanjut utama terlaksana dan berjalan cukup konsisten.</x:t>
  </x:si>
  <x:si>
    <x:t xml:space="preserve">Implementasi berjalan konsisten, terarah, dan tindak lanjut utama dikendalikan sampai selesai.</x:t>
  </x:si>
  <x:si>
    <x:t xml:space="preserve">Apakah kegiatan menghasilkan produk/hasil langsung yang seharusnya dicapai?</x:t>
  </x:si>
  <x:si>
    <x:t xml:space="preserve">Output sudah seharusnya ada tetapi tidak dihasilkan.</x:t>
  </x:si>
  <x:si>
    <x:t xml:space="preserve">Output sangat terbatas.</x:t>
  </x:si>
  <x:si>
    <x:t xml:space="preserve">Sebagian output tercapai.</x:t>
  </x:si>
  <x:si>
    <x:t xml:space="preserve">Sebagian besar output utama tercapai dan dapat dibuktikan.</x:t>
  </x:si>
  <x:si>
    <x:t xml:space="preserve">Output utama tercapai lengkap/konsisten dan kualitas/cakupannya kuat.</x:t>
  </x:si>
  <x:si>
    <x:t xml:space="preserve">Apakah output mulai memberi perubahan/manfaat kepada sasaran, proses, layanan, atau organisasi?</x:t>
  </x:si>
  <x:si>
    <x:t xml:space="preserve">Sudah cukup waktu untuk menilai tetapi tidak ditemukan manfaat/perubahan.</x:t>
  </x:si>
  <x:si>
    <x:t xml:space="preserve">Manfaat awal sangat terbatas.</x:t>
  </x:si>
  <x:si>
    <x:t xml:space="preserve">Manfaat terlihat pada sebagian sasaran.</x:t>
  </x:si>
  <x:si>
    <x:t xml:space="preserve">Outcome utama dapat ditunjukkan dengan cukup jelas dan terukur.</x:t>
  </x:si>
  <x:si>
    <x:t xml:space="preserve">Outcome kuat, konsisten, terukur, dan terlihat pada sasaran yang relevan.</x:t>
  </x:si>
  <x:si>
    <x:t xml:space="preserve">Jika belum cukup waktu, gunakan BDN, bukan skor 0.</x:t>
  </x:si>
  <x:si>
    <x:t xml:space="preserve">Apakah hasil kerja sama berkontribusi terhadap sasaran kinerja organisasi dan/atau pelayanan hukum?</x:t>
  </x:si>
  <x:si>
    <x:t xml:space="preserve">Sudah layak dinilai tetapi tidak ditemukan kontribusi yang dapat dibuktikan.</x:t>
  </x:si>
  <x:si>
    <x:t xml:space="preserve">Hubungan dengan kinerja/pelayanan sangat terbatas.</x:t>
  </x:si>
  <x:si>
    <x:t xml:space="preserve">Ada kontribusi yang dapat dijelaskan dan didukung sebagian data.</x:t>
  </x:si>
  <x:si>
    <x:t xml:space="preserve">Kontribusi terhadap sasaran kinerja/pelayanan jelas dan didukung evidence terukur.</x:t>
  </x:si>
  <x:si>
    <x:t xml:space="preserve">Kontribusi kuat, konsisten, strategis, dan layak dipertahankan atau direplikasi.</x:t>
  </x:si>
  <x:si>
    <x:t xml:space="preserve">Gunakan logika kontribusi; jangan memaksakan klaim kausalitas.</x:t>
  </x:si>
  <x:si>
    <x:t xml:space="preserve">Apakah data/evidence cukup, mutakhir, dan dapat ditelusuri ke sumbernya?</x:t>
  </x:si>
  <x:si>
    <x:t xml:space="preserve">Tidak tersedia data/evidence yang cukup untuk memastikan kondisi kerja sama.</x:t>
  </x:si>
  <x:si>
    <x:t xml:space="preserve">Evidence sangat terbatas, tersebar, atau sulit diverifikasi.</x:t>
  </x:si>
  <x:si>
    <x:t xml:space="preserve">Evidence utama tersedia tetapi belum konsisten dalam kelengkapan/keterbaruan/keterlacakan.</x:t>
  </x:si>
  <x:si>
    <x:t xml:space="preserve">Evidence utama lengkap, mutakhir, jelas sumber/lokasinya, dan dapat ditelusuri.</x:t>
  </x:si>
  <x:si>
    <x:t xml:space="preserve">Evidence lengkap, terstruktur, konsisten, memiliki jejak sumber/versi, dan siap digunakan untuk evaluasi/audit.</x:t>
  </x:si>
  <x:si>
    <x:t xml:space="preserve">Evidence boleh tersimpan di unit pelaksana sepanjang sumber/lokasinya dapat ditelusuri.</x:t>
  </x:si>
  <x:si>
    <x:t xml:space="preserve">Apakah risiko utama ditangani dan ada kondisi yang mendukung keberlanjutan manfaat?</x:t>
  </x:si>
  <x:si>
    <x:t xml:space="preserve">Risiko material tidak dikendalikan dan keberlanjutan terancam.</x:t>
  </x:si>
  <x:si>
    <x:t xml:space="preserve">Risiko diketahui tetapi penanganannya lemah.</x:t>
  </x:si>
  <x:si>
    <x:t xml:space="preserve">Risiko utama mulai ditangani tetapi masih ada tindak lanjut penting.</x:t>
  </x:si>
  <x:si>
    <x:t xml:space="preserve">Risiko utama terkendali dan keberlanjutan manfaat cukup terjamin.</x:t>
  </x:si>
  <x:si>
    <x:t xml:space="preserve">Risiko dikelola aktif dan konsisten serta terdapat dukungan kuat bagi keberlanjutan/replikasi manfaat.</x:t>
  </x:si>
  <x:si>
    <x:t xml:space="preserve">Berbeda dari Early Warning; I7 menilai kualitas pengelolaan risiko, bukan tingkat urgensi saat ini.</x:t>
  </x:si>
  <x:si>
    <x:t xml:space="preserve">PANDUAN PENGGUNAAN SCORECARD MITRA KINERJA</x:t>
  </x:si>
  <x:si>
    <x:t xml:space="preserve">Alur: 1) nilai fakta, 2) baca kendali, 3) susun rekomendasi/keputusan.</x:t>
  </x:si>
  <x:si>
    <x:t xml:space="preserve">1. SIAPA MENGISI APA</x:t>
  </x:si>
  <x:si>
    <x:t xml:space="preserve">Peran</x:t>
  </x:si>
  <x:si>
    <x:t xml:space="preserve">Tugas Utama</x:t>
  </x:si>
  <x:si>
    <x:t xml:space="preserve">PIC / Unit Teknis</x:t>
  </x:si>
  <x:si>
    <x:t xml:space="preserve">Menyampaikan fakta pelaksanaan, hasil, evidence, kendala, dan tindak lanjut.</x:t>
  </x:si>
  <x:si>
    <x:t xml:space="preserve">Reviewer / Pengelola</x:t>
  </x:si>
  <x:si>
    <x:t xml:space="preserve">Menilai status, memeriksa evidence, memberi skor I1–I7, menetapkan posisi portofolio, Early Warning, dan draft rekomendasi.</x:t>
  </x:si>
  <x:si>
    <x:t xml:space="preserve">Memastikan fakta, evidence, skor, dan alasan konsisten.</x:t>
  </x:si>
  <x:si>
    <x:t xml:space="preserve">Pimpinan / Pejabat Berwenang</x:t>
  </x:si>
  <x:si>
    <x:t xml:space="preserve">Memberi keputusan/arahan sesuai kewenangan; tidak otomatis mengikuti nilai total.</x:t>
  </x:si>
  <x:si>
    <x:t xml:space="preserve">2. URUTAN KERJA</x:t>
  </x:si>
  <x:si>
    <x:t xml:space="preserve">PENILAIAN</x:t>
  </x:si>
  <x:si>
    <x:t xml:space="preserve">Isi identitas, baseline, kondisi saat ini, status penilaian, evidence, skor, dan alasan.</x:t>
  </x:si>
  <x:si>
    <x:t xml:space="preserve">KENDALI</x:t>
  </x:si>
  <x:si>
    <x:t xml:space="preserve">Tetapkan posisi portofolio, Early Warning, serta perlu/tidaknya intervensi pimpinan.</x:t>
  </x:si>
  <x:si>
    <x:t xml:space="preserve">REKOMENDASI</x:t>
  </x:si>
  <x:si>
    <x:t xml:space="preserve">Validasi hasil, susun rekomendasi/tindak lanjut, lalu catat keputusan/arahan pimpinan.</x:t>
  </x:si>
  <x:si>
    <x:t xml:space="preserve">RUBRIK</x:t>
  </x:si>
  <x:si>
    <x:t xml:space="preserve">Buka hanya saat perlu menentukan arti skor 0–4.</x:t>
  </x:si>
  <x:si>
    <x:t xml:space="preserve">CONTOH</x:t>
  </x:si>
  <x:si>
    <x:t xml:space="preserve">Gunakan jika masih ragu membedakan skor 0, BDN, dan bukti belum memadai.</x:t>
  </x:si>
  <x:si>
    <x:t xml:space="preserve">3. STATUS PENILAIAN</x:t>
  </x:si>
  <x:si>
    <x:t xml:space="preserve">Gunakan ketika</x:t>
  </x:si>
  <x:si>
    <x:t xml:space="preserve">Skor?</x:t>
  </x:si>
  <x:si>
    <x:t xml:space="preserve">DAPAT DINILAI</x:t>
  </x:si>
  <x:si>
    <x:t xml:space="preserve">Sudah waktunya dinilai dan evidence/fakta cukup.</x:t>
  </x:si>
  <x:si>
    <x:t xml:space="preserve">Ya, 0–4</x:t>
  </x:si>
  <x:si>
    <x:t xml:space="preserve">BUKTI BELUM MEMADAI</x:t>
  </x:si>
  <x:si>
    <x:t xml:space="preserve">Sudah waktunya dinilai tetapi fakta belum dapat dipastikan karena evidence belum cukup.</x:t>
  </x:si>
  <x:si>
    <x:t xml:space="preserve">Tidak</x:t>
  </x:si>
  <x:si>
    <x:t xml:space="preserve">BELUM DAPAT DINILAI</x:t>
  </x:si>
  <x:si>
    <x:t xml:space="preserve">Digunakan bila secara objektif belum cukup waktu bagi indikator untuk menghasilkan hasil/manfaat. Ini terutama relevan pada masa implementasi awal untuk outcome dan kontribusi/dampak.</x:t>
  </x:si>
  <x:si>
    <x:t xml:space="preserve">4. ATURAN SKOR</x:t>
  </x:si>
  <x:si>
    <x:t xml:space="preserve">Hanya jika indikator sudah dapat dinilai, evidence cukup, dan secara faktual unsur tidak terpenuhi.</x:t>
  </x:si>
  <x:si>
    <x:t xml:space="preserve">Bukan untuk menutupi kinerja rendah. Jika sudah cukup waktu dan tidak ada hasil, gunakan skor 0 sesuai rubrik.</x:t>
  </x:si>
  <x:si>
    <x:t xml:space="preserve">Bukan skor 0; harus diikuti tindakan verifikasi/melengkapi evidence.</x:t>
  </x:si>
  <x:si>
    <x:t xml:space="preserve">Hanya muncul jika seluruh 7 indikator dapat dinilai.</x:t>
  </x:si>
  <x:si>
    <x:t xml:space="preserve">Masa Implementasi Awal</x:t>
  </x:si>
  <x:si>
    <x:t xml:space="preserve">Digunakan bila kerja sama masih baru sehingga sebagian indikator hasil (terutama outcome dan kontribusi/dampak) secara objektif belum layak diberi skor. Indikator yang sudah matang tetap dapat dinilai.</x:t>
  </x:si>
  <x:si>
    <x:t xml:space="preserve">Nilai final/kategori belum ditetapkan sampai seluruh indikator hasil memasuki periode penilaian yang memadai.</x:t>
  </x:si>
  <x:si>
    <x:t xml:space="preserve">5. ESTIMASI WAKTU</x:t>
  </x:si>
  <x:si>
    <x:t xml:space="preserve">Kondisi Pengguna</x:t>
  </x:si>
  <x:si>
    <x:t xml:space="preserve">Estimasi Waktu per Naskah</x:t>
  </x:si>
  <x:si>
    <x:t xml:space="preserve">Pertama kali, evidence belum tertata</x:t>
  </x:si>
  <x:si>
    <x:t xml:space="preserve">60–120 menit atau lebih</x:t>
  </x:si>
  <x:si>
    <x:t xml:space="preserve">Pertama kali, evidence sudah tersedia</x:t>
  </x:si>
  <x:si>
    <x:t xml:space="preserve">45–75 menit</x:t>
  </x:si>
  <x:si>
    <x:t xml:space="preserve">Sudah memahami instrumen dan evidence siap</x:t>
  </x:si>
  <x:si>
    <x:t xml:space="preserve">25–45 menit</x:t>
  </x:si>
  <x:si>
    <x:t xml:space="preserve">Update berkala setelah data tertata</x:t>
  </x:si>
  <x:si>
    <x:t xml:space="preserve">15–30 menit</x:t>
  </x:si>
  <x:si>
    <x:t xml:space="preserve">6. CARA MEMBACA HASIL</x:t>
  </x:si>
  <x:si>
    <x:t xml:space="preserve">Situasi</x:t>
  </x:si>
  <x:si>
    <x:t xml:space="preserve">Makna</x:t>
  </x:si>
  <x:si>
    <x:t xml:space="preserve">Banyak BDN karena belum cukup waktu</x:t>
  </x:si>
  <x:si>
    <x:t xml:space="preserve">Normal; jadwalkan review berikutnya.</x:t>
  </x:si>
  <x:si>
    <x:t xml:space="preserve">Banyak bukti belum memadai</x:t>
  </x:si>
  <x:si>
    <x:t xml:space="preserve">Ada gap tata kelola evidence; perlu verifikasi/perbaikan dokumentasi.</x:t>
  </x:si>
  <x:si>
    <x:t xml:space="preserve">Banyak skor 0 setelah cukup waktu</x:t>
  </x:si>
  <x:si>
    <x:t xml:space="preserve">Masalah pelaksanaan/hasil kerja sama; perlu tindakan korektif atau keputusan keberlanjutan.</x:t>
  </x:si>
  <x:si>
    <x:t xml:space="preserve">Warning tinggi meski nilai baik</x:t>
  </x:si>
  <x:si>
    <x:t xml:space="preserve">Tetap perlu tindakan; Early Warning memang terpisah dari nilai Scorecard.</x:t>
  </x:si>
  <x:si>
    <x:t xml:space="preserve">Intervensi = YA</x:t>
  </x:si>
  <x:si>
    <x:t xml:space="preserve">Ada isu/keputusan yang membutuhkan kewenangan/arahan pimpinan.</x:t>
  </x:si>
  <x:si>
    <x:t xml:space="preserve">CONTOH PENGISIAN — UNTUK PENGGUNA BARU</x:t>
  </x:si>
  <x:si>
    <x:t xml:space="preserve">Contoh membedakan kerja sama lama yang pasif dengan kerja sama baru yang hasilnya memang belum jatuh tempo.</x:t>
  </x:si>
  <x:si>
    <x:t xml:space="preserve">CONTOH A — PKS SUDAH CUKUP LAMA, TETAPI TIDAK AKTIF</x:t>
  </x:si>
  <x:si>
    <x:t xml:space="preserve">Temuan</x:t>
  </x:si>
  <x:si>
    <x:t xml:space="preserve">Skor</x:t>
  </x:si>
  <x:si>
    <x:t xml:space="preserve">Nilai</x:t>
  </x:si>
  <x:si>
    <x:t xml:space="preserve">I1</x:t>
  </x:si>
  <x:si>
    <x:t xml:space="preserve">PIC diketahui, tetapi tidak ada rencana tindak lanjut yang jelas.</x:t>
  </x:si>
  <x:si>
    <x:t xml:space="preserve">Pengelolaan lemah</x:t>
  </x:si>
  <x:si>
    <x:t xml:space="preserve">Tetapkan tindak lanjut/owner.</x:t>
  </x:si>
  <x:si>
    <x:t xml:space="preserve">I2</x:t>
  </x:si>
  <x:si>
    <x:t xml:space="preserve">Tidak ada kegiatan setelah penandatanganan.</x:t>
  </x:si>
  <x:si>
    <x:t xml:space="preserve">Tidak ada implementasi</x:t>
  </x:si>
  <x:si>
    <x:t xml:space="preserve">Aktivasi atau evaluasi keberlanjutan.</x:t>
  </x:si>
  <x:si>
    <x:t xml:space="preserve">I3</x:t>
  </x:si>
  <x:si>
    <x:t xml:space="preserve">Tidak ada output padahal periode sudah memadai.</x:t>
  </x:si>
  <x:si>
    <x:t xml:space="preserve">Output tidak tercapai</x:t>
  </x:si>
  <x:si>
    <x:t xml:space="preserve">Tentukan output prioritas.</x:t>
  </x:si>
  <x:si>
    <x:t xml:space="preserve">I4</x:t>
  </x:si>
  <x:si>
    <x:t xml:space="preserve">Tidak ada manfaat/perubahan setelah periode memadai.</x:t>
  </x:si>
  <x:si>
    <x:t xml:space="preserve">Outcome tidak terbentuk</x:t>
  </x:si>
  <x:si>
    <x:t xml:space="preserve">Perbaiki implementasi/evaluasi kelanjutan.</x:t>
  </x:si>
  <x:si>
    <x:t xml:space="preserve">I5</x:t>
  </x:si>
  <x:si>
    <x:t xml:space="preserve">Tidak ditemukan kontribusi terhadap kinerja/pelayanan.</x:t>
  </x:si>
  <x:si>
    <x:t xml:space="preserve">Kontribusi belum terbukti</x:t>
  </x:si>
  <x:si>
    <x:t xml:space="preserve">Kaji relevansi dan nilai strategis.</x:t>
  </x:si>
  <x:si>
    <x:t xml:space="preserve">I6</x:t>
  </x:si>
  <x:si>
    <x:t xml:space="preserve">Verifikasi lengkap menunjukkan memang tidak ada implementasi.</x:t>
  </x:si>
  <x:si>
    <x:t xml:space="preserve">Evidence cukup untuk menyimpulkan kondisi</x:t>
  </x:si>
  <x:si>
    <x:t xml:space="preserve">Pertahankan keterlacakan data.</x:t>
  </x:si>
  <x:si>
    <x:t xml:space="preserve">I7</x:t>
  </x:si>
  <x:si>
    <x:t xml:space="preserve">Kerja sama pasif; tidak ada langkah keberlanjutan.</x:t>
  </x:si>
  <x:si>
    <x:t xml:space="preserve">Risiko keberlanjutan tinggi</x:t>
  </x:si>
  <x:si>
    <x:t xml:space="preserve">Tentukan lanjut/perbaiki/hentikan.</x:t>
  </x:si>
  <x:si>
    <x:t xml:space="preserve">CONTOH B — MASA IMPLEMENTASI AWAL: HASIL BELUM MEMASUKI PERIODE PENILAIAN</x:t>
  </x:si>
  <x:si>
    <x:t xml:space="preserve">Tanggung jawab, rencana awal, dan koordinasi sudah jelas.</x:t>
  </x:si>
  <x:si>
    <x:t xml:space="preserve">Kesiapan baik</x:t>
  </x:si>
  <x:si>
    <x:t xml:space="preserve">Lanjutkan.</x:t>
  </x:si>
  <x:si>
    <x:t xml:space="preserve">Langkah persiapan sudah berjalan.</x:t>
  </x:si>
  <x:si>
    <x:t xml:space="preserve">Implementasi awal</x:t>
  </x:si>
  <x:si>
    <x:t xml:space="preserve">Pantau tindak lanjut.</x:t>
  </x:si>
  <x:si>
    <x:t xml:space="preserve">Output utama dijadwalkan pada periode berikutnya.</x:t>
  </x:si>
  <x:si>
    <x:t xml:space="preserve">Belum jatuh tempo</x:t>
  </x:si>
  <x:si>
    <x:t xml:space="preserve">Review pada jadwal output.</x:t>
  </x:si>
  <x:si>
    <x:t xml:space="preserve">Outcome belum mungkin terlihat.</x:t>
  </x:si>
  <x:si>
    <x:t xml:space="preserve">Belum matang</x:t>
  </x:si>
  <x:si>
    <x:t xml:space="preserve">Review setelah output tersedia.</x:t>
  </x:si>
  <x:si>
    <x:t xml:space="preserve">Kontribusi/dampak belum mungkin diukur.</x:t>
  </x:si>
  <x:si>
    <x:t xml:space="preserve">Review setelah outcome tersedia.</x:t>
  </x:si>
  <x:si>
    <x:t xml:space="preserve">Dokumen/evidence persiapan dapat ditelusuri.</x:t>
  </x:si>
  <x:si>
    <x:t xml:space="preserve">Evidence baik</x:t>
  </x:si>
  <x:si>
    <x:t xml:space="preserve">Pertahankan.</x:t>
  </x:si>
  <x:si>
    <x:t xml:space="preserve">Risiko utama telah diidentifikasi dan ditangani.</x:t>
  </x:si>
  <x:si>
    <x:t xml:space="preserve">Risiko terkendali</x:t>
  </x:si>
  <x:si>
    <x:t xml:space="preserve">Pantau perubahan.</x:t>
  </x:si>
</x:sst>
</file>

<file path=xl/styles.xml><?xml version="1.0" encoding="utf-8"?>
<x:styleSheet xmlns:x="http://schemas.openxmlformats.org/spreadsheetml/2006/main">
  <x:numFmts count="1">
    <x:numFmt numFmtId="164" formatCode="dd\ mmm\ yyyy"/>
  </x:numFmts>
  <x:fonts count="10">
    <x:font>
      <x:sz val="11"/>
      <x:name val="Carlito"/>
    </x:font>
    <x:font>
      <x:b/>
      <x:sz val="15"/>
      <x:color rgb="FFFFFFFF"/>
      <x:name val="Carlito"/>
    </x:font>
    <x:font>
      <x:b/>
      <x:sz val="10"/>
      <x:color rgb="FFFFFFFF"/>
      <x:name val="Carlito"/>
    </x:font>
    <x:font>
      <x:b/>
      <x:sz val="11"/>
      <x:color rgb="FF1F1F1F"/>
      <x:name val="Carlito"/>
    </x:font>
    <x:font>
      <x:b/>
      <x:sz val="11"/>
      <x:color rgb="FFFFFFFF"/>
      <x:name val="Carlito"/>
    </x:font>
    <x:font>
      <x:b/>
      <x:sz val="11"/>
      <x:name val="Carlito"/>
    </x:font>
    <x:font>
      <x:b/>
      <x:sz val="14"/>
      <x:color rgb="FFFFFFFF"/>
      <x:name val="Carlito"/>
    </x:font>
    <x:font>
      <x:i/>
      <x:sz val="10"/>
      <x:color rgb="FF1F1F1F"/>
      <x:name val="Carlito"/>
    </x:font>
    <x:font>
      <x:b/>
      <x:sz val="10"/>
      <x:color rgb="FF1F1F1F"/>
      <x:name val="Carlito"/>
    </x:font>
    <x:font>
      <x:sz val="11"/>
      <x:color rgb="FF1F1F1F"/>
      <x:name val="Carlito"/>
    </x:font>
  </x:fonts>
  <x:fills count="22">
    <x:fill>
      <x:patternFill patternType="none"/>
    </x:fill>
    <x:fill>
      <x:patternFill patternType="gray125"/>
    </x:fill>
    <x:fill>
      <x:patternFill patternType="solid">
        <x:fgColor rgb="FF163A5F"/>
      </x:patternFill>
    </x:fill>
    <x:fill>
      <x:patternFill patternType="solid">
        <x:fgColor rgb="FF1F4E78"/>
      </x:patternFill>
    </x:fill>
    <x:fill>
      <x:patternFill patternType="solid">
        <x:fgColor rgb="FFEEF5FB"/>
      </x:patternFill>
    </x:fill>
    <x:fill>
      <x:patternFill patternType="solid">
        <x:fgColor rgb="FFFFF2CC"/>
      </x:patternFill>
    </x:fill>
    <x:fill>
      <x:patternFill patternType="solid">
        <x:fgColor rgb="FFD9EAF7"/>
      </x:patternFill>
    </x:fill>
    <x:fill>
      <x:patternFill patternType="solid">
        <x:fgColor rgb="FFF5E8BF"/>
      </x:patternFill>
    </x:fill>
    <x:fill>
      <x:patternFill patternType="solid">
        <x:fgColor rgb="FF163A5F"/>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D9EAF7"/>
      </x:patternFill>
    </x:fill>
    <x:fill>
      <x:patternFill patternType="solid">
        <x:fgColor theme="1" tint="0.49998"/>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E7E6E6"/>
      </x:patternFill>
    </x:fill>
    <x:fill>
      <x:patternFill patternType="solid">
        <x:fgColor rgb="FFEEF5FB"/>
      </x:patternFill>
    </x:fill>
    <x:fill>
      <x:patternFill patternType="solid">
        <x:fgColor rgb="FFFFFFFF"/>
      </x:patternFill>
    </x:fill>
  </x:fills>
  <x:borders count="68">
    <x:border/>
    <x:border/>
    <x:border/>
    <x:border/>
    <x:border/>
    <x:border/>
    <x:border/>
    <x:border/>
    <x:border/>
    <x:border/>
    <x:border/>
    <x:border/>
    <x:border/>
    <x:border/>
    <x:border/>
    <x:border/>
    <x:border/>
    <x:border/>
    <x:border/>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border>
      <x:left style="thin">
        <x:color rgb="FFB4C6E7"/>
      </x:left>
      <x:top style="thin">
        <x:color rgb="FFB4C6E7"/>
      </x:top>
    </x:border>
    <x:border>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bottom style="thin">
        <x:color rgb="FFB4C6E7"/>
      </x:bottom>
    </x:border>
    <x:border>
      <x:right style="thin">
        <x:color rgb="FFB4C6E7"/>
      </x:right>
      <x:bottom style="thin">
        <x:color rgb="FFB4C6E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ttom style="thin">
        <x:color indexed="64"/>
      </x:bottom>
    </x:border>
    <x:border>
      <x:bottom style="thin">
        <x:color indexed="64"/>
      </x:bottom>
    </x:border>
    <x:border>
      <x:left style="thin">
        <x:color indexed="64"/>
      </x:left>
      <x:right style="thin">
        <x:color indexed="64"/>
      </x:right>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indexed="64"/>
      </x:top>
      <x:bottom style="thin">
        <x:color indexed="64"/>
      </x:bottom>
    </x:border>
    <x:border>
      <x:left style="thin">
        <x:color indexed="64"/>
      </x:left>
      <x:right style="thin">
        <x:color rgb="FFB4C6E7"/>
      </x:right>
      <x:top style="thin">
        <x:color indexed="64"/>
      </x:top>
      <x:bottom style="thin">
        <x:color indexed="64"/>
      </x:bottom>
    </x:border>
    <x:border>
      <x:left style="thin">
        <x:color rgb="FFB4C6E7"/>
      </x:left>
      <x:right style="thin">
        <x:color indexed="64"/>
      </x:right>
      <x:top style="thin">
        <x:color indexed="64"/>
      </x:top>
      <x:bottom style="thin">
        <x:color rgb="FFB4C6E7"/>
      </x:bottom>
    </x:border>
    <x:border>
      <x:left style="thin">
        <x:color indexed="64"/>
      </x:left>
      <x:right style="thin">
        <x:color indexed="64"/>
      </x:right>
      <x:top style="thin">
        <x:color indexed="64"/>
      </x:top>
      <x:bottom style="thin">
        <x:color rgb="FFB4C6E7"/>
      </x:bottom>
    </x:border>
    <x:border>
      <x:left style="thin">
        <x:color indexed="64"/>
      </x:left>
      <x:right style="thin">
        <x:color rgb="FFB4C6E7"/>
      </x:right>
      <x:top style="thin">
        <x:color indexed="64"/>
      </x:top>
      <x:bottom style="thin">
        <x:color rgb="FFB4C6E7"/>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rgb="FFB4C6E7"/>
      </x:left>
      <x:right style="thin">
        <x:color indexed="64"/>
      </x:right>
      <x:top style="thin">
        <x:color rgb="FFB4C6E7"/>
      </x:top>
      <x:bottom style="thin">
        <x:color indexed="64"/>
      </x:bottom>
    </x:border>
    <x:border>
      <x:left style="thin">
        <x:color indexed="64"/>
      </x:left>
      <x:right style="thin">
        <x:color rgb="FFB4C6E7"/>
      </x:right>
      <x:top style="thin">
        <x:color rgb="FFB4C6E7"/>
      </x:top>
      <x:bottom style="thin">
        <x:color indexed="64"/>
      </x:bottom>
    </x:border>
    <x:border>
      <x:left style="thin">
        <x:color indexed="64"/>
      </x:left>
      <x:right style="thin">
        <x:color indexed="64"/>
      </x:right>
      <x:bottom style="thin">
        <x:color rgb="FFB4C6E7"/>
      </x:bottom>
    </x:border>
    <x:border>
      <x:left style="thin">
        <x:color indexed="64"/>
      </x:left>
      <x:right style="thin">
        <x:color indexed="64"/>
      </x:right>
      <x:bottom style="thin">
        <x:color rgb="FFB4C6E7"/>
      </x:bottom>
    </x:border>
  </x:borders>
  <x:cellStyleXfs count="1">
    <x:xf numFmtId="0" fontId="0" fillId="0" borderId="0"/>
  </x:cellStyleXfs>
  <x:cellXfs count="727">
    <x:xf numFmtId="0" fontId="0" fillId="0" borderId="0" xfId="0"/>
    <x:xf numFmtId="0" fontId="1" fillId="2" borderId="0" xfId="0" applyFont="1" applyFill="1" applyAlignment="1">
      <x:alignment vertical="center"/>
    </x:xf>
    <x:xf numFmtId="0" fontId="2" fillId="3" borderId="0" xfId="0" applyFont="1" applyFill="1" applyAlignment="1">
      <x:alignment vertical="center" wrapText="1"/>
    </x:xf>
    <x:xf numFmtId="0" fontId="3" fillId="4" borderId="1" xfId="0" applyFont="1" applyFill="1" applyBorder="1" applyAlignment="1">
      <x:alignment vertical="center"/>
    </x:xf>
    <x:xf numFmtId="0" fontId="0" fillId="5" borderId="2" xfId="0" applyFill="1" applyBorder="1"/>
    <x:xf numFmtId="0" fontId="0" fillId="6" borderId="3" xfId="0" applyFill="1" applyBorder="1"/>
    <x:xf numFmtId="0" fontId="3" fillId="7" borderId="0" xfId="0" applyFont="1" applyFill="1" applyAlignment="1">
      <x:alignment vertical="center"/>
    </x:xf>
    <x:xf numFmtId="0" fontId="0" fillId="0" borderId="6" xfId="0" applyBorder="1"/>
    <x:xf numFmtId="0" fontId="3" fillId="4" borderId="4" xfId="0" applyFont="1" applyFill="1" applyBorder="1" applyAlignment="1">
      <x:alignment vertical="center"/>
    </x:xf>
    <x:xf numFmtId="0" fontId="0" fillId="5" borderId="5" xfId="0" applyFill="1" applyBorder="1" applyAlignment="1">
      <x:alignment vertical="top" wrapText="1"/>
    </x:xf>
    <x:xf numFmtId="0" fontId="0" fillId="5" borderId="6" xfId="0" applyFill="1" applyBorder="1" applyAlignment="1">
      <x:alignment vertical="top" wrapText="1"/>
    </x:xf>
    <x:xf numFmtId="0" fontId="0" fillId="5" borderId="0" xfId="0" applyFill="1" applyAlignment="1">
      <x:alignment vertical="top" wrapText="1"/>
    </x:xf>
    <x:xf numFmtId="0" fontId="0" fillId="5" borderId="8" xfId="0" applyFill="1" applyBorder="1" applyAlignment="1">
      <x:alignment vertical="top" wrapText="1"/>
    </x:xf>
    <x:xf numFmtId="0" fontId="0" fillId="5" borderId="10" xfId="0" applyFill="1" applyBorder="1" applyAlignment="1">
      <x:alignment vertical="top" wrapText="1"/>
    </x:xf>
    <x:xf numFmtId="0" fontId="0" fillId="5" borderId="11" xfId="0" applyFill="1" applyBorder="1" applyAlignment="1">
      <x:alignment vertical="top" wrapText="1"/>
    </x:xf>
    <x:xf numFmtId="0" fontId="4" fillId="3" borderId="0" xfId="0" applyFont="1" applyFill="1" applyAlignment="1">
      <x:alignment horizontal="center" vertical="center" wrapText="1"/>
    </x:xf>
    <x:xf numFmtId="0" fontId="0" fillId="0" borderId="4" xfId="0" applyBorder="1" applyAlignment="1">
      <x:alignment wrapText="1"/>
    </x:xf>
    <x:xf numFmtId="0" fontId="0" fillId="0" borderId="5" xfId="0" applyBorder="1" applyAlignment="1">
      <x:alignment wrapText="1"/>
    </x:xf>
    <x:xf numFmtId="0" fontId="0" fillId="0" borderId="6" xfId="0" applyBorder="1" applyAlignment="1">
      <x:alignment wrapText="1"/>
    </x:xf>
    <x:xf numFmtId="0" fontId="0" fillId="0" borderId="7" xfId="0" applyBorder="1" applyAlignment="1">
      <x:alignment wrapText="1"/>
    </x:xf>
    <x:xf numFmtId="0" fontId="0" fillId="0" borderId="0" xfId="0" applyAlignment="1">
      <x:alignment wrapText="1"/>
    </x:xf>
    <x:xf numFmtId="0" fontId="0" fillId="0" borderId="8" xfId="0" applyBorder="1" applyAlignment="1">
      <x:alignment wrapText="1"/>
    </x:xf>
    <x:xf numFmtId="0" fontId="0" fillId="0" borderId="9" xfId="0" applyBorder="1" applyAlignment="1">
      <x:alignment wrapText="1"/>
    </x:xf>
    <x:xf numFmtId="0" fontId="0" fillId="0" borderId="10" xfId="0" applyBorder="1" applyAlignment="1">
      <x:alignment wrapText="1"/>
    </x:xf>
    <x:xf numFmtId="0" fontId="0" fillId="0" borderId="11" xfId="0" applyBorder="1" applyAlignment="1">
      <x:alignment wrapText="1"/>
    </x:xf>
    <x:xf numFmtId="0" fontId="0" fillId="0" borderId="5" xfId="0" applyBorder="1" applyAlignment="1">
      <x:alignment vertical="top" wrapText="1"/>
    </x:xf>
    <x:xf numFmtId="0" fontId="0" fillId="0" borderId="6" xfId="0" applyBorder="1" applyAlignment="1">
      <x:alignment vertical="top" wrapText="1"/>
    </x:xf>
    <x:xf numFmtId="0" fontId="0" fillId="0" borderId="0" xfId="0" applyAlignment="1">
      <x:alignment vertical="top" wrapText="1"/>
    </x:xf>
    <x:xf numFmtId="0" fontId="0" fillId="0" borderId="8" xfId="0" applyBorder="1" applyAlignment="1">
      <x:alignment vertical="top" wrapText="1"/>
    </x:xf>
    <x:xf numFmtId="0" fontId="0" fillId="0" borderId="10" xfId="0" applyBorder="1" applyAlignment="1">
      <x:alignment vertical="top" wrapText="1"/>
    </x:xf>
    <x:xf numFmtId="0" fontId="0" fillId="0" borderId="11" xfId="0" applyBorder="1" applyAlignment="1">
      <x:alignment vertical="top" wrapText="1"/>
    </x:xf>
    <x:xf numFmtId="0" fontId="3" fillId="6" borderId="0" xfId="0" applyFont="1" applyFill="1" applyAlignment="1">
      <x:alignment vertical="center"/>
    </x:xf>
    <x:xf numFmtId="0" fontId="3" fillId="4" borderId="4" xfId="0" applyFont="1" applyFill="1" applyBorder="1" applyAlignment="1">
      <x:alignment vertical="center" wrapText="1"/>
    </x:xf>
    <x:xf numFmtId="0" fontId="3" fillId="4" borderId="7" xfId="0" applyFont="1" applyFill="1" applyBorder="1" applyAlignment="1">
      <x:alignment vertical="center" wrapText="1"/>
    </x:xf>
    <x:xf numFmtId="0" fontId="3" fillId="4" borderId="9" xfId="0" applyFont="1" applyFill="1" applyBorder="1" applyAlignment="1">
      <x:alignment vertical="center" wrapText="1"/>
    </x:xf>
    <x:xf numFmtId="0" fontId="4" fillId="3" borderId="4" xfId="0" applyFont="1" applyFill="1" applyBorder="1" applyAlignment="1">
      <x:alignment horizontal="center" vertical="center" wrapText="1"/>
    </x:xf>
    <x:xf numFmtId="0" fontId="4" fillId="3" borderId="6" xfId="0" applyFont="1" applyFill="1" applyBorder="1" applyAlignment="1">
      <x:alignment horizontal="center" vertical="center" wrapText="1"/>
    </x:xf>
    <x:xf numFmtId="0" fontId="4" fillId="3" borderId="5" xfId="0" applyFont="1" applyFill="1" applyBorder="1" applyAlignment="1">
      <x:alignment horizontal="center" vertical="center" wrapText="1"/>
    </x:xf>
    <x:xf numFmtId="0" fontId="6" fillId="8" borderId="0" xfId="0" applyFont="1" applyFill="1"/>
    <x:xf numFmtId="0" fontId="0" fillId="9" borderId="0" xfId="0" applyFill="1"/>
    <x:xf numFmtId="0" fontId="4" fillId="10" borderId="12" xfId="0" applyFont="1" applyFill="1" applyBorder="1" applyAlignment="1">
      <x:alignment wrapText="1"/>
    </x:xf>
    <x:xf numFmtId="0" fontId="4" fillId="10" borderId="13" xfId="0" applyFont="1" applyFill="1" applyBorder="1" applyAlignment="1">
      <x:alignment wrapText="1"/>
    </x:xf>
    <x:xf numFmtId="0" fontId="4" fillId="10" borderId="14" xfId="0" applyFont="1" applyFill="1" applyBorder="1" applyAlignment="1">
      <x:alignment wrapText="1"/>
    </x:xf>
    <x:xf numFmtId="0" fontId="0" fillId="0" borderId="15" xfId="0" applyBorder="1" applyAlignment="1">
      <x:alignment vertical="top" wrapText="1"/>
    </x:xf>
    <x:xf numFmtId="0" fontId="0" fillId="0" borderId="16" xfId="0" applyBorder="1" applyAlignment="1">
      <x:alignment vertical="top" wrapText="1"/>
    </x:xf>
    <x:xf numFmtId="0" fontId="0" fillId="0" borderId="17" xfId="0" applyBorder="1" applyAlignment="1">
      <x:alignment vertical="top" wrapText="1"/>
    </x:xf>
    <x:xf numFmtId="0" fontId="0" fillId="0" borderId="18" xfId="0" applyBorder="1" applyAlignment="1">
      <x:alignment vertical="top" wrapText="1"/>
    </x:xf>
    <x:xf numFmtId="0" fontId="0" fillId="0" borderId="19" xfId="0" applyBorder="1" applyAlignment="1">
      <x:alignment vertical="top" wrapText="1"/>
    </x:xf>
    <x:xf numFmtId="0" fontId="7" fillId="12" borderId="0" xfId="0" applyFont="1" applyFill="1"/>
    <x:xf numFmtId="0" fontId="4" fillId="13" borderId="0" xfId="0" applyFont="1" applyFill="1" applyAlignment="1">
      <x:alignment wrapText="1"/>
    </x:xf>
    <x:xf numFmtId="0" fontId="6" fillId="11" borderId="21" xfId="0" applyFont="1" applyFill="1" applyBorder="1"/>
    <x:xf numFmtId="0" fontId="6" fillId="11" borderId="22" xfId="0" applyFont="1" applyFill="1" applyBorder="1"/>
    <x:xf numFmtId="0" fontId="6" fillId="11" borderId="23" xfId="0" applyFont="1" applyFill="1" applyBorder="1"/>
    <x:xf numFmtId="0" fontId="7" fillId="12" borderId="24" xfId="0" applyFont="1" applyFill="1" applyBorder="1"/>
    <x:xf numFmtId="0" fontId="7" fillId="12" borderId="25" xfId="0" applyFont="1" applyFill="1" applyBorder="1"/>
    <x:xf numFmtId="0" fontId="0" fillId="0" borderId="24" xfId="0" applyBorder="1"/>
    <x:xf numFmtId="0" fontId="0" fillId="0" borderId="25" xfId="0" applyBorder="1"/>
    <x:xf numFmtId="0" fontId="4" fillId="13" borderId="24" xfId="0" applyFont="1" applyFill="1" applyBorder="1" applyAlignment="1">
      <x:alignment wrapText="1"/>
    </x:xf>
    <x:xf numFmtId="0" fontId="4" fillId="13" borderId="25" xfId="0" applyFont="1" applyFill="1" applyBorder="1" applyAlignment="1">
      <x:alignment wrapText="1"/>
    </x:xf>
    <x:xf numFmtId="0" fontId="0" fillId="0" borderId="24" xfId="0" applyBorder="1" applyAlignment="1">
      <x:alignment wrapText="1"/>
    </x:xf>
    <x:xf numFmtId="0" fontId="0" fillId="0" borderId="25" xfId="0" applyBorder="1" applyAlignment="1">
      <x:alignment wrapText="1"/>
    </x:xf>
    <x:xf numFmtId="0" fontId="0" fillId="0" borderId="26" xfId="0" applyBorder="1" applyAlignment="1">
      <x:alignment wrapText="1"/>
    </x:xf>
    <x:xf numFmtId="0" fontId="0" fillId="0" borderId="27" xfId="0" applyBorder="1" applyAlignment="1">
      <x:alignment wrapText="1"/>
    </x:xf>
    <x:xf numFmtId="0" fontId="0" fillId="0" borderId="28" xfId="0" applyBorder="1" applyAlignment="1">
      <x:alignment wrapText="1"/>
    </x:xf>
    <x:xf numFmtId="0" fontId="3" fillId="4" borderId="4" xfId="0" applyFont="1" applyFill="1" applyBorder="1" applyAlignment="1">
      <x:alignment vertical="top"/>
    </x:xf>
    <x:xf numFmtId="0" fontId="3" fillId="4" borderId="5" xfId="0" applyFont="1" applyFill="1" applyBorder="1" applyAlignment="1">
      <x:alignment vertical="top"/>
    </x:xf>
    <x:xf numFmtId="0" fontId="3" fillId="4" borderId="7" xfId="0" applyFont="1" applyFill="1" applyBorder="1" applyAlignment="1">
      <x:alignment vertical="top"/>
    </x:xf>
    <x:xf numFmtId="0" fontId="3" fillId="4" borderId="0" xfId="0" applyFont="1" applyFill="1" applyAlignment="1">
      <x:alignment vertical="top"/>
    </x:xf>
    <x:xf numFmtId="0" fontId="3" fillId="4" borderId="9" xfId="0" applyFont="1" applyFill="1" applyBorder="1" applyAlignment="1">
      <x:alignment vertical="top"/>
    </x:xf>
    <x:xf numFmtId="0" fontId="3" fillId="4" borderId="10" xfId="0" applyFont="1" applyFill="1" applyBorder="1" applyAlignment="1">
      <x:alignment vertical="top"/>
    </x:xf>
    <x:xf numFmtId="0" fontId="5" fillId="0" borderId="29" xfId="0" applyFont="1" applyBorder="1" applyAlignment="1">
      <x:alignment vertical="top" wrapText="1"/>
    </x:xf>
    <x:xf numFmtId="0" fontId="5" fillId="0" borderId="29" xfId="0" applyFont="1" applyBorder="1" applyAlignment="1">
      <x:alignment horizontal="center" vertical="top" wrapText="1"/>
    </x:xf>
    <x:xf numFmtId="0" fontId="0" fillId="0" borderId="29" xfId="0" applyBorder="1" applyAlignment="1">
      <x:alignment vertical="top" wrapText="1"/>
    </x:xf>
    <x:xf numFmtId="0" fontId="0" fillId="5" borderId="29" xfId="0" applyFill="1" applyBorder="1" applyAlignment="1">
      <x:alignment vertical="top" wrapText="1"/>
    </x:xf>
    <x:xf numFmtId="0" fontId="0" fillId="6" borderId="29" xfId="0" applyFill="1" applyBorder="1" applyAlignment="1">
      <x:alignment vertical="center" wrapText="1"/>
    </x:xf>
    <x:xf numFmtId="0" fontId="3" fillId="4" borderId="29" xfId="0" applyFont="1" applyFill="1" applyBorder="1" applyAlignment="1">
      <x:alignment vertical="center"/>
    </x:xf>
    <x:xf numFmtId="0" fontId="0" fillId="6" borderId="29" xfId="0" applyFill="1" applyBorder="1" applyAlignment="1">
      <x:alignment horizontal="center" vertical="center" wrapText="1"/>
    </x:xf>
    <x:xf numFmtId="0" fontId="0" fillId="0" borderId="0" xfId="0" applyAlignment="1">
      <x:alignment horizontal="center" vertical="top" wrapText="1"/>
    </x:xf>
    <x:xf numFmtId="0" fontId="0" fillId="0" borderId="5" xfId="0" applyBorder="1" applyAlignment="1">
      <x:alignment horizontal="center" vertical="top" wrapText="1"/>
    </x:xf>
    <x:xf numFmtId="0" fontId="3" fillId="4" borderId="29" xfId="0" applyFont="1" applyFill="1" applyBorder="1" applyAlignment="1">
      <x:alignment vertical="center" wrapText="1"/>
    </x:xf>
    <x:xf numFmtId="0" fontId="0" fillId="0" borderId="29" xfId="0" applyBorder="1" applyAlignment="1">
      <x:alignment horizontal="center" vertical="top" wrapText="1"/>
    </x:xf>
    <x:xf numFmtId="0" fontId="3" fillId="0" borderId="0" xfId="0" applyFont="1" applyAlignment="1">
      <x:alignment vertical="center"/>
    </x:xf>
    <x:xf numFmtId="164" fontId="0" fillId="5" borderId="29" xfId="0" applyNumberFormat="1" applyFill="1" applyBorder="1" applyAlignment="1">
      <x:alignment vertical="top" wrapText="1"/>
    </x:xf>
    <x:xf numFmtId="0" fontId="0" fillId="0" borderId="0" xfId="0" applyAlignment="1">
      <x:alignment vertical="top"/>
    </x:xf>
    <x:xf numFmtId="0" fontId="0" fillId="6" borderId="29" xfId="0" applyFill="1" applyBorder="1" applyAlignment="1">
      <x:alignment vertical="top" wrapText="1"/>
    </x:xf>
    <x:xf numFmtId="0" fontId="0" fillId="5" borderId="29" xfId="0" applyFill="1" applyBorder="1" applyAlignment="1">
      <x:alignment horizontal="left" vertical="top" wrapText="1"/>
    </x:xf>
    <x:xf numFmtId="0" fontId="3" fillId="4" borderId="29" xfId="0" applyFont="1" applyFill="1" applyBorder="1" applyAlignment="1">
      <x:alignment vertical="top" wrapText="1"/>
    </x:xf>
    <x:xf numFmtId="0" fontId="3" fillId="4" borderId="29" xfId="0" applyFont="1" applyFill="1" applyBorder="1" applyAlignment="1">
      <x:alignment horizontal="left" vertical="top" wrapText="1"/>
    </x:xf>
    <x:xf numFmtId="0" fontId="0" fillId="0" borderId="20" xfId="0" applyBorder="1" applyAlignment="1">
      <x:alignment horizontal="center"/>
    </x:xf>
    <x:xf numFmtId="0" fontId="3" fillId="0" borderId="29" xfId="0" applyFont="1" applyBorder="1" applyAlignment="1">
      <x:alignment horizontal="center" vertical="center"/>
    </x:xf>
    <x:xf numFmtId="0" fontId="0" fillId="0" borderId="29" xfId="0" applyBorder="1" applyAlignment="1">
      <x:alignment horizontal="center" vertical="top" wrapText="1"/>
    </x:xf>
    <x:xf numFmtId="164" fontId="0" fillId="0" borderId="29" xfId="0" applyNumberFormat="1" applyBorder="1" applyAlignment="1">
      <x:alignment horizontal="center" vertical="top" wrapText="1"/>
    </x:xf>
    <x:xf numFmtId="0" fontId="3" fillId="0" borderId="29" xfId="0" applyFont="1" applyBorder="1" applyAlignment="1">
      <x:alignment vertical="center"/>
    </x:xf>
    <x:xf numFmtId="0" fontId="0" fillId="0" borderId="7" xfId="0" applyBorder="1" applyAlignment="1">
      <x:alignment vertical="top" wrapText="1"/>
    </x:xf>
    <x:xf numFmtId="0" fontId="0" fillId="0" borderId="9" xfId="0" applyBorder="1" applyAlignment="1">
      <x:alignment vertical="top" wrapText="1"/>
    </x:xf>
    <x:xf numFmtId="164" fontId="0" fillId="0" borderId="29" xfId="0" applyNumberFormat="1" applyBorder="1" applyAlignment="1">
      <x:alignment vertical="top" wrapText="1"/>
    </x:xf>
    <x:xf numFmtId="0" fontId="8" fillId="14" borderId="0" xfId="0" applyFont="1" applyFill="1" applyAlignment="1">
      <x:alignment vertical="top" wrapText="1"/>
    </x:xf>
    <x:xf numFmtId="0" fontId="0" fillId="0" borderId="29" xfId="0" applyBorder="1" applyAlignment="1">
      <x:alignment horizontal="center" vertical="top" wrapText="1"/>
    </x:xf>
    <x:xf numFmtId="0" fontId="0" fillId="6" borderId="30" xfId="0" applyFill="1" applyBorder="1" applyAlignment="1">
      <x:alignment horizontal="center" vertical="center" wrapText="1"/>
    </x:xf>
    <x:xf numFmtId="0" fontId="0" fillId="6" borderId="31" xfId="0" applyFill="1" applyBorder="1" applyAlignment="1">
      <x:alignment horizontal="center" vertical="center" wrapText="1"/>
    </x:xf>
    <x:xf numFmtId="0" fontId="0" fillId="6" borderId="29" xfId="0" applyFill="1" applyBorder="1" applyAlignment="1">
      <x:alignment horizontal="center" vertical="center" wrapText="1"/>
    </x:xf>
    <x:xf numFmtId="0" fontId="0" fillId="15" borderId="29" xfId="0" applyFill="1" applyBorder="1" applyAlignment="1">
      <x:alignment horizontal="center" vertical="center" wrapText="1"/>
    </x:xf>
    <x:xf numFmtId="2" fontId="0" fillId="6" borderId="30" xfId="0" applyNumberFormat="1" applyFill="1" applyBorder="1" applyAlignment="1">
      <x:alignment horizontal="center" vertical="center" wrapText="1"/>
    </x:xf>
    <x:xf numFmtId="2" fontId="0" fillId="6" borderId="31" xfId="0" applyNumberFormat="1" applyFill="1" applyBorder="1" applyAlignment="1">
      <x:alignment horizontal="center" vertical="center" wrapText="1"/>
    </x:xf>
    <x:xf numFmtId="2" fontId="0" fillId="15" borderId="30" xfId="0" applyNumberFormat="1" applyFill="1" applyBorder="1" applyAlignment="1">
      <x:alignment horizontal="center" vertical="center" wrapText="1"/>
    </x:xf>
    <x:xf numFmtId="2" fontId="0" fillId="15" borderId="31" xfId="0" applyNumberFormat="1" applyFill="1" applyBorder="1" applyAlignment="1">
      <x:alignment horizontal="center" vertical="center" wrapText="1"/>
    </x:xf>
    <x:xf numFmtId="0" fontId="0" fillId="5" borderId="5" xfId="0" applyFill="1" applyBorder="1" applyAlignment="1">
      <x:alignment horizontal="center" vertical="top" wrapText="1"/>
    </x:xf>
    <x:xf numFmtId="0" fontId="0" fillId="5" borderId="0" xfId="0" applyFill="1" applyAlignment="1">
      <x:alignment horizontal="center" vertical="top" wrapText="1"/>
    </x:xf>
    <x:xf numFmtId="0" fontId="0" fillId="5" borderId="10" xfId="0" applyFill="1" applyBorder="1" applyAlignment="1">
      <x:alignment horizontal="center" vertical="top" wrapText="1"/>
    </x:xf>
    <x:xf numFmtId="0" fontId="0" fillId="5" borderId="29" xfId="0" applyFill="1" applyBorder="1" applyAlignment="1">
      <x:alignment horizontal="left" vertical="top" wrapText="1"/>
    </x:xf>
    <x:xf numFmtId="0" fontId="3" fillId="4" borderId="29" xfId="0" applyFont="1" applyFill="1" applyBorder="1" applyAlignment="1">
      <x:alignment horizontal="left" vertical="top" wrapText="1"/>
    </x:xf>
    <x:xf numFmtId="0" fontId="0" fillId="0" borderId="29" xfId="0" applyBorder="1" applyAlignment="1">
      <x:alignment horizontal="center" vertical="center" wrapText="1"/>
    </x:xf>
    <x:xf numFmtId="0" fontId="3" fillId="4" borderId="32" xfId="0" applyFont="1" applyFill="1" applyBorder="1" applyAlignment="1">
      <x:alignment horizontal="center" vertical="center" wrapText="1"/>
    </x:xf>
    <x:xf numFmtId="0" fontId="3" fillId="4" borderId="33" xfId="0" applyFont="1" applyFill="1" applyBorder="1" applyAlignment="1">
      <x:alignment horizontal="center" vertical="center" wrapText="1"/>
    </x:xf>
    <x:xf numFmtId="0" fontId="2" fillId="3" borderId="0" xfId="0" applyFont="1" applyFill="1" applyAlignment="1">
      <x:alignment horizontal="center" vertical="center" wrapText="1"/>
    </x:xf>
    <x:xf numFmtId="0" fontId="2" fillId="3" borderId="0" xfId="0" applyFont="1" applyFill="1" applyAlignment="1">
      <x:alignment horizontal="center" vertical="center" wrapText="1"/>
    </x:xf>
    <x:xf numFmtId="0" fontId="1" fillId="2" borderId="0" xfId="0" applyFont="1" applyFill="1" applyAlignment="1">
      <x:alignment horizontal="center" vertical="center"/>
    </x:xf>
    <x:xf numFmtId="0" fontId="5" fillId="0" borderId="4" xfId="0" applyFont="1" applyBorder="1" applyAlignment="1">
      <x:alignment horizontal="center" vertical="top" wrapText="1"/>
    </x:xf>
    <x:xf numFmtId="0" fontId="5" fillId="0" borderId="5" xfId="0" applyFont="1" applyBorder="1" applyAlignment="1">
      <x:alignment horizontal="center" vertical="top" wrapText="1"/>
    </x:xf>
    <x:xf numFmtId="0" fontId="0" fillId="0" borderId="6" xfId="0" applyBorder="1" applyAlignment="1">
      <x:alignment horizontal="center" vertical="top" wrapText="1"/>
    </x:xf>
    <x:xf numFmtId="0" fontId="5" fillId="0" borderId="7" xfId="0" applyFont="1" applyBorder="1" applyAlignment="1">
      <x:alignment horizontal="center" vertical="top" wrapText="1"/>
    </x:xf>
    <x:xf numFmtId="0" fontId="5" fillId="0" borderId="0" xfId="0" applyFont="1" applyAlignment="1">
      <x:alignment horizontal="center" vertical="top" wrapText="1"/>
    </x:xf>
    <x:xf numFmtId="0" fontId="0" fillId="0" borderId="8" xfId="0" applyBorder="1" applyAlignment="1">
      <x:alignment horizontal="center" vertical="top" wrapText="1"/>
    </x:xf>
    <x:xf numFmtId="0" fontId="5" fillId="0" borderId="9" xfId="0" applyFont="1" applyBorder="1" applyAlignment="1">
      <x:alignment horizontal="center" vertical="top" wrapText="1"/>
    </x:xf>
    <x:xf numFmtId="0" fontId="5" fillId="0" borderId="10" xfId="0" applyFont="1" applyBorder="1" applyAlignment="1">
      <x:alignment horizontal="center" vertical="top" wrapText="1"/>
    </x:xf>
    <x:xf numFmtId="0" fontId="0" fillId="0" borderId="10" xfId="0" applyBorder="1" applyAlignment="1">
      <x:alignment horizontal="center" vertical="top" wrapText="1"/>
    </x:xf>
    <x:xf numFmtId="0" fontId="0" fillId="0" borderId="11" xfId="0" applyBorder="1" applyAlignment="1">
      <x:alignment horizontal="center" vertical="top" wrapText="1"/>
    </x:xf>
    <x:xf numFmtId="0" fontId="0" fillId="0" borderId="0" xfId="0" applyAlignment="1">
      <x:alignment horizontal="center"/>
    </x:xf>
    <x:xf numFmtId="0" fontId="0" fillId="0" borderId="20" xfId="0" applyBorder="1"/>
    <x:xf numFmtId="0" fontId="0" fillId="0" borderId="20" xfId="0" applyBorder="1" applyAlignment="1">
      <x:alignment wrapText="1"/>
    </x:xf>
    <x:xf numFmtId="0" fontId="0" fillId="0" borderId="34" xfId="0" applyBorder="1"/>
    <x:xf numFmtId="0" fontId="0" fillId="5" borderId="29" xfId="0" applyFill="1" applyBorder="1" applyAlignment="1">
      <x:alignment horizontal="center" vertical="top" wrapText="1"/>
    </x:xf>
    <x:xf numFmtId="0" fontId="3" fillId="4" borderId="29" xfId="0" applyFont="1" applyFill="1" applyBorder="1" applyAlignment="1">
      <x:alignment horizontal="center" vertical="center"/>
    </x:xf>
    <x:xf numFmtId="0" fontId="3" fillId="4" borderId="32" xfId="0" applyFont="1" applyFill="1" applyBorder="1" applyAlignment="1">
      <x:alignment horizontal="center" vertical="center"/>
    </x:xf>
    <x:xf numFmtId="0" fontId="3" fillId="4" borderId="35" xfId="0" applyFont="1" applyFill="1" applyBorder="1" applyAlignment="1">
      <x:alignment horizontal="center" vertical="center"/>
    </x:xf>
    <x:xf numFmtId="0" fontId="3" fillId="4" borderId="33" xfId="0" applyFont="1" applyFill="1" applyBorder="1" applyAlignment="1">
      <x:alignment horizontal="center" vertical="center"/>
    </x:xf>
    <x:xf numFmtId="2" fontId="0" fillId="6" borderId="29" xfId="0" applyNumberFormat="1" applyFill="1" applyBorder="1" applyAlignment="1">
      <x:alignment horizontal="center" vertical="center" wrapText="1"/>
    </x:xf>
    <x:xf numFmtId="0" fontId="3" fillId="4" borderId="29" xfId="0" applyFont="1" applyFill="1" applyBorder="1" applyAlignment="1">
      <x:alignment vertical="top"/>
    </x:xf>
    <x:xf numFmtId="2" fontId="0" fillId="6" borderId="29" xfId="0" applyNumberFormat="1" applyFill="1" applyBorder="1" applyAlignment="1">
      <x:alignment vertical="top" wrapText="1"/>
    </x:xf>
    <x:xf numFmtId="164" fontId="0" fillId="5" borderId="29" xfId="0" applyNumberFormat="1" applyFill="1" applyBorder="1" applyAlignment="1">
      <x:alignment horizontal="left" vertical="top" wrapText="1"/>
    </x:xf>
    <x:xf numFmtId="0" fontId="3" fillId="4" borderId="32" xfId="0" applyFont="1" applyFill="1" applyBorder="1" applyAlignment="1">
      <x:alignment horizontal="center" vertical="top"/>
    </x:xf>
    <x:xf numFmtId="0" fontId="3" fillId="4" borderId="35" xfId="0" applyFont="1" applyFill="1" applyBorder="1" applyAlignment="1">
      <x:alignment horizontal="center" vertical="top"/>
    </x:xf>
    <x:xf numFmtId="0" fontId="3" fillId="4" borderId="33" xfId="0" applyFont="1" applyFill="1" applyBorder="1" applyAlignment="1">
      <x:alignment horizontal="center" vertical="top"/>
    </x:xf>
    <x:xf numFmtId="0" fontId="3" fillId="0" borderId="29" xfId="0" applyFont="1" applyBorder="1" applyAlignment="1">
      <x:alignment vertical="top"/>
    </x:xf>
    <x:xf numFmtId="0" fontId="3" fillId="0" borderId="29" xfId="0" applyFont="1" applyBorder="1" applyAlignment="1">
      <x:alignment horizontal="left" vertical="top" wrapText="1"/>
    </x:xf>
    <x:xf numFmtId="0" fontId="0" fillId="0" borderId="36" xfId="0" applyNumberFormat="1" applyFont="1" applyFill="1" applyBorder="1"/>
    <x:xf numFmtId="0" fontId="1" fillId="2" borderId="36" xfId="0" applyNumberFormat="1" applyFont="1" applyFill="1" applyBorder="1" applyAlignment="1">
      <x:alignment vertical="center"/>
    </x:xf>
    <x:xf numFmtId="0" fontId="2" fillId="3" borderId="36" xfId="0" applyNumberFormat="1" applyFont="1" applyFill="1" applyBorder="1" applyAlignment="1">
      <x:alignment vertical="center" wrapText="1"/>
    </x:xf>
    <x:xf numFmtId="0" fontId="3" fillId="4" borderId="36" xfId="0" applyNumberFormat="1" applyFont="1" applyFill="1" applyBorder="1" applyAlignment="1">
      <x:alignment vertical="center"/>
    </x:xf>
    <x:xf numFmtId="0" fontId="0" fillId="5" borderId="36" xfId="0" applyNumberFormat="1" applyFont="1" applyFill="1" applyBorder="1"/>
    <x:xf numFmtId="0" fontId="0" fillId="6" borderId="36" xfId="0" applyNumberFormat="1" applyFont="1" applyFill="1" applyBorder="1"/>
    <x:xf numFmtId="0" fontId="3" fillId="7" borderId="36" xfId="0" applyNumberFormat="1" applyFont="1" applyFill="1" applyBorder="1" applyAlignment="1">
      <x:alignment vertical="center"/>
    </x:xf>
    <x:xf numFmtId="0" fontId="0" fillId="5" borderId="36" xfId="0" applyNumberFormat="1" applyFont="1" applyFill="1" applyBorder="1" applyAlignment="1">
      <x:alignment vertical="top" wrapText="1"/>
    </x:xf>
    <x:xf numFmtId="0" fontId="4" fillId="3" borderId="36" xfId="0" applyNumberFormat="1" applyFont="1" applyFill="1" applyBorder="1" applyAlignment="1">
      <x:alignment horizontal="center" vertical="center" wrapText="1"/>
    </x:xf>
    <x:xf numFmtId="0" fontId="0" fillId="0" borderId="36" xfId="0" applyNumberFormat="1" applyFont="1" applyFill="1" applyBorder="1" applyAlignment="1">
      <x:alignment wrapText="1"/>
    </x:xf>
    <x:xf numFmtId="0" fontId="0" fillId="0" borderId="36" xfId="0" applyNumberFormat="1" applyFont="1" applyFill="1" applyBorder="1" applyAlignment="1">
      <x:alignment vertical="top" wrapText="1"/>
    </x:xf>
    <x:xf numFmtId="0" fontId="3" fillId="6" borderId="36" xfId="0" applyNumberFormat="1" applyFont="1" applyFill="1" applyBorder="1" applyAlignment="1">
      <x:alignment vertical="center"/>
    </x:xf>
    <x:xf numFmtId="0" fontId="3" fillId="4" borderId="36" xfId="0" applyNumberFormat="1" applyFont="1" applyFill="1" applyBorder="1" applyAlignment="1">
      <x:alignment vertical="center" wrapText="1"/>
    </x:xf>
    <x:xf numFmtId="0" fontId="6" fillId="2" borderId="36" xfId="0" applyNumberFormat="1" applyFont="1" applyFill="1" applyBorder="1"/>
    <x:xf numFmtId="0" fontId="4" fillId="3" borderId="36" xfId="0" applyNumberFormat="1" applyFont="1" applyFill="1" applyBorder="1" applyAlignment="1">
      <x:alignment wrapText="1"/>
    </x:xf>
    <x:xf numFmtId="0" fontId="7" fillId="6" borderId="36" xfId="0" applyNumberFormat="1" applyFont="1" applyFill="1" applyBorder="1"/>
    <x:xf numFmtId="0" fontId="4" fillId="13" borderId="36" xfId="0" applyNumberFormat="1" applyFont="1" applyFill="1" applyBorder="1" applyAlignment="1">
      <x:alignment wrapText="1"/>
    </x:xf>
    <x:xf numFmtId="0" fontId="6" fillId="11" borderId="37" xfId="0" applyNumberFormat="1" applyFont="1" applyFill="1" applyBorder="1"/>
    <x:xf numFmtId="0" fontId="6" fillId="11" borderId="38" xfId="0" applyNumberFormat="1" applyFont="1" applyFill="1" applyBorder="1"/>
    <x:xf numFmtId="0" fontId="6" fillId="11" borderId="39" xfId="0" applyNumberFormat="1" applyFont="1" applyFill="1" applyBorder="1"/>
    <x:xf numFmtId="0" fontId="7" fillId="6" borderId="40" xfId="0" applyNumberFormat="1" applyFont="1" applyFill="1" applyBorder="1"/>
    <x:xf numFmtId="0" fontId="7" fillId="6" borderId="41"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4" fillId="13" borderId="40" xfId="0" applyNumberFormat="1" applyFont="1" applyFill="1" applyBorder="1" applyAlignment="1">
      <x:alignment wrapText="1"/>
    </x:xf>
    <x:xf numFmtId="0" fontId="4" fillId="13" borderId="41"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3" fillId="4" borderId="36" xfId="0" applyNumberFormat="1" applyFont="1" applyFill="1" applyBorder="1" applyAlignment="1">
      <x:alignment vertical="top"/>
    </x:xf>
    <x:xf numFmtId="0" fontId="5" fillId="0" borderId="45" xfId="0" applyNumberFormat="1" applyFont="1" applyFill="1" applyBorder="1" applyAlignment="1">
      <x:alignment vertical="top" wrapText="1"/>
    </x:xf>
    <x:xf numFmtId="0" fontId="5" fillId="0" borderId="45" xfId="0" applyNumberFormat="1" applyFont="1" applyFill="1" applyBorder="1" applyAlignment="1">
      <x:alignment horizontal="center" vertical="top" wrapText="1"/>
    </x:xf>
    <x:xf numFmtId="0" fontId="0" fillId="0" borderId="45" xfId="0" applyNumberFormat="1" applyFont="1" applyFill="1" applyBorder="1" applyAlignment="1">
      <x:alignment vertical="top" wrapText="1"/>
    </x:xf>
    <x:xf numFmtId="0" fontId="0" fillId="5" borderId="45" xfId="0" applyNumberFormat="1" applyFont="1" applyFill="1" applyBorder="1" applyAlignment="1">
      <x:alignment vertical="top" wrapText="1"/>
    </x:xf>
    <x:xf numFmtId="0" fontId="0" fillId="6" borderId="45" xfId="0" applyNumberFormat="1" applyFont="1" applyFill="1" applyBorder="1" applyAlignment="1">
      <x:alignment vertical="center" wrapText="1"/>
    </x:xf>
    <x:xf numFmtId="0" fontId="3" fillId="4" borderId="45" xfId="0" applyNumberFormat="1" applyFont="1" applyFill="1" applyBorder="1" applyAlignment="1">
      <x:alignment vertical="center"/>
    </x:xf>
    <x:xf numFmtId="0" fontId="0" fillId="6" borderId="45" xfId="0" applyNumberFormat="1" applyFont="1" applyFill="1" applyBorder="1" applyAlignment="1">
      <x:alignment horizontal="center" vertical="center" wrapText="1"/>
    </x:xf>
    <x:xf numFmtId="0" fontId="0" fillId="0" borderId="36" xfId="0" applyNumberFormat="1" applyFont="1" applyFill="1" applyBorder="1" applyAlignment="1">
      <x:alignment horizontal="center" vertical="top" wrapText="1"/>
    </x:xf>
    <x:xf numFmtId="0" fontId="3" fillId="4" borderId="45" xfId="0" applyNumberFormat="1" applyFont="1" applyFill="1" applyBorder="1" applyAlignment="1">
      <x:alignment vertical="center" wrapText="1"/>
    </x:xf>
    <x:xf numFmtId="0" fontId="0" fillId="0" borderId="45" xfId="0" applyNumberFormat="1" applyFont="1" applyFill="1" applyBorder="1" applyAlignment="1">
      <x:alignment horizontal="center" vertical="top" wrapText="1"/>
    </x:xf>
    <x:xf numFmtId="0" fontId="3" fillId="0" borderId="36" xfId="0" applyNumberFormat="1" applyFont="1" applyFill="1" applyBorder="1" applyAlignment="1">
      <x:alignment vertical="center"/>
    </x:xf>
    <x:xf numFmtId="164" fontId="0" fillId="5" borderId="45" xfId="0" applyNumberFormat="1" applyFont="1" applyFill="1" applyBorder="1" applyAlignment="1">
      <x:alignment vertical="top" wrapText="1"/>
    </x:xf>
    <x:xf numFmtId="0" fontId="0" fillId="0" borderId="36" xfId="0" applyNumberFormat="1" applyFont="1" applyFill="1" applyBorder="1" applyAlignment="1">
      <x:alignment vertical="top"/>
    </x:xf>
    <x:xf numFmtId="0" fontId="0" fillId="6" borderId="45" xfId="0" applyNumberFormat="1" applyFont="1" applyFill="1" applyBorder="1" applyAlignment="1">
      <x:alignment vertical="top" wrapText="1"/>
    </x:xf>
    <x:xf numFmtId="0" fontId="0" fillId="5" borderId="45" xfId="0" applyNumberFormat="1" applyFont="1" applyFill="1" applyBorder="1" applyAlignment="1">
      <x:alignment horizontal="left" vertical="top" wrapText="1"/>
    </x:xf>
    <x:xf numFmtId="0" fontId="3" fillId="4" borderId="45" xfId="0" applyNumberFormat="1" applyFont="1" applyFill="1" applyBorder="1" applyAlignment="1">
      <x:alignment vertical="top" wrapText="1"/>
    </x:xf>
    <x:xf numFmtId="0" fontId="3" fillId="4" borderId="45" xfId="0" applyNumberFormat="1" applyFont="1" applyFill="1" applyBorder="1" applyAlignment="1">
      <x:alignment horizontal="left" vertical="top" wrapText="1"/>
    </x:xf>
    <x:xf numFmtId="0" fontId="0" fillId="0" borderId="36" xfId="0" applyNumberFormat="1" applyFont="1" applyFill="1" applyBorder="1" applyAlignment="1">
      <x:alignment horizontal="center"/>
    </x:xf>
    <x:xf numFmtId="0" fontId="3" fillId="0" borderId="45" xfId="0" applyNumberFormat="1" applyFont="1" applyFill="1" applyBorder="1" applyAlignment="1">
      <x:alignment horizontal="center" vertical="center"/>
    </x:xf>
    <x:xf numFmtId="164" fontId="0" fillId="0" borderId="45" xfId="0" applyNumberFormat="1" applyFont="1" applyFill="1" applyBorder="1" applyAlignment="1">
      <x:alignment horizontal="center" vertical="top" wrapText="1"/>
    </x:xf>
    <x:xf numFmtId="0" fontId="3" fillId="0" borderId="45" xfId="0" applyNumberFormat="1" applyFont="1" applyFill="1" applyBorder="1" applyAlignment="1">
      <x:alignment vertical="center"/>
    </x:xf>
    <x:xf numFmtId="164" fontId="0" fillId="0" borderId="45" xfId="0" applyNumberFormat="1" applyFont="1" applyFill="1" applyBorder="1" applyAlignment="1">
      <x:alignment vertical="top" wrapText="1"/>
    </x:xf>
    <x:xf numFmtId="0" fontId="8" fillId="6" borderId="36" xfId="0" applyNumberFormat="1" applyFont="1" applyFill="1" applyBorder="1" applyAlignment="1">
      <x:alignment vertical="top" wrapText="1"/>
    </x:xf>
    <x:xf numFmtId="0" fontId="0" fillId="6" borderId="46" xfId="0" applyNumberFormat="1" applyFont="1" applyFill="1" applyBorder="1" applyAlignment="1">
      <x:alignment horizontal="center" vertical="center" wrapText="1"/>
    </x:xf>
    <x:xf numFmtId="0" fontId="0" fillId="6" borderId="47" xfId="0" applyNumberFormat="1" applyFont="1" applyFill="1" applyBorder="1" applyAlignment="1">
      <x:alignment horizontal="center" vertical="center" wrapText="1"/>
    </x:xf>
    <x:xf numFmtId="0" fontId="0" fillId="15" borderId="45" xfId="0" applyNumberFormat="1" applyFont="1" applyFill="1" applyBorder="1" applyAlignment="1">
      <x:alignment horizontal="center" vertical="center" wrapText="1"/>
    </x:xf>
    <x:xf numFmtId="2" fontId="0" fillId="6" borderId="46" xfId="0" applyNumberFormat="1" applyFont="1" applyFill="1" applyBorder="1" applyAlignment="1">
      <x:alignment horizontal="center" vertical="center" wrapText="1"/>
    </x:xf>
    <x:xf numFmtId="2" fontId="0" fillId="6" borderId="47" xfId="0" applyNumberFormat="1" applyFont="1" applyFill="1" applyBorder="1" applyAlignment="1">
      <x:alignment horizontal="center" vertical="center" wrapText="1"/>
    </x:xf>
    <x:xf numFmtId="2" fontId="0" fillId="15" borderId="46" xfId="0" applyNumberFormat="1" applyFont="1" applyFill="1" applyBorder="1" applyAlignment="1">
      <x:alignment horizontal="center" vertical="center" wrapText="1"/>
    </x:xf>
    <x:xf numFmtId="2" fontId="0" fillId="15" borderId="47" xfId="0" applyNumberFormat="1" applyFont="1" applyFill="1" applyBorder="1" applyAlignment="1">
      <x:alignment horizontal="center" vertical="center" wrapText="1"/>
    </x:xf>
    <x:xf numFmtId="0" fontId="0" fillId="5" borderId="36"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center" wrapText="1"/>
    </x:xf>
    <x:xf numFmtId="0" fontId="3" fillId="4" borderId="48" xfId="0" applyNumberFormat="1" applyFont="1" applyFill="1" applyBorder="1" applyAlignment="1">
      <x:alignment horizontal="center" vertical="center" wrapText="1"/>
    </x:xf>
    <x:xf numFmtId="0" fontId="3" fillId="4" borderId="49" xfId="0" applyNumberFormat="1" applyFont="1" applyFill="1" applyBorder="1" applyAlignment="1">
      <x:alignment horizontal="center" vertical="center" wrapText="1"/>
    </x:xf>
    <x:xf numFmtId="0" fontId="2" fillId="3" borderId="36" xfId="0" applyNumberFormat="1" applyFont="1" applyFill="1" applyBorder="1" applyAlignment="1">
      <x:alignment horizontal="center" vertical="center" wrapText="1"/>
    </x:xf>
    <x:xf numFmtId="0" fontId="1" fillId="2" borderId="36" xfId="0" applyNumberFormat="1" applyFont="1" applyFill="1" applyBorder="1" applyAlignment="1">
      <x:alignment horizontal="center" vertical="center"/>
    </x:xf>
    <x:xf numFmtId="0" fontId="5" fillId="0" borderId="36" xfId="0" applyNumberFormat="1" applyFont="1" applyFill="1" applyBorder="1" applyAlignment="1">
      <x:alignment horizontal="center" vertical="top" wrapText="1"/>
    </x:xf>
    <x:xf numFmtId="0" fontId="0" fillId="0" borderId="50" xfId="0" applyNumberFormat="1" applyFont="1" applyFill="1" applyBorder="1"/>
    <x:xf numFmtId="0" fontId="0" fillId="5" borderId="45" xfId="0" applyNumberFormat="1" applyFont="1" applyFill="1" applyBorder="1" applyAlignment="1">
      <x:alignment horizontal="center" vertical="top" wrapText="1"/>
    </x:xf>
    <x:xf numFmtId="0" fontId="3" fillId="4" borderId="45" xfId="0" applyNumberFormat="1" applyFont="1" applyFill="1" applyBorder="1" applyAlignment="1">
      <x:alignment horizontal="center" vertical="center"/>
    </x:xf>
    <x:xf numFmtId="0" fontId="3" fillId="4" borderId="48" xfId="0" applyNumberFormat="1" applyFont="1" applyFill="1" applyBorder="1" applyAlignment="1">
      <x:alignment horizontal="center" vertical="center"/>
    </x:xf>
    <x:xf numFmtId="0" fontId="3" fillId="4" borderId="51" xfId="0" applyNumberFormat="1" applyFont="1" applyFill="1" applyBorder="1" applyAlignment="1">
      <x:alignment horizontal="center" vertical="center"/>
    </x:xf>
    <x:xf numFmtId="0" fontId="3" fillId="4" borderId="49" xfId="0" applyNumberFormat="1" applyFont="1" applyFill="1" applyBorder="1" applyAlignment="1">
      <x:alignment horizontal="center" vertical="center"/>
    </x:xf>
    <x:xf numFmtId="2" fontId="0" fillId="6" borderId="45" xfId="0" applyNumberFormat="1" applyFont="1" applyFill="1" applyBorder="1" applyAlignment="1">
      <x:alignment horizontal="center" vertical="center" wrapText="1"/>
    </x:xf>
    <x:xf numFmtId="0" fontId="3" fillId="4" borderId="45" xfId="0" applyNumberFormat="1" applyFont="1" applyFill="1" applyBorder="1" applyAlignment="1">
      <x:alignment vertical="top"/>
    </x:xf>
    <x:xf numFmtId="2" fontId="0" fillId="6" borderId="45" xfId="0" applyNumberFormat="1" applyFont="1" applyFill="1" applyBorder="1" applyAlignment="1">
      <x:alignment vertical="top" wrapText="1"/>
    </x:xf>
    <x:xf numFmtId="164" fontId="0" fillId="5" borderId="45" xfId="0" applyNumberFormat="1" applyFont="1" applyFill="1" applyBorder="1" applyAlignment="1">
      <x:alignment horizontal="left" vertical="top" wrapText="1"/>
    </x:xf>
    <x:xf numFmtId="0" fontId="3" fillId="4" borderId="48" xfId="0" applyNumberFormat="1" applyFont="1" applyFill="1" applyBorder="1" applyAlignment="1">
      <x:alignment horizontal="center" vertical="top"/>
    </x:xf>
    <x:xf numFmtId="0" fontId="3" fillId="4" borderId="51" xfId="0" applyNumberFormat="1" applyFont="1" applyFill="1" applyBorder="1" applyAlignment="1">
      <x:alignment horizontal="center" vertical="top"/>
    </x:xf>
    <x:xf numFmtId="0" fontId="3" fillId="4" borderId="49" xfId="0" applyNumberFormat="1" applyFont="1" applyFill="1" applyBorder="1" applyAlignment="1">
      <x:alignment horizontal="center" vertical="top"/>
    </x:xf>
    <x:xf numFmtId="0" fontId="3" fillId="0" borderId="45" xfId="0" applyNumberFormat="1" applyFont="1" applyFill="1" applyBorder="1" applyAlignment="1">
      <x:alignment vertical="top"/>
    </x:xf>
    <x:xf numFmtId="0" fontId="3" fillId="0" borderId="45" xfId="0" applyNumberFormat="1" applyFont="1" applyFill="1" applyBorder="1" applyAlignment="1">
      <x:alignment horizontal="left" vertical="top" wrapText="1"/>
    </x:xf>
    <x:xf numFmtId="0" fontId="0" fillId="16" borderId="0" xfId="0" applyNumberFormat="1" applyFont="1" applyFill="1" applyBorder="1"/>
    <x:xf numFmtId="0" fontId="0" fillId="16" borderId="36" xfId="0" applyNumberFormat="1" applyFont="1" applyFill="1" applyBorder="1"/>
    <x:xf numFmtId="0" fontId="8" fillId="16" borderId="0" xfId="0" applyNumberFormat="1" applyFont="1" applyFill="1" applyBorder="1"/>
    <x:xf numFmtId="0" fontId="8" fillId="16" borderId="36" xfId="0" applyNumberFormat="1" applyFont="1" applyFill="1" applyBorder="1"/>
    <x:xf numFmtId="0" fontId="0" fillId="17" borderId="0" xfId="0" applyNumberFormat="1" applyFont="1" applyFill="1" applyBorder="1"/>
    <x:xf numFmtId="0" fontId="0" fillId="17" borderId="36" xfId="0" applyNumberFormat="1" applyFont="1" applyFill="1" applyBorder="1"/>
    <x:xf numFmtId="0" fontId="8" fillId="17" borderId="0" xfId="0" applyNumberFormat="1" applyFont="1" applyFill="1" applyBorder="1"/>
    <x:xf numFmtId="0" fontId="8" fillId="17" borderId="36" xfId="0" applyNumberFormat="1" applyFont="1" applyFill="1" applyBorder="1"/>
    <x:xf numFmtId="0" fontId="0" fillId="18" borderId="0" xfId="0" applyNumberFormat="1" applyFont="1" applyFill="1" applyBorder="1"/>
    <x:xf numFmtId="0" fontId="0" fillId="18" borderId="36" xfId="0" applyNumberFormat="1" applyFont="1" applyFill="1" applyBorder="1"/>
    <x:xf numFmtId="0" fontId="8" fillId="18" borderId="0" xfId="0" applyNumberFormat="1" applyFont="1" applyFill="1" applyBorder="1"/>
    <x:xf numFmtId="0" fontId="8" fillId="18" borderId="36" xfId="0" applyNumberFormat="1" applyFont="1" applyFill="1" applyBorder="1"/>
    <x:xf numFmtId="0" fontId="0" fillId="19" borderId="0" xfId="0" applyNumberFormat="1" applyFont="1" applyFill="1" applyBorder="1"/>
    <x:xf numFmtId="0" fontId="0" fillId="19" borderId="36" xfId="0" applyNumberFormat="1" applyFont="1" applyFill="1" applyBorder="1"/>
    <x:xf numFmtId="0" fontId="8" fillId="19" borderId="0" xfId="0" applyNumberFormat="1" applyFont="1" applyFill="1" applyBorder="1"/>
    <x:xf numFmtId="0" fontId="8" fillId="19" borderId="36" xfId="0" applyNumberFormat="1" applyFont="1" applyFill="1" applyBorder="1"/>
    <x:xf numFmtId="0" fontId="0" fillId="20" borderId="0" xfId="0" applyNumberFormat="1" applyFont="1" applyFill="1" applyBorder="1" applyAlignment="1">
      <x:alignment horizontal="center" vertical="top" wrapText="1"/>
    </x:xf>
    <x:xf numFmtId="0" fontId="0" fillId="20" borderId="36" xfId="0" applyNumberFormat="1" applyFont="1" applyFill="1" applyBorder="1" applyAlignment="1">
      <x:alignment horizontal="center" vertical="top" wrapText="1"/>
    </x:xf>
    <x:xf numFmtId="0" fontId="0" fillId="20" borderId="0" xfId="0" applyNumberFormat="1" applyFont="1" applyFill="1" applyBorder="1" applyAlignment="1">
      <x:alignment vertical="top" wrapText="1"/>
    </x:xf>
    <x:xf numFmtId="0" fontId="0" fillId="20" borderId="36" xfId="0" applyNumberFormat="1" applyFont="1" applyFill="1" applyBorder="1" applyAlignment="1">
      <x:alignment vertical="top" wrapText="1"/>
    </x:xf>
    <x:xf numFmtId="0" fontId="0" fillId="16" borderId="0" xfId="0" applyNumberFormat="1" applyFont="1" applyFill="1" applyBorder="1" applyAlignment="1">
      <x:alignment horizontal="center" vertical="top" wrapText="1"/>
    </x:xf>
    <x:xf numFmtId="0" fontId="0" fillId="16" borderId="36" xfId="0" applyNumberFormat="1" applyFont="1" applyFill="1" applyBorder="1" applyAlignment="1">
      <x:alignment horizontal="center" vertical="top" wrapText="1"/>
    </x:xf>
    <x:xf numFmtId="0" fontId="0" fillId="16" borderId="0" xfId="0" applyNumberFormat="1" applyFont="1" applyFill="1" applyBorder="1" applyAlignment="1">
      <x:alignment vertical="top" wrapText="1"/>
    </x:xf>
    <x:xf numFmtId="0" fontId="0" fillId="16" borderId="36" xfId="0" applyNumberFormat="1" applyFont="1" applyFill="1" applyBorder="1" applyAlignment="1">
      <x:alignment vertical="top" wrapText="1"/>
    </x:xf>
    <x:xf numFmtId="0" fontId="0" fillId="17" borderId="29" xfId="0" applyNumberFormat="1" applyFont="1" applyFill="1" applyBorder="1" applyAlignment="1">
      <x:alignment vertical="top" wrapText="1"/>
    </x:xf>
    <x:xf numFmtId="0" fontId="0" fillId="17" borderId="45" xfId="0" applyNumberFormat="1" applyFont="1" applyFill="1" applyBorder="1" applyAlignment="1">
      <x:alignment vertical="top" wrapText="1"/>
    </x:xf>
    <x:xf numFmtId="0" fontId="0" fillId="20" borderId="29" xfId="0" applyNumberFormat="1" applyFont="1" applyFill="1" applyBorder="1" applyAlignment="1">
      <x:alignment vertical="top" wrapText="1"/>
    </x:xf>
    <x:xf numFmtId="0" fontId="0" fillId="20" borderId="45" xfId="0" applyNumberFormat="1" applyFont="1" applyFill="1" applyBorder="1" applyAlignment="1">
      <x:alignment vertical="top" wrapText="1"/>
    </x:xf>
    <x:xf numFmtId="0" fontId="0" fillId="16" borderId="29" xfId="0" applyNumberFormat="1" applyFont="1" applyFill="1" applyBorder="1" applyAlignment="1">
      <x:alignment vertical="top" wrapText="1"/>
    </x:xf>
    <x:xf numFmtId="0" fontId="0" fillId="16" borderId="45" xfId="0" applyNumberFormat="1" applyFont="1" applyFill="1" applyBorder="1" applyAlignment="1">
      <x:alignment vertical="top" wrapText="1"/>
    </x:xf>
    <x:xf numFmtId="0" fontId="0" fillId="17" borderId="29" xfId="0" applyNumberFormat="1" applyFont="1" applyFill="1" applyBorder="1" applyAlignment="1">
      <x:alignment vertical="center" wrapText="1"/>
    </x:xf>
    <x:xf numFmtId="0" fontId="0" fillId="17" borderId="45" xfId="0" applyNumberFormat="1" applyFont="1" applyFill="1" applyBorder="1" applyAlignment="1">
      <x:alignment vertical="center" wrapText="1"/>
    </x:xf>
    <x:xf numFmtId="0" fontId="0" fillId="18" borderId="29" xfId="0" applyNumberFormat="1" applyFont="1" applyFill="1" applyBorder="1" applyAlignment="1">
      <x:alignment vertical="top" wrapText="1"/>
    </x:xf>
    <x:xf numFmtId="0" fontId="0" fillId="18" borderId="45" xfId="0" applyNumberFormat="1" applyFont="1" applyFill="1" applyBorder="1" applyAlignment="1">
      <x:alignment vertical="top" wrapText="1"/>
    </x:xf>
    <x:xf numFmtId="0" fontId="0" fillId="19" borderId="29" xfId="0" applyNumberFormat="1" applyFont="1" applyFill="1" applyBorder="1" applyAlignment="1">
      <x:alignment vertical="top" wrapText="1"/>
    </x:xf>
    <x:xf numFmtId="0" fontId="0" fillId="19" borderId="45" xfId="0" applyNumberFormat="1" applyFont="1" applyFill="1" applyBorder="1" applyAlignment="1">
      <x:alignment vertical="top" wrapText="1"/>
    </x:xf>
    <x:xf numFmtId="0" fontId="0" fillId="19" borderId="29" xfId="0" applyNumberFormat="1" applyFont="1" applyFill="1" applyBorder="1" applyAlignment="1">
      <x:alignment vertical="center" wrapText="1"/>
    </x:xf>
    <x:xf numFmtId="0" fontId="0" fillId="19" borderId="45" xfId="0" applyNumberFormat="1" applyFont="1" applyFill="1" applyBorder="1" applyAlignment="1">
      <x:alignment vertical="center" wrapText="1"/>
    </x:xf>
    <x:xf numFmtId="0" fontId="4" fillId="3" borderId="21" xfId="0" applyNumberFormat="1" applyFont="1" applyFill="1" applyBorder="1" applyAlignment="1">
      <x:alignment horizontal="center" vertical="center" wrapText="1"/>
    </x:xf>
    <x:xf numFmtId="0" fontId="4" fillId="3" borderId="22" xfId="0" applyNumberFormat="1" applyFont="1" applyFill="1" applyBorder="1" applyAlignment="1">
      <x:alignment horizontal="center" vertical="center" wrapText="1"/>
    </x:xf>
    <x:xf numFmtId="0" fontId="4" fillId="3" borderId="23" xfId="0" applyNumberFormat="1" applyFont="1" applyFill="1" applyBorder="1" applyAlignment="1">
      <x:alignment horizontal="center" vertical="center" wrapText="1"/>
    </x:xf>
    <x:xf numFmtId="0" fontId="5" fillId="0" borderId="52" xfId="0" applyNumberFormat="1" applyFont="1" applyFill="1" applyBorder="1" applyAlignment="1">
      <x:alignment vertical="top" wrapText="1"/>
    </x:xf>
    <x:xf numFmtId="0" fontId="5" fillId="0" borderId="29" xfId="0" applyNumberFormat="1" applyFont="1" applyFill="1" applyBorder="1" applyAlignment="1">
      <x:alignment horizontal="center" vertical="top" wrapText="1"/>
    </x:xf>
    <x:xf numFmtId="0" fontId="0" fillId="0" borderId="29" xfId="0" applyNumberFormat="1" applyFont="1" applyFill="1" applyBorder="1" applyAlignment="1">
      <x:alignment vertical="top" wrapText="1"/>
    </x:xf>
    <x:xf numFmtId="0" fontId="0" fillId="16" borderId="53" xfId="0" applyNumberFormat="1" applyFont="1" applyFill="1" applyBorder="1" applyAlignment="1">
      <x:alignment vertical="top" wrapText="1"/>
    </x:xf>
    <x:xf numFmtId="0" fontId="5" fillId="0" borderId="54" xfId="0" applyNumberFormat="1" applyFont="1" applyFill="1" applyBorder="1" applyAlignment="1">
      <x:alignment vertical="top" wrapText="1"/>
    </x:xf>
    <x:xf numFmtId="0" fontId="5" fillId="0" borderId="55"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17" borderId="55" xfId="0" applyNumberFormat="1" applyFont="1" applyFill="1" applyBorder="1" applyAlignment="1">
      <x:alignment vertical="top" wrapText="1"/>
    </x:xf>
    <x:xf numFmtId="0" fontId="0" fillId="20" borderId="55" xfId="0" applyNumberFormat="1" applyFont="1" applyFill="1" applyBorder="1" applyAlignment="1">
      <x:alignment vertical="top" wrapText="1"/>
    </x:xf>
    <x:xf numFmtId="0" fontId="0" fillId="18" borderId="55" xfId="0" applyNumberFormat="1" applyFont="1" applyFill="1" applyBorder="1" applyAlignment="1">
      <x:alignment vertical="top" wrapText="1"/>
    </x:xf>
    <x:xf numFmtId="0" fontId="0" fillId="16" borderId="55" xfId="0" applyNumberFormat="1" applyFont="1" applyFill="1" applyBorder="1" applyAlignment="1">
      <x:alignment vertical="top" wrapText="1"/>
    </x:xf>
    <x:xf numFmtId="0" fontId="0" fillId="17" borderId="55" xfId="0" applyNumberFormat="1" applyFont="1" applyFill="1" applyBorder="1" applyAlignment="1">
      <x:alignment vertical="center" wrapText="1"/>
    </x:xf>
    <x:xf numFmtId="0" fontId="0" fillId="16" borderId="56" xfId="0" applyNumberFormat="1" applyFont="1" applyFill="1" applyBorder="1" applyAlignment="1">
      <x:alignment vertical="top" wrapText="1"/>
    </x:xf>
    <x:xf numFmtId="0" fontId="4" fillId="3" borderId="37" xfId="0" applyNumberFormat="1" applyFont="1" applyFill="1" applyBorder="1" applyAlignment="1">
      <x:alignment horizontal="center" vertical="center" wrapText="1"/>
    </x:xf>
    <x:xf numFmtId="0" fontId="4" fillId="3" borderId="38" xfId="0" applyNumberFormat="1" applyFont="1" applyFill="1" applyBorder="1" applyAlignment="1">
      <x:alignment horizontal="center" vertical="center" wrapText="1"/>
    </x:xf>
    <x:xf numFmtId="0" fontId="4" fillId="3" borderId="39" xfId="0" applyNumberFormat="1" applyFont="1" applyFill="1" applyBorder="1" applyAlignment="1">
      <x:alignment horizontal="center" vertical="center" wrapText="1"/>
    </x:xf>
    <x:xf numFmtId="0" fontId="5" fillId="0" borderId="57" xfId="0" applyNumberFormat="1" applyFont="1" applyFill="1" applyBorder="1" applyAlignment="1">
      <x:alignment vertical="top" wrapText="1"/>
    </x:xf>
    <x:xf numFmtId="0" fontId="0" fillId="16" borderId="58" xfId="0" applyNumberFormat="1" applyFont="1" applyFill="1" applyBorder="1" applyAlignment="1">
      <x:alignment vertical="top" wrapText="1"/>
    </x:xf>
    <x:xf numFmtId="0" fontId="5" fillId="0" borderId="59" xfId="0" applyNumberFormat="1" applyFont="1" applyFill="1" applyBorder="1" applyAlignment="1">
      <x:alignment vertical="top" wrapText="1"/>
    </x:xf>
    <x:xf numFmtId="0" fontId="5" fillId="0" borderId="60" xfId="0" applyNumberFormat="1" applyFont="1" applyFill="1" applyBorder="1" applyAlignment="1">
      <x:alignment horizontal="center" vertical="top" wrapText="1"/>
    </x:xf>
    <x:xf numFmtId="0" fontId="0" fillId="0" borderId="60" xfId="0" applyNumberFormat="1" applyFont="1" applyFill="1" applyBorder="1" applyAlignment="1">
      <x:alignment vertical="top" wrapText="1"/>
    </x:xf>
    <x:xf numFmtId="0" fontId="0" fillId="17" borderId="60" xfId="0" applyNumberFormat="1" applyFont="1" applyFill="1" applyBorder="1" applyAlignment="1">
      <x:alignment vertical="top" wrapText="1"/>
    </x:xf>
    <x:xf numFmtId="0" fontId="0" fillId="20" borderId="60" xfId="0" applyNumberFormat="1" applyFont="1" applyFill="1" applyBorder="1" applyAlignment="1">
      <x:alignment vertical="top" wrapText="1"/>
    </x:xf>
    <x:xf numFmtId="0" fontId="0" fillId="18" borderId="60" xfId="0" applyNumberFormat="1" applyFont="1" applyFill="1" applyBorder="1" applyAlignment="1">
      <x:alignment vertical="top" wrapText="1"/>
    </x:xf>
    <x:xf numFmtId="0" fontId="0" fillId="16" borderId="60" xfId="0" applyNumberFormat="1" applyFont="1" applyFill="1" applyBorder="1" applyAlignment="1">
      <x:alignment vertical="top" wrapText="1"/>
    </x:xf>
    <x:xf numFmtId="0" fontId="0" fillId="17" borderId="60" xfId="0" applyNumberFormat="1" applyFont="1" applyFill="1" applyBorder="1" applyAlignment="1">
      <x:alignment vertical="center" wrapText="1"/>
    </x:xf>
    <x:xf numFmtId="0" fontId="0" fillId="16" borderId="61" xfId="0" applyNumberFormat="1" applyFont="1" applyFill="1" applyBorder="1" applyAlignment="1">
      <x:alignment vertical="top" wrapText="1"/>
    </x:xf>
    <x:xf numFmtId="0" fontId="0" fillId="18" borderId="29" xfId="0" applyNumberFormat="1" applyFont="1" applyFill="1" applyBorder="1" applyAlignment="1">
      <x:alignment horizontal="center" vertical="top" wrapText="1"/>
    </x:xf>
    <x:xf numFmtId="0" fontId="0" fillId="20" borderId="29" xfId="0" applyNumberFormat="1" applyFont="1" applyFill="1" applyBorder="1" applyAlignment="1">
      <x:alignment horizontal="center" vertical="top" wrapText="1"/>
    </x:xf>
    <x:xf numFmtId="0" fontId="0" fillId="16" borderId="29" xfId="0" applyNumberFormat="1" applyFont="1" applyFill="1" applyBorder="1" applyAlignment="1">
      <x:alignment horizontal="center" vertical="top" wrapText="1"/>
    </x:xf>
    <x:xf numFmtId="0" fontId="0" fillId="17" borderId="29" xfId="0" applyNumberFormat="1" applyFont="1" applyFill="1" applyBorder="1" applyAlignment="1">
      <x:alignment horizontal="center" vertical="top" wrapText="1"/>
    </x:xf>
    <x:xf numFmtId="0" fontId="0" fillId="19" borderId="29" xfId="0" applyNumberFormat="1" applyFont="1" applyFill="1" applyBorder="1" applyAlignment="1">
      <x:alignment horizontal="center" vertical="top" wrapText="1"/>
    </x:xf>
    <x:xf numFmtId="0" fontId="0" fillId="18" borderId="55" xfId="0" applyNumberFormat="1" applyFont="1" applyFill="1" applyBorder="1" applyAlignment="1">
      <x:alignment horizontal="center" vertical="top" wrapText="1"/>
    </x:xf>
    <x:xf numFmtId="0" fontId="0" fillId="20" borderId="55" xfId="0" applyNumberFormat="1" applyFont="1" applyFill="1" applyBorder="1" applyAlignment="1">
      <x:alignment horizontal="center" vertical="top" wrapText="1"/>
    </x:xf>
    <x:xf numFmtId="0" fontId="0" fillId="16" borderId="55" xfId="0" applyNumberFormat="1" applyFont="1" applyFill="1" applyBorder="1" applyAlignment="1">
      <x:alignment horizontal="center" vertical="top" wrapText="1"/>
    </x:xf>
    <x:xf numFmtId="0" fontId="0" fillId="17" borderId="55" xfId="0" applyNumberFormat="1" applyFont="1" applyFill="1" applyBorder="1" applyAlignment="1">
      <x:alignment horizontal="center" vertical="top" wrapText="1"/>
    </x:xf>
    <x:xf numFmtId="0" fontId="0" fillId="18" borderId="45" xfId="0" applyNumberFormat="1" applyFont="1" applyFill="1" applyBorder="1" applyAlignment="1">
      <x:alignment horizontal="center" vertical="top" wrapText="1"/>
    </x:xf>
    <x:xf numFmtId="0" fontId="0" fillId="20" borderId="45" xfId="0" applyNumberFormat="1" applyFont="1" applyFill="1" applyBorder="1" applyAlignment="1">
      <x:alignment horizontal="center" vertical="top" wrapText="1"/>
    </x:xf>
    <x:xf numFmtId="0" fontId="0" fillId="16" borderId="45" xfId="0" applyNumberFormat="1" applyFont="1" applyFill="1" applyBorder="1" applyAlignment="1">
      <x:alignment horizontal="center" vertical="top" wrapText="1"/>
    </x:xf>
    <x:xf numFmtId="0" fontId="0" fillId="17" borderId="45" xfId="0" applyNumberFormat="1" applyFont="1" applyFill="1" applyBorder="1" applyAlignment="1">
      <x:alignment horizontal="center" vertical="top" wrapText="1"/>
    </x:xf>
    <x:xf numFmtId="0" fontId="0" fillId="19" borderId="45" xfId="0" applyNumberFormat="1" applyFont="1" applyFill="1" applyBorder="1" applyAlignment="1">
      <x:alignment horizontal="center" vertical="top" wrapText="1"/>
    </x:xf>
    <x:xf numFmtId="0" fontId="0" fillId="18" borderId="60" xfId="0" applyNumberFormat="1" applyFont="1" applyFill="1" applyBorder="1" applyAlignment="1">
      <x:alignment horizontal="center" vertical="top" wrapText="1"/>
    </x:xf>
    <x:xf numFmtId="0" fontId="0" fillId="20" borderId="60" xfId="0" applyNumberFormat="1" applyFont="1" applyFill="1" applyBorder="1" applyAlignment="1">
      <x:alignment horizontal="center" vertical="top" wrapText="1"/>
    </x:xf>
    <x:xf numFmtId="0" fontId="0" fillId="16" borderId="60" xfId="0" applyNumberFormat="1" applyFont="1" applyFill="1" applyBorder="1" applyAlignment="1">
      <x:alignment horizontal="center" vertical="top" wrapText="1"/>
    </x:xf>
    <x:xf numFmtId="0" fontId="0" fillId="17" borderId="60" xfId="0" applyNumberFormat="1" applyFont="1" applyFill="1" applyBorder="1" applyAlignment="1">
      <x:alignment horizontal="center" vertical="top" wrapText="1"/>
    </x:xf>
    <x:xf numFmtId="0" fontId="0" fillId="18" borderId="29" xfId="0" applyNumberFormat="1" applyFont="1" applyFill="1" applyBorder="1" applyAlignment="1">
      <x:alignment horizontal="center" vertical="center" wrapText="1"/>
    </x:xf>
    <x:xf numFmtId="0" fontId="0" fillId="20" borderId="29" xfId="0" applyNumberFormat="1" applyFont="1" applyFill="1" applyBorder="1" applyAlignment="1">
      <x:alignment horizontal="center" vertical="center" wrapText="1"/>
    </x:xf>
    <x:xf numFmtId="0" fontId="0" fillId="16" borderId="29" xfId="0" applyNumberFormat="1" applyFont="1" applyFill="1" applyBorder="1" applyAlignment="1">
      <x:alignment horizontal="center" vertical="center" wrapText="1"/>
    </x:xf>
    <x:xf numFmtId="0" fontId="0" fillId="17" borderId="29" xfId="0" applyNumberFormat="1" applyFont="1" applyFill="1" applyBorder="1" applyAlignment="1">
      <x:alignment horizontal="center" vertical="center" wrapText="1"/>
    </x:xf>
    <x:xf numFmtId="0" fontId="0" fillId="19" borderId="29" xfId="0" applyNumberFormat="1" applyFont="1" applyFill="1" applyBorder="1" applyAlignment="1">
      <x:alignment horizontal="center" vertical="center" wrapText="1"/>
    </x:xf>
    <x:xf numFmtId="0" fontId="0" fillId="18" borderId="55" xfId="0" applyNumberFormat="1" applyFont="1" applyFill="1" applyBorder="1" applyAlignment="1">
      <x:alignment horizontal="center" vertical="center" wrapText="1"/>
    </x:xf>
    <x:xf numFmtId="0" fontId="0" fillId="20" borderId="55" xfId="0" applyNumberFormat="1" applyFont="1" applyFill="1" applyBorder="1" applyAlignment="1">
      <x:alignment horizontal="center" vertical="center" wrapText="1"/>
    </x:xf>
    <x:xf numFmtId="0" fontId="0" fillId="16" borderId="55" xfId="0" applyNumberFormat="1" applyFont="1" applyFill="1" applyBorder="1" applyAlignment="1">
      <x:alignment horizontal="center" vertical="center" wrapText="1"/>
    </x:xf>
    <x:xf numFmtId="0" fontId="0" fillId="17" borderId="55" xfId="0" applyNumberFormat="1" applyFont="1" applyFill="1" applyBorder="1" applyAlignment="1">
      <x:alignment horizontal="center" vertical="center" wrapText="1"/>
    </x:xf>
    <x:xf numFmtId="0" fontId="0" fillId="18" borderId="45" xfId="0" applyNumberFormat="1" applyFont="1" applyFill="1" applyBorder="1" applyAlignment="1">
      <x:alignment horizontal="center" vertical="center" wrapText="1"/>
    </x:xf>
    <x:xf numFmtId="0" fontId="0" fillId="20" borderId="45" xfId="0" applyNumberFormat="1" applyFont="1" applyFill="1" applyBorder="1" applyAlignment="1">
      <x:alignment horizontal="center" vertical="center" wrapText="1"/>
    </x:xf>
    <x:xf numFmtId="0" fontId="0" fillId="16" borderId="45" xfId="0" applyNumberFormat="1" applyFont="1" applyFill="1" applyBorder="1" applyAlignment="1">
      <x:alignment horizontal="center" vertical="center" wrapText="1"/>
    </x:xf>
    <x:xf numFmtId="0" fontId="0" fillId="17" borderId="45" xfId="0" applyNumberFormat="1" applyFont="1" applyFill="1" applyBorder="1" applyAlignment="1">
      <x:alignment horizontal="center" vertical="center" wrapText="1"/>
    </x:xf>
    <x:xf numFmtId="0" fontId="0" fillId="19" borderId="45" xfId="0" applyNumberFormat="1" applyFont="1" applyFill="1" applyBorder="1" applyAlignment="1">
      <x:alignment horizontal="center" vertical="center" wrapText="1"/>
    </x:xf>
    <x:xf numFmtId="0" fontId="0" fillId="18" borderId="60" xfId="0" applyNumberFormat="1" applyFont="1" applyFill="1" applyBorder="1" applyAlignment="1">
      <x:alignment horizontal="center" vertical="center" wrapText="1"/>
    </x:xf>
    <x:xf numFmtId="0" fontId="0" fillId="20" borderId="60" xfId="0" applyNumberFormat="1" applyFont="1" applyFill="1" applyBorder="1" applyAlignment="1">
      <x:alignment horizontal="center" vertical="center" wrapText="1"/>
    </x:xf>
    <x:xf numFmtId="0" fontId="0" fillId="16" borderId="60" xfId="0" applyNumberFormat="1" applyFont="1" applyFill="1" applyBorder="1" applyAlignment="1">
      <x:alignment horizontal="center" vertical="center" wrapText="1"/>
    </x:xf>
    <x:xf numFmtId="0" fontId="0" fillId="17" borderId="60" xfId="0" applyNumberFormat="1" applyFont="1" applyFill="1" applyBorder="1" applyAlignment="1">
      <x:alignment horizontal="center" vertical="center" wrapText="1"/>
    </x:xf>
    <x:xf numFmtId="0" fontId="0" fillId="17" borderId="30" xfId="0" applyNumberFormat="1" applyFont="1" applyFill="1" applyBorder="1" applyAlignment="1">
      <x:alignment horizontal="center" vertical="center" wrapText="1"/>
    </x:xf>
    <x:xf numFmtId="2" fontId="0" fillId="17" borderId="30" xfId="0" applyNumberFormat="1" applyFont="1" applyFill="1" applyBorder="1" applyAlignment="1">
      <x:alignment horizontal="center" vertical="center" wrapText="1"/>
    </x:xf>
    <x:xf numFmtId="0" fontId="0" fillId="17" borderId="46" xfId="0" applyNumberFormat="1" applyFont="1" applyFill="1" applyBorder="1" applyAlignment="1">
      <x:alignment horizontal="center" vertical="center" wrapText="1"/>
    </x:xf>
    <x:xf numFmtId="2" fontId="0" fillId="17" borderId="46" xfId="0" applyNumberFormat="1" applyFont="1" applyFill="1" applyBorder="1" applyAlignment="1">
      <x:alignment horizontal="center" vertical="center" wrapText="1"/>
    </x:xf>
    <x:xf numFmtId="0" fontId="3" fillId="17" borderId="30" xfId="0" applyNumberFormat="1" applyFont="1" applyFill="1" applyBorder="1" applyAlignment="1">
      <x:alignment horizontal="center" vertical="center" wrapText="1"/>
    </x:xf>
    <x:xf numFmtId="2" fontId="3" fillId="17" borderId="30" xfId="0" applyNumberFormat="1" applyFont="1" applyFill="1" applyBorder="1" applyAlignment="1">
      <x:alignment horizontal="center" vertical="center" wrapText="1"/>
    </x:xf>
    <x:xf numFmtId="0" fontId="3" fillId="17" borderId="29" xfId="0" applyNumberFormat="1" applyFont="1" applyFill="1" applyBorder="1" applyAlignment="1">
      <x:alignment horizontal="center" vertical="center" wrapText="1"/>
    </x:xf>
    <x:xf numFmtId="0" fontId="3" fillId="17" borderId="46" xfId="0" applyNumberFormat="1" applyFont="1" applyFill="1" applyBorder="1" applyAlignment="1">
      <x:alignment horizontal="center" vertical="center" wrapText="1"/>
    </x:xf>
    <x:xf numFmtId="2" fontId="3" fillId="17" borderId="46" xfId="0" applyNumberFormat="1" applyFont="1" applyFill="1" applyBorder="1" applyAlignment="1">
      <x:alignment horizontal="center" vertical="center" wrapText="1"/>
    </x:xf>
    <x:xf numFmtId="0" fontId="3" fillId="17" borderId="45" xfId="0" applyNumberFormat="1" applyFont="1" applyFill="1" applyBorder="1" applyAlignment="1">
      <x:alignment horizontal="center" vertical="center" wrapText="1"/>
    </x:xf>
    <x:xf numFmtId="0" fontId="3" fillId="4" borderId="62" xfId="0" applyNumberFormat="1" applyFont="1" applyFill="1" applyBorder="1" applyAlignment="1">
      <x:alignment vertical="center"/>
    </x:xf>
    <x:xf numFmtId="0" fontId="3" fillId="17" borderId="63" xfId="0" applyNumberFormat="1" applyFont="1" applyFill="1" applyBorder="1" applyAlignment="1">
      <x:alignment horizontal="center" vertical="center" wrapText="1"/>
    </x:xf>
    <x:xf numFmtId="0" fontId="3" fillId="4" borderId="52" xfId="0" applyNumberFormat="1" applyFont="1" applyFill="1" applyBorder="1" applyAlignment="1">
      <x:alignment vertical="center"/>
    </x:xf>
    <x:xf numFmtId="0" fontId="3" fillId="17" borderId="53" xfId="0" applyNumberFormat="1" applyFont="1" applyFill="1" applyBorder="1" applyAlignment="1">
      <x:alignment horizontal="center" vertical="center" wrapText="1"/>
    </x:xf>
    <x:xf numFmtId="2" fontId="3" fillId="17" borderId="53" xfId="0" applyNumberFormat="1" applyFont="1" applyFill="1" applyBorder="1" applyAlignment="1">
      <x:alignment horizontal="center" vertical="center" wrapText="1"/>
    </x:xf>
    <x:xf numFmtId="0" fontId="3" fillId="4" borderId="54" xfId="0" applyNumberFormat="1" applyFont="1" applyFill="1" applyBorder="1" applyAlignment="1">
      <x:alignment vertical="center"/>
    </x:xf>
    <x:xf numFmtId="0" fontId="3" fillId="17" borderId="56" xfId="0" applyNumberFormat="1" applyFont="1" applyFill="1" applyBorder="1" applyAlignment="1">
      <x:alignment horizontal="center" vertical="center" wrapText="1"/>
    </x:xf>
    <x:xf numFmtId="0" fontId="3" fillId="4" borderId="64" xfId="0" applyNumberFormat="1" applyFont="1" applyFill="1" applyBorder="1" applyAlignment="1">
      <x:alignment vertical="center"/>
    </x:xf>
    <x:xf numFmtId="0" fontId="3" fillId="17" borderId="65" xfId="0" applyNumberFormat="1" applyFont="1" applyFill="1" applyBorder="1" applyAlignment="1">
      <x:alignment horizontal="center" vertical="center" wrapText="1"/>
    </x:xf>
    <x:xf numFmtId="0" fontId="3" fillId="4" borderId="57" xfId="0" applyNumberFormat="1" applyFont="1" applyFill="1" applyBorder="1" applyAlignment="1">
      <x:alignment vertical="center"/>
    </x:xf>
    <x:xf numFmtId="0" fontId="3" fillId="17" borderId="58" xfId="0" applyNumberFormat="1" applyFont="1" applyFill="1" applyBorder="1" applyAlignment="1">
      <x:alignment horizontal="center" vertical="center" wrapText="1"/>
    </x:xf>
    <x:xf numFmtId="2" fontId="3" fillId="17" borderId="58" xfId="0" applyNumberFormat="1" applyFont="1" applyFill="1" applyBorder="1" applyAlignment="1">
      <x:alignment horizontal="center" vertical="center" wrapText="1"/>
    </x:xf>
    <x:xf numFmtId="0" fontId="3" fillId="4" borderId="59" xfId="0" applyNumberFormat="1" applyFont="1" applyFill="1" applyBorder="1" applyAlignment="1">
      <x:alignment vertical="center"/>
    </x:xf>
    <x:xf numFmtId="0" fontId="3" fillId="17" borderId="61" xfId="0" applyNumberFormat="1" applyFont="1" applyFill="1" applyBorder="1" applyAlignment="1">
      <x:alignment horizontal="center" vertical="center" wrapText="1"/>
    </x:xf>
    <x:xf numFmtId="2" fontId="0" fillId="17" borderId="29" xfId="0" applyNumberFormat="1" applyFont="1" applyFill="1" applyBorder="1" applyAlignment="1">
      <x:alignment horizontal="center" vertical="center" wrapText="1"/>
    </x:xf>
    <x:xf numFmtId="2" fontId="0" fillId="17" borderId="45" xfId="0" applyNumberFormat="1" applyFont="1" applyFill="1" applyBorder="1" applyAlignment="1">
      <x:alignment horizontal="center" vertical="center" wrapText="1"/>
    </x:xf>
    <x:xf numFmtId="2" fontId="3" fillId="17" borderId="29" xfId="0" applyNumberFormat="1" applyFont="1" applyFill="1" applyBorder="1" applyAlignment="1">
      <x:alignment horizontal="center" vertical="center" wrapText="1"/>
    </x:xf>
    <x:xf numFmtId="2" fontId="3" fillId="17" borderId="45" xfId="0" applyNumberFormat="1" applyFont="1" applyFill="1" applyBorder="1" applyAlignment="1">
      <x:alignment horizontal="center" vertical="center" wrapText="1"/>
    </x:xf>
    <x:xf numFmtId="0" fontId="0" fillId="21" borderId="29" xfId="0" applyNumberFormat="1" applyFont="1" applyFill="1" applyBorder="1" applyAlignment="1">
      <x:alignment vertical="top" wrapText="1"/>
    </x:xf>
    <x:xf numFmtId="164" fontId="0" fillId="21" borderId="29" xfId="0" applyNumberFormat="1" applyFont="1" applyFill="1" applyBorder="1" applyAlignment="1">
      <x:alignment vertical="top" wrapText="1"/>
    </x:xf>
    <x:xf numFmtId="0" fontId="0" fillId="21" borderId="45" xfId="0" applyNumberFormat="1" applyFont="1" applyFill="1" applyBorder="1" applyAlignment="1">
      <x:alignment vertical="top" wrapText="1"/>
    </x:xf>
    <x:xf numFmtId="164" fontId="0" fillId="21" borderId="45" xfId="0" applyNumberFormat="1" applyFont="1" applyFill="1" applyBorder="1" applyAlignment="1">
      <x:alignment vertical="top" wrapText="1"/>
    </x:xf>
    <x:xf numFmtId="0" fontId="3" fillId="20" borderId="29" xfId="0" applyNumberFormat="1" applyFont="1" applyFill="1" applyBorder="1" applyAlignment="1">
      <x:alignment vertical="top" wrapText="1"/>
    </x:xf>
    <x:xf numFmtId="0" fontId="3" fillId="20" borderId="29" xfId="0" applyNumberFormat="1" applyFont="1" applyFill="1" applyBorder="1" applyAlignment="1">
      <x:alignment horizontal="left" vertical="top" wrapText="1"/>
    </x:xf>
    <x:xf numFmtId="0" fontId="0" fillId="20" borderId="29" xfId="0" applyNumberFormat="1" applyFont="1" applyFill="1" applyBorder="1" applyAlignment="1">
      <x:alignment horizontal="left" vertical="top" wrapText="1"/>
    </x:xf>
    <x:xf numFmtId="0" fontId="3" fillId="20" borderId="45" xfId="0" applyNumberFormat="1" applyFont="1" applyFill="1" applyBorder="1" applyAlignment="1">
      <x:alignment vertical="top" wrapText="1"/>
    </x:xf>
    <x:xf numFmtId="0" fontId="3" fillId="20" borderId="45" xfId="0" applyNumberFormat="1" applyFont="1" applyFill="1" applyBorder="1" applyAlignment="1">
      <x:alignment horizontal="left" vertical="top" wrapText="1"/>
    </x:xf>
    <x:xf numFmtId="0" fontId="0" fillId="20" borderId="45" xfId="0" applyNumberFormat="1" applyFont="1" applyFill="1" applyBorder="1" applyAlignment="1">
      <x:alignment horizontal="left" vertical="top" wrapText="1"/>
    </x:xf>
    <x:xf numFmtId="0" fontId="0" fillId="0" borderId="22" xfId="0" applyNumberFormat="1" applyFont="1" applyFill="1" applyBorder="1"/>
    <x:xf numFmtId="0" fontId="3" fillId="4" borderId="22" xfId="0" applyNumberFormat="1" applyFont="1" applyFill="1" applyBorder="1" applyAlignment="1">
      <x:alignment vertical="center"/>
    </x:xf>
    <x:xf numFmtId="0" fontId="0" fillId="0" borderId="23" xfId="0" applyNumberFormat="1" applyFont="1" applyFill="1" applyBorder="1"/>
    <x:xf numFmtId="0" fontId="0" fillId="0" borderId="0" xfId="0" applyNumberFormat="1" applyFont="1" applyFill="1" applyBorder="1"/>
    <x:xf numFmtId="0" fontId="0" fillId="20" borderId="53" xfId="0" applyNumberFormat="1" applyFont="1" applyFill="1" applyBorder="1" applyAlignment="1">
      <x:alignment vertical="top" wrapText="1"/>
    </x:xf>
    <x:xf numFmtId="0" fontId="0" fillId="20" borderId="53" xfId="0" applyNumberFormat="1" applyFont="1" applyFill="1" applyBorder="1" applyAlignment="1">
      <x:alignment horizontal="left" vertical="top" wrapText="1"/>
    </x:xf>
    <x:xf numFmtId="0" fontId="0" fillId="21" borderId="55" xfId="0" applyNumberFormat="1" applyFont="1" applyFill="1" applyBorder="1" applyAlignment="1">
      <x:alignment vertical="top" wrapText="1"/>
    </x:xf>
    <x:xf numFmtId="164" fontId="0" fillId="21" borderId="55" xfId="0" applyNumberFormat="1" applyFont="1" applyFill="1" applyBorder="1" applyAlignment="1">
      <x:alignment vertical="top" wrapText="1"/>
    </x:xf>
    <x:xf numFmtId="0" fontId="0" fillId="0" borderId="27" xfId="0" applyNumberFormat="1" applyFont="1" applyFill="1" applyBorder="1"/>
    <x:xf numFmtId="0" fontId="3" fillId="4" borderId="55" xfId="0" applyNumberFormat="1" applyFont="1" applyFill="1" applyBorder="1" applyAlignment="1">
      <x:alignment horizontal="left" vertical="top" wrapText="1"/>
    </x:xf>
    <x:xf numFmtId="0" fontId="0" fillId="5" borderId="56" xfId="0" applyNumberFormat="1" applyFont="1" applyFill="1" applyBorder="1" applyAlignment="1">
      <x:alignment horizontal="left" vertical="top" wrapText="1"/>
    </x:xf>
    <x:xf numFmtId="0" fontId="0" fillId="0" borderId="38" xfId="0" applyNumberFormat="1" applyFont="1" applyFill="1" applyBorder="1"/>
    <x:xf numFmtId="0" fontId="3" fillId="4" borderId="38" xfId="0" applyNumberFormat="1" applyFont="1" applyFill="1" applyBorder="1" applyAlignment="1">
      <x:alignment vertical="center"/>
    </x:xf>
    <x:xf numFmtId="0" fontId="0" fillId="0" borderId="39" xfId="0" applyNumberFormat="1" applyFont="1" applyFill="1" applyBorder="1"/>
    <x:xf numFmtId="0" fontId="0" fillId="20" borderId="58" xfId="0" applyNumberFormat="1" applyFont="1" applyFill="1" applyBorder="1" applyAlignment="1">
      <x:alignment vertical="top" wrapText="1"/>
    </x:xf>
    <x:xf numFmtId="0" fontId="0" fillId="20" borderId="58" xfId="0" applyNumberFormat="1" applyFont="1" applyFill="1" applyBorder="1" applyAlignment="1">
      <x:alignment horizontal="left" vertical="top" wrapText="1"/>
    </x:xf>
    <x:xf numFmtId="0" fontId="0" fillId="21" borderId="60" xfId="0" applyNumberFormat="1" applyFont="1" applyFill="1" applyBorder="1" applyAlignment="1">
      <x:alignment vertical="top" wrapText="1"/>
    </x:xf>
    <x:xf numFmtId="164" fontId="0" fillId="21" borderId="60" xfId="0" applyNumberFormat="1" applyFont="1" applyFill="1" applyBorder="1" applyAlignment="1">
      <x:alignment vertical="top" wrapText="1"/>
    </x:xf>
    <x:xf numFmtId="0" fontId="0" fillId="0" borderId="43" xfId="0" applyNumberFormat="1" applyFont="1" applyFill="1" applyBorder="1"/>
    <x:xf numFmtId="0" fontId="3" fillId="4" borderId="60" xfId="0" applyNumberFormat="1" applyFont="1" applyFill="1" applyBorder="1" applyAlignment="1">
      <x:alignment horizontal="left" vertical="top" wrapText="1"/>
    </x:xf>
    <x:xf numFmtId="0" fontId="0" fillId="5" borderId="61" xfId="0" applyNumberFormat="1" applyFont="1" applyFill="1" applyBorder="1" applyAlignment="1">
      <x:alignment horizontal="left" vertical="top" wrapText="1"/>
    </x:xf>
    <x:xf numFmtId="0" fontId="0" fillId="0" borderId="22" xfId="0" applyNumberFormat="1" applyFont="1" applyFill="1" applyBorder="1" applyAlignment="1">
      <x:alignment wrapText="1"/>
    </x:xf>
    <x:xf numFmtId="0" fontId="3" fillId="4" borderId="22" xfId="0" applyNumberFormat="1" applyFont="1" applyFill="1" applyBorder="1" applyAlignment="1">
      <x:alignment vertical="center"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38" xfId="0" applyNumberFormat="1" applyFont="1" applyFill="1" applyBorder="1" applyAlignment="1">
      <x:alignment wrapText="1"/>
    </x:xf>
    <x:xf numFmtId="0" fontId="3" fillId="4" borderId="38" xfId="0" applyNumberFormat="1" applyFont="1" applyFill="1" applyBorder="1" applyAlignment="1">
      <x:alignment vertical="center" wrapText="1"/>
    </x:xf>
    <x:xf numFmtId="0" fontId="0" fillId="0" borderId="39" xfId="0" applyNumberFormat="1" applyFont="1" applyFill="1" applyBorder="1" applyAlignment="1">
      <x:alignment wrapText="1"/>
    </x:xf>
    <x:xf numFmtId="0" fontId="4" fillId="3" borderId="21" xfId="0" applyNumberFormat="1" applyFont="1" applyFill="1" applyBorder="1" applyAlignment="1">
      <x:alignment horizontal="center" vertical="top" wrapText="1"/>
    </x:xf>
    <x:xf numFmtId="0" fontId="4" fillId="3" borderId="22" xfId="0" applyNumberFormat="1" applyFont="1" applyFill="1" applyBorder="1" applyAlignment="1">
      <x:alignment horizontal="center" vertical="top" wrapText="1"/>
    </x:xf>
    <x:xf numFmtId="0" fontId="0" fillId="0" borderId="22" xfId="0" applyNumberFormat="1" applyFont="1" applyFill="1" applyBorder="1" applyAlignment="1">
      <x:alignment vertical="top" wrapText="1"/>
    </x:xf>
    <x:xf numFmtId="0" fontId="3" fillId="4"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4" fillId="3" borderId="37" xfId="0" applyNumberFormat="1" applyFont="1" applyFill="1" applyBorder="1" applyAlignment="1">
      <x:alignment horizontal="center" vertical="top" wrapText="1"/>
    </x:xf>
    <x:xf numFmtId="0" fontId="4" fillId="3" borderId="38" xfId="0" applyNumberFormat="1" applyFont="1" applyFill="1" applyBorder="1" applyAlignment="1">
      <x:alignment horizontal="center" vertical="top" wrapText="1"/>
    </x:xf>
    <x:xf numFmtId="0" fontId="0" fillId="0" borderId="38" xfId="0" applyNumberFormat="1" applyFont="1" applyFill="1" applyBorder="1" applyAlignment="1">
      <x:alignment vertical="top" wrapText="1"/>
    </x:xf>
    <x:xf numFmtId="0" fontId="3" fillId="4"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16" borderId="63" xfId="0" applyNumberFormat="1" applyFont="1" applyFill="1" applyBorder="1" applyAlignment="1">
      <x:alignment vertical="top" wrapText="1"/>
    </x:xf>
    <x:xf numFmtId="0" fontId="0" fillId="16" borderId="65" xfId="0" applyNumberFormat="1" applyFont="1" applyFill="1" applyBorder="1" applyAlignment="1">
      <x:alignment vertical="top" wrapText="1"/>
    </x:xf>
    <x:xf numFmtId="0" fontId="3" fillId="4" borderId="62" xfId="0" applyNumberFormat="1" applyFont="1" applyFill="1" applyBorder="1" applyAlignment="1">
      <x:alignment vertical="center" wrapText="1"/>
    </x:xf>
    <x:xf numFmtId="0" fontId="3" fillId="4" borderId="52" xfId="0" applyNumberFormat="1" applyFont="1" applyFill="1" applyBorder="1" applyAlignment="1">
      <x:alignment vertical="center" wrapText="1"/>
    </x:xf>
    <x:xf numFmtId="0" fontId="3" fillId="4" borderId="54" xfId="0" applyNumberFormat="1" applyFont="1" applyFill="1" applyBorder="1" applyAlignment="1">
      <x:alignment vertical="center" wrapText="1"/>
    </x:xf>
    <x:xf numFmtId="0" fontId="3" fillId="4" borderId="64" xfId="0" applyNumberFormat="1" applyFont="1" applyFill="1" applyBorder="1" applyAlignment="1">
      <x:alignment vertical="center" wrapText="1"/>
    </x:xf>
    <x:xf numFmtId="0" fontId="3" fillId="4" borderId="57" xfId="0" applyNumberFormat="1" applyFont="1" applyFill="1" applyBorder="1" applyAlignment="1">
      <x:alignment vertical="center" wrapText="1"/>
    </x:xf>
    <x:xf numFmtId="0" fontId="3" fillId="4" borderId="59" xfId="0" applyNumberFormat="1" applyFont="1" applyFill="1" applyBorder="1" applyAlignment="1">
      <x:alignment vertical="center" wrapText="1"/>
    </x:xf>
    <x:xf numFmtId="2" fontId="0" fillId="17" borderId="29" xfId="0" applyNumberFormat="1" applyFont="1" applyFill="1" applyBorder="1" applyAlignment="1">
      <x:alignment vertical="top" wrapText="1"/>
    </x:xf>
    <x:xf numFmtId="2" fontId="0" fillId="17" borderId="45" xfId="0" applyNumberFormat="1" applyFont="1" applyFill="1" applyBorder="1" applyAlignment="1">
      <x:alignment vertical="top" wrapText="1"/>
    </x:xf>
    <x:xf numFmtId="0" fontId="3" fillId="17" borderId="29" xfId="0" applyNumberFormat="1" applyFont="1" applyFill="1" applyBorder="1" applyAlignment="1">
      <x:alignment vertical="top" wrapText="1"/>
    </x:xf>
    <x:xf numFmtId="2" fontId="3" fillId="17" borderId="29" xfId="0" applyNumberFormat="1" applyFont="1" applyFill="1" applyBorder="1" applyAlignment="1">
      <x:alignment vertical="top" wrapText="1"/>
    </x:xf>
    <x:xf numFmtId="0" fontId="3" fillId="17" borderId="45" xfId="0" applyNumberFormat="1" applyFont="1" applyFill="1" applyBorder="1" applyAlignment="1">
      <x:alignment vertical="top" wrapText="1"/>
    </x:xf>
    <x:xf numFmtId="2" fontId="3" fillId="17" borderId="45" xfId="0" applyNumberFormat="1" applyFont="1" applyFill="1" applyBorder="1" applyAlignment="1">
      <x:alignment vertical="top" wrapText="1"/>
    </x:xf>
    <x:xf numFmtId="164" fontId="0" fillId="16" borderId="29" xfId="0" applyNumberFormat="1" applyFont="1" applyFill="1" applyBorder="1" applyAlignment="1">
      <x:alignment horizontal="left" vertical="top" wrapText="1"/>
    </x:xf>
    <x:xf numFmtId="0" fontId="0" fillId="16" borderId="29" xfId="0" applyNumberFormat="1" applyFont="1" applyFill="1" applyBorder="1" applyAlignment="1">
      <x:alignment horizontal="left" vertical="top" wrapText="1"/>
    </x:xf>
    <x:xf numFmtId="164" fontId="0" fillId="16" borderId="45" xfId="0" applyNumberFormat="1" applyFont="1" applyFill="1" applyBorder="1" applyAlignment="1">
      <x:alignment horizontal="left" vertical="top" wrapText="1"/>
    </x:xf>
    <x:xf numFmtId="0" fontId="0" fillId="16" borderId="45" xfId="0" applyNumberFormat="1" applyFont="1" applyFill="1" applyBorder="1" applyAlignment="1">
      <x:alignment horizontal="left" vertical="top" wrapText="1"/>
    </x:xf>
    <x:xf numFmtId="164" fontId="0" fillId="16" borderId="29" xfId="0" applyNumberFormat="1" applyFont="1" applyFill="1" applyBorder="1" applyAlignment="1">
      <x:alignment vertical="top" wrapText="1"/>
    </x:xf>
    <x:xf numFmtId="164" fontId="0" fillId="16" borderId="45" xfId="0" applyNumberFormat="1" applyFont="1" applyFill="1" applyBorder="1" applyAlignment="1">
      <x:alignment vertical="top" wrapText="1"/>
    </x:xf>
    <x:xf numFmtId="164" fontId="0" fillId="16" borderId="29" xfId="0" applyNumberFormat="1" applyFont="1" applyFill="1" applyBorder="1" applyAlignment="1">
      <x:alignment horizontal="center" vertical="top" wrapText="1"/>
    </x:xf>
    <x:xf numFmtId="164" fontId="0" fillId="16" borderId="45" xfId="0" applyNumberFormat="1" applyFont="1" applyFill="1" applyBorder="1" applyAlignment="1">
      <x:alignment horizontal="center" vertical="top" wrapText="1"/>
    </x:xf>
    <x:xf numFmtId="0" fontId="3" fillId="0" borderId="21" xfId="0" applyNumberFormat="1" applyFont="1" applyFill="1" applyBorder="1" applyAlignment="1">
      <x:alignment vertical="center"/>
    </x:xf>
    <x:xf numFmtId="0" fontId="3" fillId="0" borderId="22" xfId="0" applyNumberFormat="1" applyFont="1" applyFill="1" applyBorder="1" applyAlignment="1">
      <x:alignment vertical="center"/>
    </x:xf>
    <x:xf numFmtId="0" fontId="3" fillId="0" borderId="23" xfId="0" applyNumberFormat="1" applyFont="1" applyFill="1" applyBorder="1" applyAlignment="1">
      <x:alignment vertical="center"/>
    </x:xf>
    <x:xf numFmtId="0" fontId="3" fillId="4" borderId="52" xfId="0" applyNumberFormat="1" applyFont="1" applyFill="1" applyBorder="1" applyAlignment="1">
      <x:alignment vertical="top"/>
    </x:xf>
    <x:xf numFmtId="0" fontId="0" fillId="0" borderId="0" xfId="0" applyNumberFormat="1" applyFont="1" applyFill="1" applyBorder="1" applyAlignment="1">
      <x:alignment vertical="top"/>
    </x:xf>
    <x:xf numFmtId="0" fontId="3" fillId="4" borderId="29" xfId="0" applyNumberFormat="1" applyFont="1" applyFill="1" applyBorder="1" applyAlignment="1">
      <x:alignment vertical="top"/>
    </x:xf>
    <x:xf numFmtId="164" fontId="0" fillId="16" borderId="53" xfId="0" applyNumberFormat="1" applyFont="1" applyFill="1" applyBorder="1" applyAlignment="1">
      <x:alignment horizontal="left" vertical="top" wrapText="1"/>
    </x:xf>
    <x:xf numFmtId="0" fontId="3" fillId="4" borderId="32" xfId="0" applyNumberFormat="1" applyFont="1" applyFill="1" applyBorder="1" applyAlignment="1">
      <x:alignment horizontal="center" vertical="top"/>
    </x:xf>
    <x:xf numFmtId="0" fontId="0" fillId="16" borderId="53" xfId="0" applyNumberFormat="1" applyFont="1" applyFill="1" applyBorder="1" applyAlignment="1">
      <x:alignment horizontal="left" vertical="top" wrapText="1"/>
    </x:xf>
    <x:xf numFmtId="0" fontId="3" fillId="4" borderId="35" xfId="0" applyNumberFormat="1" applyFont="1" applyFill="1" applyBorder="1" applyAlignment="1">
      <x:alignment horizontal="center" vertical="top"/>
    </x:xf>
    <x:xf numFmtId="0" fontId="0" fillId="5" borderId="53" xfId="0" applyNumberFormat="1" applyFont="1" applyFill="1" applyBorder="1" applyAlignment="1">
      <x:alignment horizontal="left" vertical="top" wrapText="1"/>
    </x:xf>
    <x:xf numFmtId="0" fontId="3" fillId="4" borderId="54" xfId="0" applyNumberFormat="1" applyFont="1" applyFill="1" applyBorder="1" applyAlignment="1">
      <x:alignment vertical="top"/>
    </x:xf>
    <x:xf numFmtId="2" fontId="3" fillId="17" borderId="55" xfId="0" applyNumberFormat="1" applyFont="1" applyFill="1" applyBorder="1" applyAlignment="1">
      <x:alignment vertical="top" wrapText="1"/>
    </x:xf>
    <x:xf numFmtId="0" fontId="0" fillId="0" borderId="27" xfId="0" applyNumberFormat="1" applyFont="1" applyFill="1" applyBorder="1" applyAlignment="1">
      <x:alignment vertical="top"/>
    </x:xf>
    <x:xf numFmtId="0" fontId="3" fillId="4" borderId="66" xfId="0" applyNumberFormat="1" applyFont="1" applyFill="1" applyBorder="1" applyAlignment="1">
      <x:alignment horizontal="center" vertical="top"/>
    </x:xf>
    <x:xf numFmtId="0" fontId="3" fillId="0" borderId="37" xfId="0" applyNumberFormat="1" applyFont="1" applyFill="1" applyBorder="1" applyAlignment="1">
      <x:alignment vertical="center"/>
    </x:xf>
    <x:xf numFmtId="0" fontId="3" fillId="0" borderId="38" xfId="0" applyNumberFormat="1" applyFont="1" applyFill="1" applyBorder="1" applyAlignment="1">
      <x:alignment vertical="center"/>
    </x:xf>
    <x:xf numFmtId="0" fontId="3" fillId="0" borderId="39" xfId="0" applyNumberFormat="1" applyFont="1" applyFill="1" applyBorder="1" applyAlignment="1">
      <x:alignment vertical="center"/>
    </x:xf>
    <x:xf numFmtId="0" fontId="3" fillId="4" borderId="57" xfId="0" applyNumberFormat="1" applyFont="1" applyFill="1" applyBorder="1" applyAlignment="1">
      <x:alignment vertical="top"/>
    </x:xf>
    <x:xf numFmtId="164" fontId="0" fillId="16" borderId="58" xfId="0" applyNumberFormat="1" applyFont="1" applyFill="1" applyBorder="1" applyAlignment="1">
      <x:alignment horizontal="left" vertical="top" wrapText="1"/>
    </x:xf>
    <x:xf numFmtId="0" fontId="0" fillId="16" borderId="58" xfId="0" applyNumberFormat="1" applyFont="1" applyFill="1" applyBorder="1" applyAlignment="1">
      <x:alignment horizontal="left" vertical="top" wrapText="1"/>
    </x:xf>
    <x:xf numFmtId="0" fontId="0" fillId="5" borderId="58" xfId="0" applyNumberFormat="1" applyFont="1" applyFill="1" applyBorder="1" applyAlignment="1">
      <x:alignment horizontal="left" vertical="top" wrapText="1"/>
    </x:xf>
    <x:xf numFmtId="0" fontId="3" fillId="4" borderId="59" xfId="0" applyNumberFormat="1" applyFont="1" applyFill="1" applyBorder="1" applyAlignment="1">
      <x:alignment vertical="top"/>
    </x:xf>
    <x:xf numFmtId="2" fontId="3" fillId="17" borderId="60" xfId="0" applyNumberFormat="1" applyFont="1" applyFill="1" applyBorder="1" applyAlignment="1">
      <x:alignment vertical="top" wrapText="1"/>
    </x:xf>
    <x:xf numFmtId="0" fontId="0" fillId="0" borderId="43" xfId="0" applyNumberFormat="1" applyFont="1" applyFill="1" applyBorder="1" applyAlignment="1">
      <x:alignment vertical="top"/>
    </x:xf>
    <x:xf numFmtId="0" fontId="3" fillId="4" borderId="67" xfId="0" applyNumberFormat="1" applyFont="1" applyFill="1" applyBorder="1" applyAlignment="1">
      <x:alignment horizontal="center" vertical="top"/>
    </x:xf>
    <x:xf numFmtId="0" fontId="3" fillId="0" borderId="52" xfId="0" applyNumberFormat="1" applyFont="1" applyFill="1" applyBorder="1" applyAlignment="1">
      <x:alignment vertical="top"/>
    </x:xf>
    <x:xf numFmtId="0" fontId="3" fillId="0" borderId="29" xfId="0" applyNumberFormat="1" applyFont="1" applyFill="1" applyBorder="1" applyAlignment="1">
      <x:alignment horizontal="left" vertical="top" wrapText="1"/>
    </x:xf>
    <x:xf numFmtId="0" fontId="0" fillId="0" borderId="53"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3" fillId="0" borderId="54" xfId="0" applyNumberFormat="1" applyFont="1" applyFill="1" applyBorder="1" applyAlignment="1">
      <x:alignment vertical="center"/>
    </x:xf>
    <x:xf numFmtId="164" fontId="0" fillId="16" borderId="55"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3" fillId="0" borderId="57" xfId="0" applyNumberFormat="1" applyFont="1" applyFill="1" applyBorder="1" applyAlignment="1">
      <x:alignment vertical="top"/>
    </x:xf>
    <x:xf numFmtId="0" fontId="0" fillId="0" borderId="58"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3" fillId="0" borderId="59" xfId="0" applyNumberFormat="1" applyFont="1" applyFill="1" applyBorder="1" applyAlignment="1">
      <x:alignment vertical="center"/>
    </x:xf>
    <x:xf numFmtId="164" fontId="0" fillId="16" borderId="60"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3" fillId="0" borderId="52" xfId="0" applyNumberFormat="1" applyFont="1" applyFill="1" applyBorder="1" applyAlignment="1">
      <x:alignment horizontal="center" vertical="center"/>
    </x:xf>
    <x:xf numFmtId="0" fontId="0" fillId="16" borderId="53" xfId="0" applyNumberFormat="1" applyFont="1" applyFill="1" applyBorder="1" applyAlignment="1">
      <x:alignment horizontal="center" vertical="top" wrapText="1"/>
    </x:xf>
    <x:xf numFmtId="164" fontId="0" fillId="16" borderId="53"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center"/>
    </x:xf>
    <x:xf numFmtId="164" fontId="0" fillId="16" borderId="56" xfId="0" applyNumberFormat="1" applyFont="1" applyFill="1" applyBorder="1" applyAlignment="1">
      <x:alignment horizontal="center" vertical="top" wrapText="1"/>
    </x:xf>
    <x:xf numFmtId="0" fontId="3" fillId="0" borderId="57" xfId="0" applyNumberFormat="1" applyFont="1" applyFill="1" applyBorder="1" applyAlignment="1">
      <x:alignment horizontal="center" vertical="center"/>
    </x:xf>
    <x:xf numFmtId="0" fontId="0" fillId="16" borderId="58" xfId="0" applyNumberFormat="1" applyFont="1" applyFill="1" applyBorder="1" applyAlignment="1">
      <x:alignment horizontal="center" vertical="top" wrapText="1"/>
    </x:xf>
    <x:xf numFmtId="164" fontId="0" fillId="16" borderId="58"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center"/>
    </x:xf>
    <x:xf numFmtId="164" fontId="0" fillId="16" borderId="61" xfId="0" applyNumberFormat="1" applyFont="1" applyFill="1" applyBorder="1" applyAlignment="1">
      <x:alignment horizontal="center" vertical="top" wrapText="1"/>
    </x:xf>
    <x:xf numFmtId="0" fontId="3" fillId="0" borderId="21" xfId="0" applyNumberFormat="1" applyFont="1" applyFill="1" applyBorder="1" applyAlignment="1">
      <x:alignment vertical="center" wrapText="1"/>
    </x:xf>
    <x:xf numFmtId="0" fontId="3" fillId="0" borderId="22" xfId="0" applyNumberFormat="1" applyFont="1" applyFill="1" applyBorder="1" applyAlignment="1">
      <x:alignment vertical="center" wrapText="1"/>
    </x:xf>
    <x:xf numFmtId="0" fontId="3" fillId="0" borderId="23" xfId="0" applyNumberFormat="1" applyFont="1" applyFill="1" applyBorder="1" applyAlignment="1">
      <x:alignment vertical="center" wrapText="1"/>
    </x:xf>
    <x:xf numFmtId="0" fontId="3" fillId="4" borderId="52" xfId="0" applyNumberFormat="1" applyFont="1" applyFill="1" applyBorder="1" applyAlignment="1">
      <x:alignment vertical="top" wrapText="1"/>
    </x:xf>
    <x:xf numFmtId="0" fontId="3" fillId="4" borderId="29" xfId="0" applyNumberFormat="1" applyFont="1" applyFill="1" applyBorder="1" applyAlignment="1">
      <x:alignment vertical="top" wrapText="1"/>
    </x:xf>
    <x:xf numFmtId="0" fontId="3" fillId="4" borderId="32" xfId="0" applyNumberFormat="1" applyFont="1" applyFill="1" applyBorder="1" applyAlignment="1">
      <x:alignment horizontal="center" vertical="top" wrapText="1"/>
    </x:xf>
    <x:xf numFmtId="0" fontId="3" fillId="4" borderId="35" xfId="0" applyNumberFormat="1" applyFont="1" applyFill="1" applyBorder="1" applyAlignment="1">
      <x:alignment horizontal="center" vertical="top" wrapText="1"/>
    </x:xf>
    <x:xf numFmtId="0" fontId="3" fillId="4" borderId="54" xfId="0" applyNumberFormat="1" applyFont="1" applyFill="1" applyBorder="1" applyAlignment="1">
      <x:alignment vertical="top" wrapText="1"/>
    </x:xf>
    <x:xf numFmtId="0" fontId="3" fillId="4" borderId="66" xfId="0" applyNumberFormat="1" applyFont="1" applyFill="1" applyBorder="1" applyAlignment="1">
      <x:alignment horizontal="center" vertical="top" wrapText="1"/>
    </x:xf>
    <x:xf numFmtId="0" fontId="3" fillId="0" borderId="52" xfId="0" applyNumberFormat="1" applyFont="1" applyFill="1" applyBorder="1" applyAlignment="1">
      <x:alignment vertical="top" wrapText="1"/>
    </x:xf>
    <x:xf numFmtId="0" fontId="3" fillId="0" borderId="54"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3" fillId="0" borderId="52" xfId="0" applyNumberFormat="1" applyFont="1" applyFill="1" applyBorder="1" applyAlignment="1">
      <x:alignment horizontal="center" vertical="center" wrapText="1"/>
    </x:xf>
    <x:xf numFmtId="0" fontId="3" fillId="0" borderId="54" xfId="0" applyNumberFormat="1" applyFont="1" applyFill="1" applyBorder="1" applyAlignment="1">
      <x:alignment horizontal="center" vertical="center" wrapText="1"/>
    </x:xf>
    <x:xf numFmtId="0" fontId="3" fillId="0" borderId="37" xfId="0" applyNumberFormat="1" applyFont="1" applyFill="1" applyBorder="1" applyAlignment="1">
      <x:alignment vertical="center" wrapText="1"/>
    </x:xf>
    <x:xf numFmtId="0" fontId="3" fillId="0" borderId="38" xfId="0" applyNumberFormat="1" applyFont="1" applyFill="1" applyBorder="1" applyAlignment="1">
      <x:alignment vertical="center" wrapText="1"/>
    </x:xf>
    <x:xf numFmtId="0" fontId="3" fillId="0" borderId="39" xfId="0" applyNumberFormat="1" applyFont="1" applyFill="1" applyBorder="1" applyAlignment="1">
      <x:alignment vertical="center" wrapText="1"/>
    </x:xf>
    <x:xf numFmtId="0" fontId="3" fillId="4" borderId="57" xfId="0" applyNumberFormat="1" applyFont="1" applyFill="1" applyBorder="1" applyAlignment="1">
      <x:alignment vertical="top" wrapText="1"/>
    </x:xf>
    <x:xf numFmtId="0" fontId="3" fillId="4" borderId="48" xfId="0" applyNumberFormat="1" applyFont="1" applyFill="1" applyBorder="1" applyAlignment="1">
      <x:alignment horizontal="center" vertical="top" wrapText="1"/>
    </x:xf>
    <x:xf numFmtId="0" fontId="3" fillId="4" borderId="51" xfId="0" applyNumberFormat="1" applyFont="1" applyFill="1" applyBorder="1" applyAlignment="1">
      <x:alignment horizontal="center" vertical="top" wrapText="1"/>
    </x:xf>
    <x:xf numFmtId="0" fontId="3" fillId="4" borderId="59" xfId="0" applyNumberFormat="1" applyFont="1" applyFill="1" applyBorder="1" applyAlignment="1">
      <x:alignment vertical="top" wrapText="1"/>
    </x:xf>
    <x:xf numFmtId="0" fontId="3" fillId="4" borderId="67" xfId="0" applyNumberFormat="1" applyFont="1" applyFill="1" applyBorder="1" applyAlignment="1">
      <x:alignment horizontal="center" vertical="top" wrapText="1"/>
    </x:xf>
    <x:xf numFmtId="0" fontId="3" fillId="0" borderId="57" xfId="0" applyNumberFormat="1" applyFont="1" applyFill="1" applyBorder="1" applyAlignment="1">
      <x:alignment vertical="top" wrapText="1"/>
    </x:xf>
    <x:xf numFmtId="0" fontId="3" fillId="0" borderId="59" xfId="0" applyNumberFormat="1" applyFont="1" applyFill="1" applyBorder="1" applyAlignment="1">
      <x:alignment vertical="center" wrapText="1"/>
    </x:xf>
    <x:xf numFmtId="0" fontId="3" fillId="0" borderId="36" xfId="0" applyNumberFormat="1" applyFont="1" applyFill="1" applyBorder="1" applyAlignment="1">
      <x:alignment vertical="center" wrapText="1"/>
    </x:xf>
    <x:xf numFmtId="0" fontId="3" fillId="0" borderId="57" xfId="0" applyNumberFormat="1" applyFont="1" applyFill="1" applyBorder="1" applyAlignment="1">
      <x:alignment horizontal="center" vertical="center" wrapText="1"/>
    </x:xf>
    <x:xf numFmtId="0" fontId="3" fillId="0" borderId="59" xfId="0" applyNumberFormat="1" applyFont="1" applyFill="1" applyBorder="1" applyAlignment="1">
      <x:alignment horizontal="center" vertical="center" wrapText="1"/>
    </x:xf>
    <x:xf numFmtId="0" fontId="3" fillId="0" borderId="21"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3" xfId="0" applyNumberFormat="1" applyFont="1" applyFill="1" applyBorder="1" applyAlignment="1">
      <x:alignment vertical="top" wrapText="1"/>
    </x:xf>
    <x:xf numFmtId="0" fontId="3" fillId="0" borderId="5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52" xfId="0" applyNumberFormat="1" applyFont="1" applyFill="1" applyBorder="1" applyAlignment="1">
      <x:alignment horizontal="center" vertical="top" wrapText="1"/>
    </x:xf>
    <x:xf numFmtId="0" fontId="3" fillId="0" borderId="54" xfId="0" applyNumberFormat="1" applyFont="1" applyFill="1" applyBorder="1" applyAlignment="1">
      <x:alignment horizontal="center" vertical="top" wrapText="1"/>
    </x:xf>
    <x:xf numFmtId="0" fontId="3" fillId="0" borderId="37" xfId="0" applyNumberFormat="1" applyFont="1" applyFill="1" applyBorder="1" applyAlignment="1">
      <x:alignment vertical="top" wrapText="1"/>
    </x:xf>
    <x:xf numFmtId="0" fontId="3" fillId="0" borderId="38" xfId="0" applyNumberFormat="1" applyFont="1" applyFill="1" applyBorder="1" applyAlignment="1">
      <x:alignment vertical="top" wrapText="1"/>
    </x:xf>
    <x:xf numFmtId="0" fontId="3" fillId="0" borderId="39" xfId="0" applyNumberFormat="1" applyFont="1" applyFill="1" applyBorder="1" applyAlignment="1">
      <x:alignment vertical="top" wrapText="1"/>
    </x:xf>
    <x:xf numFmtId="0" fontId="3" fillId="0" borderId="59"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3" fillId="0" borderId="57" xfId="0" applyNumberFormat="1" applyFont="1" applyFill="1" applyBorder="1" applyAlignment="1">
      <x:alignment horizontal="center" vertical="top" wrapText="1"/>
    </x:xf>
    <x:xf numFmtId="0" fontId="3" fillId="0" borderId="59" xfId="0" applyNumberFormat="1" applyFont="1" applyFill="1" applyBorder="1" applyAlignment="1">
      <x:alignment horizontal="center" vertical="top" wrapText="1"/>
    </x:xf>
    <x:xf numFmtId="0" fontId="0" fillId="20" borderId="0" xfId="0" applyNumberFormat="1" applyFont="1" applyFill="1" applyBorder="1"/>
    <x:xf numFmtId="0" fontId="0" fillId="20" borderId="36" xfId="0" applyNumberFormat="1" applyFont="1" applyFill="1" applyBorder="1"/>
    <x:xf numFmtId="0" fontId="8" fillId="20" borderId="0" xfId="0" applyNumberFormat="1" applyFont="1" applyFill="1" applyBorder="1"/>
    <x:xf numFmtId="0" fontId="8" fillId="20" borderId="36" xfId="0" applyNumberFormat="1" applyFont="1" applyFill="1" applyBorder="1"/>
    <x:xf numFmtId="0" fontId="8" fillId="20" borderId="0" xfId="0" applyNumberFormat="1" applyFont="1" applyFill="1" applyBorder="1" applyAlignment="1">
      <x:alignment wrapText="1"/>
    </x:xf>
    <x:xf numFmtId="0" fontId="8" fillId="20" borderId="36" xfId="0" applyNumberFormat="1" applyFont="1" applyFill="1" applyBorder="1" applyAlignment="1">
      <x:alignment wrapText="1"/>
    </x:xf>
    <x:xf numFmtId="0" fontId="8" fillId="16" borderId="0" xfId="0" applyNumberFormat="1" applyFont="1" applyFill="1" applyBorder="1" applyAlignment="1">
      <x:alignment horizontal="center"/>
    </x:xf>
    <x:xf numFmtId="0" fontId="8" fillId="16" borderId="36"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8" fillId="16" borderId="36" xfId="0" applyNumberFormat="1" applyFont="1" applyFill="1" applyBorder="1" applyAlignment="1">
      <x:alignment horizontal="center" vertical="center"/>
    </x:xf>
    <x:xf numFmtId="0" fontId="8" fillId="17" borderId="0" xfId="0" applyNumberFormat="1" applyFont="1" applyFill="1" applyBorder="1" applyAlignment="1">
      <x:alignment horizontal="center"/>
    </x:xf>
    <x:xf numFmtId="0" fontId="8" fillId="17" borderId="36" xfId="0" applyNumberFormat="1" applyFont="1" applyFill="1" applyBorder="1" applyAlignment="1">
      <x:alignment horizontal="center"/>
    </x:xf>
    <x:xf numFmtId="0" fontId="8" fillId="17" borderId="0" xfId="0" applyNumberFormat="1" applyFont="1" applyFill="1" applyBorder="1" applyAlignment="1">
      <x:alignment horizontal="center" vertical="center"/>
    </x:xf>
    <x:xf numFmtId="0" fontId="8" fillId="17" borderId="36" xfId="0" applyNumberFormat="1" applyFont="1" applyFill="1" applyBorder="1" applyAlignment="1">
      <x:alignment horizontal="center" vertical="center"/>
    </x:xf>
    <x:xf numFmtId="0" fontId="8" fillId="18" borderId="0" xfId="0" applyNumberFormat="1" applyFont="1" applyFill="1" applyBorder="1" applyAlignment="1">
      <x:alignment horizontal="center"/>
    </x:xf>
    <x:xf numFmtId="0" fontId="8" fillId="18" borderId="36" xfId="0" applyNumberFormat="1" applyFont="1" applyFill="1" applyBorder="1" applyAlignment="1">
      <x:alignment horizontal="center"/>
    </x:xf>
    <x:xf numFmtId="0" fontId="8" fillId="18" borderId="0" xfId="0" applyNumberFormat="1" applyFont="1" applyFill="1" applyBorder="1" applyAlignment="1">
      <x:alignment horizontal="center" vertical="center"/>
    </x:xf>
    <x:xf numFmtId="0" fontId="8" fillId="18" borderId="36" xfId="0" applyNumberFormat="1" applyFont="1" applyFill="1" applyBorder="1" applyAlignment="1">
      <x:alignment horizontal="center" vertical="center"/>
    </x:xf>
    <x:xf numFmtId="0" fontId="8" fillId="19" borderId="0" xfId="0" applyNumberFormat="1" applyFont="1" applyFill="1" applyBorder="1" applyAlignment="1">
      <x:alignment horizontal="center"/>
    </x:xf>
    <x:xf numFmtId="0" fontId="8" fillId="19" borderId="36" xfId="0" applyNumberFormat="1" applyFont="1" applyFill="1" applyBorder="1" applyAlignment="1">
      <x:alignment horizontal="center"/>
    </x:xf>
    <x:xf numFmtId="0" fontId="8" fillId="19" borderId="0" xfId="0" applyNumberFormat="1" applyFont="1" applyFill="1" applyBorder="1" applyAlignment="1">
      <x:alignment horizontal="center" vertical="center"/>
    </x:xf>
    <x:xf numFmtId="0" fontId="8" fillId="19" borderId="36" xfId="0" applyNumberFormat="1" applyFont="1" applyFill="1" applyBorder="1" applyAlignment="1">
      <x:alignment horizontal="center" vertical="center"/>
    </x:xf>
    <x:xf numFmtId="0" fontId="8" fillId="16" borderId="0" xfId="0" applyNumberFormat="1" applyFont="1" applyFill="1" applyBorder="1" applyAlignment="1">
      <x:alignment horizontal="center" vertical="center" wrapText="1"/>
    </x:xf>
    <x:xf numFmtId="0" fontId="8" fillId="17" borderId="0" xfId="0" applyNumberFormat="1" applyFont="1" applyFill="1" applyBorder="1" applyAlignment="1">
      <x:alignment horizontal="center" vertical="center" wrapText="1"/>
    </x:xf>
    <x:xf numFmtId="0" fontId="8" fillId="18" borderId="0" xfId="0" applyNumberFormat="1" applyFont="1" applyFill="1" applyBorder="1" applyAlignment="1">
      <x:alignment horizontal="center" vertical="center" wrapText="1"/>
    </x:xf>
    <x:xf numFmtId="0" fontId="8" fillId="19" borderId="0" xfId="0" applyNumberFormat="1" applyFont="1" applyFill="1" applyBorder="1" applyAlignment="1">
      <x:alignment horizontal="center" vertical="center" wrapText="1"/>
    </x:xf>
    <x:xf numFmtId="0" fontId="8" fillId="16" borderId="36" xfId="0" applyNumberFormat="1" applyFont="1" applyFill="1" applyBorder="1" applyAlignment="1">
      <x:alignment horizontal="center" vertical="center" wrapText="1"/>
    </x:xf>
    <x:xf numFmtId="0" fontId="8" fillId="17" borderId="36" xfId="0" applyNumberFormat="1" applyFont="1" applyFill="1" applyBorder="1" applyAlignment="1">
      <x:alignment horizontal="center" vertical="center" wrapText="1"/>
    </x:xf>
    <x:xf numFmtId="0" fontId="8" fillId="18" borderId="36" xfId="0" applyNumberFormat="1" applyFont="1" applyFill="1" applyBorder="1" applyAlignment="1">
      <x:alignment horizontal="center" vertical="center" wrapText="1"/>
    </x:xf>
    <x:xf numFmtId="0" fontId="8" fillId="19" borderId="36" xfId="0" applyNumberFormat="1" applyFont="1" applyFill="1" applyBorder="1" applyAlignment="1">
      <x:alignment horizontal="center" vertical="center" wrapText="1"/>
    </x:xf>
    <x:xf numFmtId="0" fontId="3" fillId="21" borderId="0" xfId="0" applyNumberFormat="1" applyFont="1" applyFill="1" applyBorder="1" applyAlignment="1">
      <x:alignment vertical="center"/>
    </x:xf>
    <x:xf numFmtId="0" fontId="0" fillId="21" borderId="0" xfId="0" applyNumberFormat="1" applyFont="1" applyFill="1" applyBorder="1" applyAlignment="1">
      <x:alignment vertical="top" wrapText="1"/>
    </x:xf>
    <x:xf numFmtId="0" fontId="3" fillId="21" borderId="36" xfId="0" applyNumberFormat="1" applyFont="1" applyFill="1" applyBorder="1" applyAlignment="1">
      <x:alignment vertical="center"/>
    </x:xf>
    <x:xf numFmtId="0" fontId="0" fillId="21" borderId="36" xfId="0" applyNumberFormat="1" applyFont="1" applyFill="1" applyBorder="1" applyAlignment="1">
      <x:alignment vertical="top" wrapText="1"/>
    </x:xf>
    <x:xf numFmtId="0" fontId="9" fillId="18" borderId="29" xfId="0" applyNumberFormat="1" applyFont="1" applyFill="1" applyBorder="1" applyAlignment="1">
      <x:alignment horizontal="center" vertical="center" wrapText="1"/>
    </x:xf>
    <x:xf numFmtId="0" fontId="9" fillId="20" borderId="29" xfId="0" applyNumberFormat="1" applyFont="1" applyFill="1" applyBorder="1" applyAlignment="1">
      <x:alignment horizontal="center" vertical="center" wrapText="1"/>
    </x:xf>
    <x:xf numFmtId="0" fontId="9" fillId="16" borderId="29" xfId="0" applyNumberFormat="1" applyFont="1" applyFill="1" applyBorder="1" applyAlignment="1">
      <x:alignment horizontal="center" vertical="center" wrapText="1"/>
    </x:xf>
    <x:xf numFmtId="0" fontId="9" fillId="17" borderId="29" xfId="0" applyNumberFormat="1" applyFont="1" applyFill="1" applyBorder="1" applyAlignment="1">
      <x:alignment horizontal="center" vertical="center" wrapText="1"/>
    </x:xf>
    <x:xf numFmtId="0" fontId="9" fillId="19" borderId="29" xfId="0" applyNumberFormat="1" applyFont="1" applyFill="1" applyBorder="1" applyAlignment="1">
      <x:alignment horizontal="center" vertical="center" wrapText="1"/>
    </x:xf>
    <x:xf numFmtId="0" fontId="9" fillId="18" borderId="55" xfId="0" applyNumberFormat="1" applyFont="1" applyFill="1" applyBorder="1" applyAlignment="1">
      <x:alignment horizontal="center" vertical="center" wrapText="1"/>
    </x:xf>
    <x:xf numFmtId="0" fontId="9" fillId="20" borderId="55" xfId="0" applyNumberFormat="1" applyFont="1" applyFill="1" applyBorder="1" applyAlignment="1">
      <x:alignment horizontal="center" vertical="center" wrapText="1"/>
    </x:xf>
    <x:xf numFmtId="0" fontId="9" fillId="16" borderId="55" xfId="0" applyNumberFormat="1" applyFont="1" applyFill="1" applyBorder="1" applyAlignment="1">
      <x:alignment horizontal="center" vertical="center" wrapText="1"/>
    </x:xf>
    <x:xf numFmtId="0" fontId="9" fillId="17" borderId="55" xfId="0" applyNumberFormat="1" applyFont="1" applyFill="1" applyBorder="1" applyAlignment="1">
      <x:alignment horizontal="center" vertical="center" wrapText="1"/>
    </x:xf>
    <x:xf numFmtId="0" fontId="9" fillId="18" borderId="45" xfId="0" applyNumberFormat="1" applyFont="1" applyFill="1" applyBorder="1" applyAlignment="1">
      <x:alignment horizontal="center" vertical="center" wrapText="1"/>
    </x:xf>
    <x:xf numFmtId="0" fontId="9" fillId="20" borderId="45" xfId="0" applyNumberFormat="1" applyFont="1" applyFill="1" applyBorder="1" applyAlignment="1">
      <x:alignment horizontal="center" vertical="center" wrapText="1"/>
    </x:xf>
    <x:xf numFmtId="0" fontId="9" fillId="16" borderId="45" xfId="0" applyNumberFormat="1" applyFont="1" applyFill="1" applyBorder="1" applyAlignment="1">
      <x:alignment horizontal="center" vertical="center" wrapText="1"/>
    </x:xf>
    <x:xf numFmtId="0" fontId="9" fillId="17" borderId="45" xfId="0" applyNumberFormat="1" applyFont="1" applyFill="1" applyBorder="1" applyAlignment="1">
      <x:alignment horizontal="center" vertical="center" wrapText="1"/>
    </x:xf>
    <x:xf numFmtId="0" fontId="9" fillId="19" borderId="45" xfId="0" applyNumberFormat="1" applyFont="1" applyFill="1" applyBorder="1" applyAlignment="1">
      <x:alignment horizontal="center" vertical="center" wrapText="1"/>
    </x:xf>
    <x:xf numFmtId="0" fontId="9" fillId="18" borderId="60" xfId="0" applyNumberFormat="1" applyFont="1" applyFill="1" applyBorder="1" applyAlignment="1">
      <x:alignment horizontal="center" vertical="center" wrapText="1"/>
    </x:xf>
    <x:xf numFmtId="0" fontId="9" fillId="20" borderId="60" xfId="0" applyNumberFormat="1" applyFont="1" applyFill="1" applyBorder="1" applyAlignment="1">
      <x:alignment horizontal="center" vertical="center" wrapText="1"/>
    </x:xf>
    <x:xf numFmtId="0" fontId="9" fillId="16" borderId="60" xfId="0" applyNumberFormat="1" applyFont="1" applyFill="1" applyBorder="1" applyAlignment="1">
      <x:alignment horizontal="center" vertical="center" wrapText="1"/>
    </x:xf>
    <x:xf numFmtId="0" fontId="9" fillId="17" borderId="60" xfId="0" applyNumberFormat="1" applyFont="1" applyFill="1" applyBorder="1" applyAlignment="1">
      <x:alignment horizontal="center" vertical="center" wrapText="1"/>
    </x:xf>
    <x:xf numFmtId="0" fontId="3" fillId="16" borderId="63" xfId="0" applyNumberFormat="1" applyFont="1" applyFill="1" applyBorder="1" applyAlignment="1">
      <x:alignment vertical="top" wrapText="1"/>
    </x:xf>
    <x:xf numFmtId="0" fontId="3" fillId="16" borderId="65" xfId="0" applyNumberFormat="1" applyFont="1" applyFill="1" applyBorder="1" applyAlignment="1">
      <x:alignment vertical="top" wrapText="1"/>
    </x:xf>
    <x:xf numFmtId="0" fontId="3" fillId="16" borderId="63" xfId="0" applyNumberFormat="1" applyFont="1" applyFill="1" applyBorder="1" applyAlignment="1">
      <x:alignment horizontal="center" vertical="top" wrapText="1"/>
    </x:xf>
    <x:xf numFmtId="0" fontId="3" fillId="16" borderId="65" xfId="0" applyNumberFormat="1" applyFont="1" applyFill="1" applyBorder="1" applyAlignment="1">
      <x:alignment horizontal="center" vertical="top" wrapText="1"/>
    </x:xf>
    <x:xf numFmtId="0" fontId="3" fillId="16" borderId="63" xfId="0" applyNumberFormat="1" applyFont="1" applyFill="1" applyBorder="1" applyAlignment="1">
      <x:alignment horizontal="center" vertical="center" wrapText="1"/>
    </x:xf>
    <x:xf numFmtId="0" fontId="0" fillId="16" borderId="53" xfId="0" applyNumberFormat="1" applyFont="1" applyFill="1" applyBorder="1" applyAlignment="1">
      <x:alignment vertical="center" wrapText="1"/>
    </x:xf>
    <x:xf numFmtId="0" fontId="0" fillId="16" borderId="56" xfId="0" applyNumberFormat="1" applyFont="1" applyFill="1" applyBorder="1" applyAlignment="1">
      <x:alignment vertical="center" wrapText="1"/>
    </x:xf>
    <x:xf numFmtId="0" fontId="3" fillId="16" borderId="65" xfId="0" applyNumberFormat="1" applyFont="1" applyFill="1" applyBorder="1" applyAlignment="1">
      <x:alignment horizontal="center" vertical="center" wrapText="1"/>
    </x:xf>
    <x:xf numFmtId="0" fontId="0" fillId="16" borderId="58" xfId="0" applyNumberFormat="1" applyFont="1" applyFill="1" applyBorder="1" applyAlignment="1">
      <x:alignment vertical="center" wrapText="1"/>
    </x:xf>
    <x:xf numFmtId="0" fontId="0" fillId="16" borderId="61"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0" fillId="5" borderId="0" xfId="0" applyNumberFormat="1" applyFont="1" applyFill="1" applyBorder="1"/>
    <x:xf numFmtId="0" fontId="0" fillId="6" borderId="0" xfId="0" applyNumberFormat="1" applyFont="1" applyFill="1" applyBorder="1"/>
    <x:xf numFmtId="0" fontId="3" fillId="7" borderId="0" xfId="0" applyNumberFormat="1" applyFont="1" applyFill="1" applyBorder="1" applyAlignment="1">
      <x:alignment vertical="center"/>
    </x:xf>
    <x:xf numFmtId="0" fontId="0" fillId="5" borderId="0" xfId="0" applyNumberFormat="1" applyFont="1" applyFill="1" applyBorder="1" applyAlignment="1">
      <x:alignment vertical="top" wrapText="1"/>
    </x:xf>
    <x:xf numFmtId="0" fontId="4" fillId="3" borderId="0"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6" fillId="2" borderId="0" xfId="0" applyNumberFormat="1" applyFont="1" applyFill="1" applyBorder="1"/>
    <x:xf numFmtId="0" fontId="4" fillId="3" borderId="0" xfId="0" applyNumberFormat="1" applyFont="1" applyFill="1" applyBorder="1" applyAlignment="1">
      <x:alignment wrapText="1"/>
    </x:xf>
    <x:xf numFmtId="0" fontId="7" fillId="6" borderId="0" xfId="0" applyNumberFormat="1" applyFont="1" applyFill="1" applyBorder="1"/>
    <x:xf numFmtId="0" fontId="4" fillId="13" borderId="0" xfId="0" applyNumberFormat="1" applyFont="1" applyFill="1" applyBorder="1" applyAlignment="1">
      <x:alignment wrapText="1"/>
    </x:xf>
    <x:xf numFmtId="0" fontId="6" fillId="11" borderId="21" xfId="0" applyNumberFormat="1" applyFont="1" applyFill="1" applyBorder="1"/>
    <x:xf numFmtId="0" fontId="6" fillId="11" borderId="22" xfId="0" applyNumberFormat="1" applyFont="1" applyFill="1" applyBorder="1"/>
    <x:xf numFmtId="0" fontId="6" fillId="11" borderId="23" xfId="0" applyNumberFormat="1" applyFont="1" applyFill="1" applyBorder="1"/>
    <x:xf numFmtId="0" fontId="7" fillId="6" borderId="24" xfId="0" applyNumberFormat="1" applyFont="1" applyFill="1" applyBorder="1"/>
    <x:xf numFmtId="0" fontId="7" fillId="6" borderId="25"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4" fillId="13" borderId="24" xfId="0" applyNumberFormat="1" applyFont="1" applyFill="1" applyBorder="1" applyAlignment="1">
      <x:alignment wrapText="1"/>
    </x:xf>
    <x:xf numFmtId="0" fontId="4" fillId="13" borderId="25"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8" xfId="0" applyNumberFormat="1" applyFont="1" applyFill="1" applyBorder="1" applyAlignment="1">
      <x:alignment wrapText="1"/>
    </x:xf>
    <x:xf numFmtId="0" fontId="3" fillId="4" borderId="0" xfId="0" applyNumberFormat="1" applyFont="1" applyFill="1" applyBorder="1" applyAlignment="1">
      <x:alignment vertical="top"/>
    </x:xf>
    <x:xf numFmtId="0" fontId="5" fillId="0" borderId="29"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0" fontId="0" fillId="6" borderId="29" xfId="0" applyNumberFormat="1" applyFont="1" applyFill="1" applyBorder="1" applyAlignment="1">
      <x:alignment vertical="center" wrapText="1"/>
    </x:xf>
    <x:xf numFmtId="0" fontId="3" fillId="4" borderId="29" xfId="0" applyNumberFormat="1" applyFont="1" applyFill="1" applyBorder="1" applyAlignment="1">
      <x:alignment vertical="center"/>
    </x:xf>
    <x:xf numFmtId="0" fontId="0" fillId="6" borderId="29"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3" fillId="4" borderId="29" xfId="0" applyNumberFormat="1" applyFont="1" applyFill="1" applyBorder="1" applyAlignment="1">
      <x:alignment vertical="center" wrapText="1"/>
    </x:xf>
    <x:xf numFmtId="0" fontId="0" fillId="0" borderId="29" xfId="0" applyNumberFormat="1" applyFont="1" applyFill="1" applyBorder="1" applyAlignment="1">
      <x:alignment horizontal="center" vertical="top" wrapText="1"/>
    </x:xf>
    <x:xf numFmtId="0" fontId="3" fillId="0" borderId="0" xfId="0" applyNumberFormat="1" applyFont="1" applyFill="1" applyBorder="1" applyAlignment="1">
      <x:alignment vertical="center"/>
    </x:xf>
    <x:xf numFmtId="164" fontId="0" fillId="5" borderId="29"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0" fillId="5" borderId="29" xfId="0" applyNumberFormat="1" applyFont="1" applyFill="1" applyBorder="1" applyAlignment="1">
      <x:alignment horizontal="left" vertical="top" wrapText="1"/>
    </x:xf>
    <x:xf numFmtId="0" fontId="3" fillId="4" borderId="29" xfId="0" applyNumberFormat="1" applyFont="1" applyFill="1" applyBorder="1" applyAlignment="1">
      <x:alignment horizontal="left" vertical="top" wrapText="1"/>
    </x:xf>
    <x:xf numFmtId="0" fontId="0" fillId="0" borderId="0" xfId="0" applyNumberFormat="1" applyFont="1" applyFill="1" applyBorder="1" applyAlignment="1">
      <x:alignment horizontal="center"/>
    </x:xf>
    <x:xf numFmtId="0" fontId="3" fillId="0" borderId="29" xfId="0" applyNumberFormat="1" applyFont="1" applyFill="1" applyBorder="1" applyAlignment="1">
      <x:alignment horizontal="center" vertical="center"/>
    </x:xf>
    <x:xf numFmtId="164" fontId="0" fillId="0" borderId="29" xfId="0" applyNumberFormat="1" applyFont="1" applyFill="1" applyBorder="1" applyAlignment="1">
      <x:alignment horizontal="center" vertical="top" wrapText="1"/>
    </x:xf>
    <x:xf numFmtId="0" fontId="3" fillId="0" borderId="29" xfId="0" applyNumberFormat="1" applyFont="1" applyFill="1" applyBorder="1" applyAlignment="1">
      <x:alignment vertical="center"/>
    </x:xf>
    <x:xf numFmtId="164" fontId="0" fillId="0" borderId="29"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6" borderId="30" xfId="0" applyNumberFormat="1" applyFont="1" applyFill="1" applyBorder="1" applyAlignment="1">
      <x:alignment horizontal="center" vertical="center" wrapText="1"/>
    </x:xf>
    <x:xf numFmtId="0" fontId="0" fillId="6" borderId="31" xfId="0" applyNumberFormat="1" applyFont="1" applyFill="1" applyBorder="1" applyAlignment="1">
      <x:alignment horizontal="center" vertical="center" wrapText="1"/>
    </x:xf>
    <x:xf numFmtId="0" fontId="0" fillId="15" borderId="29" xfId="0" applyNumberFormat="1" applyFont="1" applyFill="1" applyBorder="1" applyAlignment="1">
      <x:alignment horizontal="center" vertical="center" wrapText="1"/>
    </x:xf>
    <x:xf numFmtId="2" fontId="0" fillId="6" borderId="30" xfId="0" applyNumberFormat="1" applyFont="1" applyFill="1" applyBorder="1" applyAlignment="1">
      <x:alignment horizontal="center" vertical="center" wrapText="1"/>
    </x:xf>
    <x:xf numFmtId="2" fontId="0" fillId="6" borderId="31" xfId="0" applyNumberFormat="1" applyFont="1" applyFill="1" applyBorder="1" applyAlignment="1">
      <x:alignment horizontal="center" vertical="center" wrapText="1"/>
    </x:xf>
    <x:xf numFmtId="2" fontId="0" fillId="15" borderId="30" xfId="0" applyNumberFormat="1" applyFont="1" applyFill="1" applyBorder="1" applyAlignment="1">
      <x:alignment horizontal="center" vertical="center" wrapText="1"/>
    </x:xf>
    <x:xf numFmtId="2" fontId="0" fillId="15" borderId="31" xfId="0" applyNumberFormat="1" applyFont="1" applyFill="1" applyBorder="1" applyAlignment="1">
      <x:alignment horizontal="center" vertical="center" wrapText="1"/>
    </x:xf>
    <x:xf numFmtId="0" fontId="0" fillId="5" borderId="0" xfId="0" applyNumberFormat="1" applyFont="1" applyFill="1" applyBorder="1" applyAlignment="1">
      <x:alignment horizontal="center" vertical="top" wrapText="1"/>
    </x:xf>
    <x:xf numFmtId="0" fontId="0" fillId="0" borderId="29" xfId="0" applyNumberFormat="1" applyFont="1" applyFill="1" applyBorder="1" applyAlignment="1">
      <x:alignment horizontal="center" vertical="center" wrapText="1"/>
    </x:xf>
    <x:xf numFmtId="0" fontId="3" fillId="4" borderId="32" xfId="0" applyNumberFormat="1" applyFont="1" applyFill="1" applyBorder="1" applyAlignment="1">
      <x:alignment horizontal="center" vertical="center" wrapText="1"/>
    </x:xf>
    <x:xf numFmtId="0" fontId="3" fillId="4" borderId="33"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5" fillId="0" borderId="0" xfId="0" applyNumberFormat="1" applyFont="1" applyFill="1" applyBorder="1" applyAlignment="1">
      <x:alignment horizontal="center" vertical="top" wrapText="1"/>
    </x:xf>
    <x:xf numFmtId="0" fontId="0" fillId="0" borderId="34" xfId="0" applyNumberFormat="1" applyFont="1" applyFill="1" applyBorder="1"/>
    <x:xf numFmtId="0" fontId="0" fillId="5" borderId="29" xfId="0" applyNumberFormat="1" applyFont="1" applyFill="1" applyBorder="1" applyAlignment="1">
      <x:alignment horizontal="center" vertical="top" wrapText="1"/>
    </x:xf>
    <x:xf numFmtId="0" fontId="3" fillId="4" borderId="29" xfId="0" applyNumberFormat="1" applyFont="1" applyFill="1" applyBorder="1" applyAlignment="1">
      <x:alignment horizontal="center" vertical="center"/>
    </x:xf>
    <x:xf numFmtId="0" fontId="3" fillId="4" borderId="32" xfId="0" applyNumberFormat="1" applyFont="1" applyFill="1" applyBorder="1" applyAlignment="1">
      <x:alignment horizontal="center" vertical="center"/>
    </x:xf>
    <x:xf numFmtId="0" fontId="3" fillId="4" borderId="35" xfId="0" applyNumberFormat="1" applyFont="1" applyFill="1" applyBorder="1" applyAlignment="1">
      <x:alignment horizontal="center" vertical="center"/>
    </x:xf>
    <x:xf numFmtId="0" fontId="3" fillId="4" borderId="33" xfId="0" applyNumberFormat="1" applyFont="1" applyFill="1" applyBorder="1" applyAlignment="1">
      <x:alignment horizontal="center" vertical="center"/>
    </x:xf>
    <x:xf numFmtId="2" fontId="0" fillId="6" borderId="29" xfId="0" applyNumberFormat="1" applyFont="1" applyFill="1" applyBorder="1" applyAlignment="1">
      <x:alignment horizontal="center" vertical="center" wrapText="1"/>
    </x:xf>
    <x:xf numFmtId="2" fontId="0" fillId="6" borderId="29" xfId="0" applyNumberFormat="1" applyFont="1" applyFill="1" applyBorder="1" applyAlignment="1">
      <x:alignment vertical="top" wrapText="1"/>
    </x:xf>
    <x:xf numFmtId="164" fontId="0" fillId="5" borderId="29" xfId="0" applyNumberFormat="1" applyFont="1" applyFill="1" applyBorder="1" applyAlignment="1">
      <x:alignment horizontal="left" vertical="top" wrapText="1"/>
    </x:xf>
    <x:xf numFmtId="0" fontId="3" fillId="4" borderId="33" xfId="0" applyNumberFormat="1" applyFont="1" applyFill="1" applyBorder="1" applyAlignment="1">
      <x:alignment horizontal="center" vertical="top"/>
    </x:xf>
    <x:xf numFmtId="0" fontId="3" fillId="0" borderId="29" xfId="0" applyNumberFormat="1" applyFont="1" applyFill="1" applyBorder="1" applyAlignment="1">
      <x:alignment vertical="top"/>
    </x:xf>
    <x:xf numFmtId="0" fontId="8" fillId="5" borderId="0" xfId="0" applyNumberFormat="1" applyFont="1" applyFill="1" applyBorder="1"/>
    <x:xf numFmtId="0" fontId="8" fillId="6" borderId="0" xfId="0" applyNumberFormat="1" applyFont="1" applyFill="1" applyBorder="1"/>
    <x:xf numFmtId="0" fontId="0" fillId="4"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4" borderId="29" xfId="0" applyNumberFormat="1" applyFont="1" applyFill="1" applyBorder="1" applyAlignment="1">
      <x:alignment vertical="top" wrapText="1"/>
    </x:xf>
    <x:xf numFmtId="0" fontId="0" fillId="5" borderId="53" xfId="0" applyNumberFormat="1" applyFont="1" applyFill="1" applyBorder="1" applyAlignment="1">
      <x:alignment vertical="top" wrapText="1"/>
    </x:xf>
    <x:xf numFmtId="0" fontId="0" fillId="6" borderId="55" xfId="0" applyNumberFormat="1" applyFont="1" applyFill="1" applyBorder="1" applyAlignment="1">
      <x:alignment vertical="top" wrapText="1"/>
    </x:xf>
    <x:xf numFmtId="0" fontId="0" fillId="4" borderId="55" xfId="0" applyNumberFormat="1" applyFont="1" applyFill="1" applyBorder="1" applyAlignment="1">
      <x:alignment vertical="top" wrapText="1"/>
    </x:xf>
    <x:xf numFmtId="0" fontId="0" fillId="5" borderId="55" xfId="0" applyNumberFormat="1" applyFont="1" applyFill="1" applyBorder="1" applyAlignment="1">
      <x:alignment vertical="top" wrapText="1"/>
    </x:xf>
    <x:xf numFmtId="0" fontId="0" fillId="6" borderId="55" xfId="0" applyNumberFormat="1" applyFont="1" applyFill="1" applyBorder="1" applyAlignment="1">
      <x:alignment vertical="center" wrapText="1"/>
    </x:xf>
    <x:xf numFmtId="0" fontId="0" fillId="5" borderId="56" xfId="0" applyNumberFormat="1" applyFont="1" applyFill="1" applyBorder="1" applyAlignment="1">
      <x:alignment vertical="top" wrapText="1"/>
    </x:xf>
    <x:xf numFmtId="0" fontId="0" fillId="4" borderId="29" xfId="0" applyNumberFormat="1" applyFont="1" applyFill="1" applyBorder="1" applyAlignment="1">
      <x:alignment horizontal="center" vertical="top" wrapText="1"/>
    </x:xf>
    <x:xf numFmtId="0" fontId="0" fillId="6" borderId="29" xfId="0" applyNumberFormat="1" applyFont="1" applyFill="1" applyBorder="1" applyAlignment="1">
      <x:alignment horizontal="center" vertical="top" wrapText="1"/>
    </x:xf>
    <x:xf numFmtId="0" fontId="0" fillId="4" borderId="55" xfId="0" applyNumberFormat="1" applyFont="1" applyFill="1" applyBorder="1" applyAlignment="1">
      <x:alignment horizontal="center" vertical="top" wrapText="1"/>
    </x:xf>
    <x:xf numFmtId="0" fontId="0" fillId="5" borderId="55" xfId="0" applyNumberFormat="1" applyFont="1" applyFill="1" applyBorder="1" applyAlignment="1">
      <x:alignment horizontal="center" vertical="top" wrapText="1"/>
    </x:xf>
    <x:xf numFmtId="0" fontId="0" fillId="6" borderId="55" xfId="0" applyNumberFormat="1" applyFont="1" applyFill="1" applyBorder="1" applyAlignment="1">
      <x:alignment horizontal="center" vertical="top" wrapText="1"/>
    </x:xf>
    <x:xf numFmtId="0" fontId="0" fillId="4" borderId="29" xfId="0" applyNumberFormat="1" applyFont="1" applyFill="1" applyBorder="1" applyAlignment="1">
      <x:alignment horizontal="center" vertical="center" wrapText="1"/>
    </x:xf>
    <x:xf numFmtId="0" fontId="0" fillId="5" borderId="29" xfId="0" applyNumberFormat="1" applyFont="1" applyFill="1" applyBorder="1" applyAlignment="1">
      <x:alignment horizontal="center" vertical="center" wrapText="1"/>
    </x:xf>
    <x:xf numFmtId="0" fontId="0" fillId="4" borderId="55" xfId="0" applyNumberFormat="1" applyFont="1" applyFill="1" applyBorder="1" applyAlignment="1">
      <x:alignment horizontal="center" vertical="center" wrapText="1"/>
    </x:xf>
    <x:xf numFmtId="0" fontId="0" fillId="5" borderId="55" xfId="0" applyNumberFormat="1" applyFont="1" applyFill="1" applyBorder="1" applyAlignment="1">
      <x:alignment horizontal="center" vertical="center" wrapText="1"/>
    </x:xf>
    <x:xf numFmtId="0" fontId="0" fillId="6" borderId="55" xfId="0" applyNumberFormat="1" applyFont="1" applyFill="1" applyBorder="1" applyAlignment="1">
      <x:alignment horizontal="center" vertical="center" wrapText="1"/>
    </x:xf>
    <x:xf numFmtId="0" fontId="3" fillId="6" borderId="30" xfId="0" applyNumberFormat="1" applyFont="1" applyFill="1" applyBorder="1" applyAlignment="1">
      <x:alignment horizontal="center" vertical="center" wrapText="1"/>
    </x:xf>
    <x:xf numFmtId="2" fontId="3" fillId="6" borderId="30" xfId="0" applyNumberFormat="1" applyFont="1" applyFill="1" applyBorder="1" applyAlignment="1">
      <x:alignment horizontal="center" vertical="center" wrapText="1"/>
    </x:xf>
    <x:xf numFmtId="0" fontId="3" fillId="6" borderId="29" xfId="0" applyNumberFormat="1" applyFont="1" applyFill="1" applyBorder="1" applyAlignment="1">
      <x:alignment horizontal="center" vertical="center" wrapText="1"/>
    </x:xf>
    <x:xf numFmtId="0" fontId="3" fillId="6" borderId="63" xfId="0" applyNumberFormat="1" applyFont="1" applyFill="1" applyBorder="1" applyAlignment="1">
      <x:alignment horizontal="center" vertical="center" wrapText="1"/>
    </x:xf>
    <x:xf numFmtId="0" fontId="3" fillId="6" borderId="53" xfId="0" applyNumberFormat="1" applyFont="1" applyFill="1" applyBorder="1" applyAlignment="1">
      <x:alignment horizontal="center" vertical="center" wrapText="1"/>
    </x:xf>
    <x:xf numFmtId="2" fontId="3" fillId="6" borderId="53" xfId="0" applyNumberFormat="1" applyFont="1" applyFill="1" applyBorder="1" applyAlignment="1">
      <x:alignment horizontal="center" vertical="center" wrapText="1"/>
    </x:xf>
    <x:xf numFmtId="0" fontId="3" fillId="6" borderId="56" xfId="0" applyNumberFormat="1" applyFont="1" applyFill="1" applyBorder="1" applyAlignment="1">
      <x:alignment horizontal="center" vertical="center" wrapText="1"/>
    </x:xf>
    <x:xf numFmtId="2" fontId="3" fillId="6" borderId="29" xfId="0" applyNumberFormat="1" applyFont="1" applyFill="1" applyBorder="1" applyAlignment="1">
      <x:alignment horizontal="center" vertical="center" wrapText="1"/>
    </x:xf>
    <x:xf numFmtId="0" fontId="0" fillId="4" borderId="29" xfId="0" applyNumberFormat="1" applyFont="1" applyFill="1" applyBorder="1" applyAlignment="1">
      <x:alignment horizontal="left" vertical="top" wrapText="1"/>
    </x:xf>
    <x:xf numFmtId="0" fontId="0" fillId="4" borderId="53" xfId="0" applyNumberFormat="1" applyFont="1" applyFill="1" applyBorder="1" applyAlignment="1">
      <x:alignment vertical="top" wrapText="1"/>
    </x:xf>
    <x:xf numFmtId="0" fontId="0" fillId="4" borderId="53" xfId="0" applyNumberFormat="1" applyFont="1" applyFill="1" applyBorder="1" applyAlignment="1">
      <x:alignment horizontal="left" vertical="top" wrapText="1"/>
    </x:xf>
    <x:xf numFmtId="0" fontId="0" fillId="5" borderId="63" xfId="0" applyNumberFormat="1" applyFont="1" applyFill="1" applyBorder="1" applyAlignment="1">
      <x:alignment vertical="top" wrapText="1"/>
    </x:xf>
    <x:xf numFmtId="0" fontId="3" fillId="6" borderId="29" xfId="0" applyNumberFormat="1" applyFont="1" applyFill="1" applyBorder="1" applyAlignment="1">
      <x:alignment vertical="top" wrapText="1"/>
    </x:xf>
    <x:xf numFmtId="2" fontId="3" fillId="6" borderId="29" xfId="0" applyNumberFormat="1" applyFont="1" applyFill="1" applyBorder="1" applyAlignment="1">
      <x:alignment vertical="top" wrapText="1"/>
    </x:xf>
    <x:xf numFmtId="164" fontId="0" fillId="5" borderId="29" xfId="0" applyNumberFormat="1" applyFont="1" applyFill="1" applyBorder="1" applyAlignment="1">
      <x:alignment horizontal="center" vertical="top" wrapText="1"/>
    </x:xf>
    <x:xf numFmtId="164" fontId="0" fillId="5" borderId="53" xfId="0" applyNumberFormat="1" applyFont="1" applyFill="1" applyBorder="1" applyAlignment="1">
      <x:alignment horizontal="left" vertical="top" wrapText="1"/>
    </x:xf>
    <x:xf numFmtId="2" fontId="3" fillId="6" borderId="55" xfId="0" applyNumberFormat="1" applyFont="1" applyFill="1" applyBorder="1" applyAlignment="1">
      <x:alignment vertical="top" wrapText="1"/>
    </x:xf>
    <x:xf numFmtId="164" fontId="0" fillId="5" borderId="55" xfId="0" applyNumberFormat="1" applyFont="1" applyFill="1" applyBorder="1" applyAlignment="1">
      <x:alignment vertical="top" wrapText="1"/>
    </x:xf>
    <x:xf numFmtId="0" fontId="0" fillId="5" borderId="53" xfId="0" applyNumberFormat="1" applyFont="1" applyFill="1" applyBorder="1" applyAlignment="1">
      <x:alignment horizontal="center" vertical="top" wrapText="1"/>
    </x:xf>
    <x:xf numFmtId="164" fontId="0" fillId="5" borderId="53" xfId="0" applyNumberFormat="1" applyFont="1" applyFill="1" applyBorder="1" applyAlignment="1">
      <x:alignment horizontal="center" vertical="top" wrapText="1"/>
    </x:xf>
    <x:xf numFmtId="164" fontId="0" fillId="5" borderId="56" xfId="0" applyNumberFormat="1" applyFont="1" applyFill="1" applyBorder="1" applyAlignment="1">
      <x:alignment horizontal="center" vertical="top" wrapText="1"/>
    </x:xf>
    <x:xf numFmtId="0" fontId="0" fillId="4"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8" fillId="5" borderId="0" xfId="0" applyNumberFormat="1" applyFont="1" applyFill="1" applyBorder="1" applyAlignment="1">
      <x:alignment horizontal="center"/>
    </x:xf>
    <x:xf numFmtId="0" fontId="8" fillId="5" borderId="0" xfId="0" applyNumberFormat="1" applyFont="1" applyFill="1" applyBorder="1" applyAlignment="1">
      <x:alignment horizontal="center" vertical="center"/>
    </x:xf>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8" fillId="5" borderId="0" xfId="0" applyNumberFormat="1" applyFont="1" applyFill="1" applyBorder="1" applyAlignment="1">
      <x:alignment horizontal="center" vertical="center" wrapText="1"/>
    </x:xf>
    <x:xf numFmtId="0" fontId="8" fillId="6" borderId="0" xfId="0" applyNumberFormat="1" applyFont="1" applyFill="1" applyBorder="1" applyAlignment="1">
      <x:alignment horizontal="center" vertical="center" wrapText="1"/>
    </x:xf>
    <x:xf numFmtId="0" fontId="9" fillId="4" borderId="29" xfId="0" applyNumberFormat="1" applyFont="1" applyFill="1" applyBorder="1" applyAlignment="1">
      <x:alignment horizontal="center" vertical="center" wrapText="1"/>
    </x:xf>
    <x:xf numFmtId="0" fontId="9" fillId="5" borderId="29" xfId="0" applyNumberFormat="1" applyFont="1" applyFill="1" applyBorder="1" applyAlignment="1">
      <x:alignment horizontal="center" vertical="center" wrapText="1"/>
    </x:xf>
    <x:xf numFmtId="0" fontId="9" fillId="6" borderId="29" xfId="0" applyNumberFormat="1" applyFont="1" applyFill="1" applyBorder="1" applyAlignment="1">
      <x:alignment horizontal="center" vertical="center" wrapText="1"/>
    </x:xf>
    <x:xf numFmtId="0" fontId="9" fillId="4" borderId="55" xfId="0" applyNumberFormat="1" applyFont="1" applyFill="1" applyBorder="1" applyAlignment="1">
      <x:alignment horizontal="center" vertical="center" wrapText="1"/>
    </x:xf>
    <x:xf numFmtId="0" fontId="9" fillId="5" borderId="55" xfId="0" applyNumberFormat="1" applyFont="1" applyFill="1" applyBorder="1" applyAlignment="1">
      <x:alignment horizontal="center" vertical="center" wrapText="1"/>
    </x:xf>
    <x:xf numFmtId="0" fontId="9" fillId="6" borderId="55" xfId="0" applyNumberFormat="1" applyFont="1" applyFill="1" applyBorder="1" applyAlignment="1">
      <x:alignment horizontal="center" vertical="center" wrapText="1"/>
    </x:xf>
    <x:xf numFmtId="0" fontId="3" fillId="5" borderId="63" xfId="0" applyNumberFormat="1" applyFont="1" applyFill="1" applyBorder="1" applyAlignment="1">
      <x:alignment vertical="top" wrapText="1"/>
    </x:xf>
    <x:xf numFmtId="0" fontId="3" fillId="5" borderId="63" xfId="0" applyNumberFormat="1" applyFont="1" applyFill="1" applyBorder="1" applyAlignment="1">
      <x:alignment horizontal="center" vertical="top" wrapText="1"/>
    </x:xf>
    <x:xf numFmtId="0" fontId="3" fillId="5" borderId="63" xfId="0" applyNumberFormat="1" applyFont="1" applyFill="1" applyBorder="1" applyAlignment="1">
      <x:alignment horizontal="center" vertical="center" wrapText="1"/>
    </x:xf>
    <x:xf numFmtId="0" fontId="0" fillId="5" borderId="53" xfId="0" applyNumberFormat="1" applyFont="1" applyFill="1" applyBorder="1" applyAlignment="1">
      <x:alignment vertical="center" wrapText="1"/>
    </x:xf>
    <x:xf numFmtId="0" fontId="0" fillId="5" borderId="56" xfId="0" applyNumberFormat="1" applyFont="1" applyFill="1" applyBorder="1" applyAlignment="1">
      <x:alignment vertical="center" wrapText="1"/>
    </x:xf>
    <x:xf numFmtId="0" fontId="6" fillId="11" borderId="21" xfId="0" applyNumberFormat="1" applyFont="1" applyFill="1" applyBorder="1" applyAlignment="1">
      <x:alignment wrapText="1"/>
    </x:xf>
    <x:xf numFmtId="0" fontId="6" fillId="11" borderId="22" xfId="0" applyNumberFormat="1" applyFont="1" applyFill="1" applyBorder="1" applyAlignment="1">
      <x:alignment wrapText="1"/>
    </x:xf>
    <x:xf numFmtId="0" fontId="6" fillId="11" borderId="23" xfId="0" applyNumberFormat="1" applyFont="1" applyFill="1" applyBorder="1" applyAlignment="1">
      <x:alignment wrapText="1"/>
    </x:xf>
    <x:xf numFmtId="0" fontId="7" fillId="6" borderId="2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25" xfId="0" applyNumberFormat="1" applyFont="1" applyFill="1" applyBorder="1" applyAlignment="1">
      <x:alignment wrapText="1"/>
    </x:xf>
  </x:cellXfs>
  <x:cellStyles count="1">
    <x:cellStyle name="Normal" xfId="0"/>
  </x:cellStyles>
  <x:dxfs count="10">
    <x:dxf>
      <x:fill>
        <x:patternFill>
          <x:bgColor rgb="FFF4CCCC"/>
        </x:patternFill>
      </x:fill>
    </x:dxf>
    <x:dxf>
      <x:fill>
        <x:patternFill>
          <x:bgColor rgb="FFFCE5CD"/>
        </x:patternFill>
      </x:fill>
    </x:dxf>
    <x:dxf>
      <x:fill>
        <x:patternFill>
          <x:bgColor rgb="FFFFF2CC"/>
        </x:patternFill>
      </x:fill>
    </x:dxf>
    <x:dxf>
      <x:fill>
        <x:patternFill>
          <x:bgColor rgb="FFE2F0D9"/>
        </x:patternFill>
      </x:fill>
    </x:dxf>
    <x:dxf>
      <x:fill>
        <x:patternFill>
          <x:bgColor rgb="FFE7E6E6"/>
        </x:patternFill>
      </x:fill>
    </x:dxf>
    <x:dxf>
      <x:fill>
        <x:patternFill>
          <x:bgColor rgb="FFF4CCCC"/>
        </x:patternFill>
      </x:fill>
    </x:dxf>
    <x:dxf>
      <x:fill>
        <x:patternFill>
          <x:bgColor rgb="FFFCE5CD"/>
        </x:patternFill>
      </x:fill>
    </x:dxf>
    <x:dxf>
      <x:fill>
        <x:patternFill>
          <x:bgColor rgb="FFE7E6E6"/>
        </x:patternFill>
      </x:fill>
    </x:dxf>
    <x:dxf>
      <x:fill>
        <x:patternFill>
          <x:bgColor rgb="FFFFF2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67678b1d07459b" /><Relationship Type="http://schemas.openxmlformats.org/officeDocument/2006/relationships/theme" Target="/xl/theme/theme1.xml" Id="R32106392903e4c72" /><Relationship Type="http://schemas.openxmlformats.org/officeDocument/2006/relationships/sharedStrings" Target="/xl/sharedStrings.xml" Id="R238dd6f632384b9e" /><Relationship Type="http://schemas.openxmlformats.org/officeDocument/2006/relationships/worksheet" Target="/xl/worksheets/sheet1.xml" Id="Rf944e49d796c4b19" /><Relationship Type="http://schemas.openxmlformats.org/officeDocument/2006/relationships/worksheet" Target="/xl/worksheets/sheet2.xml" Id="Ra4fd92f9ec84496b" /><Relationship Type="http://schemas.openxmlformats.org/officeDocument/2006/relationships/worksheet" Target="/xl/worksheets/sheet3.xml" Id="R7d91433811f84b71" /><Relationship Type="http://schemas.openxmlformats.org/officeDocument/2006/relationships/worksheet" Target="/xl/worksheets/sheet4.xml" Id="R0f93a233025a4a05" /><Relationship Type="http://schemas.openxmlformats.org/officeDocument/2006/relationships/worksheet" Target="/xl/worksheets/sheet5.xml" Id="R37bcda3f59384577" /><Relationship Type="http://schemas.openxmlformats.org/officeDocument/2006/relationships/worksheet" Target="/xl/worksheets/sheet6.xml" Id="R64d70bbb2bee49ee" /><Relationship Type="http://schemas.openxmlformats.org/officeDocument/2006/relationships/worksheet" Target="/xl/worksheets/sheet7.xml" Id="R9af4308b56554739" /><Relationship Type="http://schemas.openxmlformats.org/officeDocument/2006/relationships/worksheet" Target="/xl/worksheets/sheet8.xml" Id="R7edecf93345242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1" customWidth="1"/>
    <x:col min="2" max="2" width="8" customWidth="1"/>
    <x:col min="3" max="3" width="38" customWidth="1"/>
    <x:col min="4" max="5" width="27" customWidth="1"/>
    <x:col min="6" max="6" width="22" customWidth="1"/>
    <x:col min="7" max="7" width="31" customWidth="1"/>
    <x:col min="8" max="8" width="9" customWidth="1"/>
    <x:col min="9" max="9" width="12" customWidth="1"/>
    <x:col min="10" max="10" width="31" customWidth="1"/>
    <x:col min="11" max="11" width="28" customWidth="1"/>
  </x:cols>
  <x:sheetData>
    <x:row r="1" ht="19.5">
      <x:c r="A1" s="1" t="s">
        <x:v>0</x:v>
      </x:c>
      <x:c r="B1" s="1"/>
      <x:c r="C1" s="1"/>
      <x:c r="D1" s="1"/>
      <x:c r="E1" s="1"/>
      <x:c r="F1" s="1"/>
      <x:c r="G1" s="1"/>
      <x:c r="H1" s="1"/>
      <x:c r="I1" s="1"/>
      <x:c r="J1" s="1"/>
      <x:c r="K1" s="1"/>
    </x:row>
    <x:row r="2" ht="63.75">
      <x:c r="A2" s="2" t="s">
        <x:v>1</x:v>
      </x:c>
      <x:c r="B2" s="2"/>
      <x:c r="C2" s="2"/>
      <x:c r="D2" s="2"/>
      <x:c r="E2" s="2"/>
      <x:c r="F2" s="2"/>
      <x:c r="G2" s="2"/>
      <x:c r="H2" s="2"/>
      <x:c r="I2" s="2"/>
      <x:c r="J2" s="2"/>
      <x:c r="K2" s="2"/>
    </x:row>
    <x:row r="3" ht="24" customHeight="1">
      <x:c r="A3" s="3" t="s">
        <x:v>2</x:v>
      </x:c>
      <x:c r="B3" s="547" t="str">
        <x:v>KUNING = input/reviewer</x:v>
      </x:c>
      <x:c r="C3" s="547" t="s">
        <x:v>3</x:v>
      </x:c>
      <x:c r="D3" s="548" t="str">
        <x:v>BIRU = data/hasil otomatis</x:v>
      </x:c>
      <x:c r="E3" s="548" t="str">
        <x:v>ABU = belum dapat dinilai</x:v>
      </x:c>
      <x:c r="F3" s="549" t="str">
        <x:v>HIJAU = dapat dinilai</x:v>
      </x:c>
      <x:c r="G3" s="549"/>
      <x:c r="H3" s="550" t="str">
        <x:v>ABU = belum dapat dinilai</x:v>
      </x:c>
      <x:c r="I3" s="550"/>
    </x:row>
    <x:row r="5" ht="15">
      <x:c r="A5" s="6" t="s">
        <x:v>4</x:v>
      </x:c>
      <x:c r="B5" s="6"/>
      <x:c r="C5" s="6"/>
      <x:c r="D5" s="6"/>
      <x:c r="E5" s="6"/>
      <x:c r="F5" s="555"/>
      <x:c r="G5" s="555"/>
      <x:c r="H5" s="555"/>
      <x:c r="I5" s="555"/>
      <x:c r="J5" s="555"/>
      <x:c r="K5" s="555"/>
    </x:row>
    <x:row r="6" ht="99.75" customHeight="1">
      <x:c r="A6" s="64" t="s">
        <x:v>5</x:v>
      </x:c>
      <x:c r="B6" s="245" t="str">
        <x:v>Dewan Kerajinan Nasional Daerah Provinsi Kepulauan Riau</x:v>
      </x:c>
      <x:c r="C6" s="106"/>
      <x:c r="D6" s="65" t="s">
        <x:v>6</x:v>
      </x:c>
      <x:c r="E6" s="247" t="str">
        <x:v>PKS — Peningkatan Perlindungan Kekayaan Intelektual Kriya, Wastra dan Fashion — 15 November 2025</x:v>
      </x:c>
      <x:c r="F6" s="556"/>
      <x:c r="G6" s="556"/>
      <x:c r="H6" s="556"/>
      <x:c r="I6" s="556"/>
      <x:c r="J6" s="556"/>
      <x:c r="K6" s="556"/>
    </x:row>
    <x:row r="7" ht="117" customHeight="1">
      <x:c r="A7" s="66" t="s">
        <x:v>7</x:v>
      </x:c>
      <x:c r="B7" s="245" t="str">
        <x:v>Pelayanan pendaftaran KI; peningkatan pemahaman hukum KI; inventarisasi KI komunal; penegakan hukum KI; serta pertukaran data dan informasi KI.</x:v>
      </x:c>
      <x:c r="C7" s="107"/>
      <x:c r="D7" s="67" t="s">
        <x:v>8</x:v>
      </x:c>
      <x:c r="E7" s="247" t="str">
        <x:v>Update pasca-baseline s.d. 27 September 2026</x:v>
      </x:c>
      <x:c r="F7" s="556"/>
      <x:c r="G7" s="556"/>
      <x:c r="H7" s="556"/>
      <x:c r="I7" s="556"/>
      <x:c r="J7" s="556"/>
      <x:c r="K7" s="556"/>
    </x:row>
    <x:row r="8" ht="99.75" customHeight="1">
      <x:c r="A8" s="66" t="s">
        <x:v>9</x:v>
      </x:c>
      <x:c r="B8" s="249" t="str">
        <x:v>Pokja Data / Reviewer</x:v>
      </x:c>
      <x:c r="C8" s="107"/>
      <x:c r="D8" s="67" t="s">
        <x:v>10</x:v>
      </x:c>
      <x:c r="E8" s="251" t="str">
        <x:v>27 September 2026</x:v>
      </x:c>
      <x:c r="F8" s="556"/>
      <x:c r="G8" s="556"/>
      <x:c r="H8" s="556"/>
      <x:c r="I8" s="556"/>
      <x:c r="J8" s="556"/>
      <x:c r="K8" s="556"/>
    </x:row>
    <x:row r="9" ht="120.75" customHeight="1">
      <x:c r="A9" s="68" t="s">
        <x:v>11</x:v>
      </x:c>
      <x:c r="B9" s="245" t="str">
        <x:v>PIC internal dan PIC mitra belum tercantum secara valid pada paket data terbaru. File eviden baru dari mitra masih berisi placeholder dan tidak menambah data PIC substantif.</x:v>
      </x:c>
      <x:c r="C9" s="108"/>
      <x:c r="D9" s="69" t="s">
        <x:v>12</x:v>
      </x:c>
      <x:c r="E9" s="247" t="str">
        <x:v>15 November 2025 s.d. 14 November 2030 — usia perjanjian 316 hari (&gt;6 bulan)</x:v>
      </x:c>
      <x:c r="F9" s="556"/>
      <x:c r="G9" s="556"/>
      <x:c r="H9" s="556"/>
      <x:c r="I9" s="556"/>
      <x:c r="J9" s="556"/>
      <x:c r="K9" s="556"/>
    </x:row>
    <x:row r="11" ht="15">
      <x:c r="A11" s="6" t="s">
        <x:v>13</x:v>
      </x:c>
      <x:c r="B11" s="6"/>
      <x:c r="C11" s="6"/>
      <x:c r="D11" s="6"/>
      <x:c r="E11" s="6"/>
      <x:c r="F11" s="6"/>
      <x:c r="G11" s="6"/>
      <x:c r="H11" s="6"/>
      <x:c r="I11" s="6"/>
      <x:c r="J11" s="6"/>
      <x:c r="K11" s="6"/>
    </x:row>
    <x:row r="12" ht="15">
      <x:c r="A12" s="267" t="s">
        <x:v>14</x:v>
      </x:c>
      <x:c r="B12" s="268" t="s">
        <x:v>15</x:v>
      </x:c>
      <x:c r="C12" s="268" t="s">
        <x:v>16</x:v>
      </x:c>
      <x:c r="D12" s="268" t="s">
        <x:v>17</x:v>
      </x:c>
      <x:c r="E12" s="268" t="s">
        <x:v>18</x:v>
      </x:c>
      <x:c r="F12" s="268" t="s">
        <x:v>19</x:v>
      </x:c>
      <x:c r="G12" s="268" t="s">
        <x:v>20</x:v>
      </x:c>
      <x:c r="H12" s="268" t="s">
        <x:v>21</x:v>
      </x:c>
      <x:c r="I12" s="268" t="s">
        <x:v>22</x:v>
      </x:c>
      <x:c r="J12" s="268" t="s">
        <x:v>23</x:v>
      </x:c>
      <x:c r="K12" s="269" t="s">
        <x:v>24</x:v>
      </x:c>
    </x:row>
    <x:row r="13" ht="81.94999694824219" customHeight="1">
      <x:c r="A13" s="270" t="s">
        <x:v>25</x:v>
      </x:c>
      <x:c r="B13" s="271">
        <x:v>10</x:v>
      </x:c>
      <x:c r="C13" s="272" t="s">
        <x:v>26</x:v>
      </x:c>
      <x:c r="D13" s="253" t="str">
        <x:v>Unit pengampu, PIC internal, PIC mitra, dan rencana tindak lanjut: BELUM TERSEDIA pada final baseline.</x:v>
      </x:c>
      <x:c r="E13" s="255" t="str">
        <x:v>Belum tersedia PIC formal maupun rencana aksi terpadu pada data terbaru. Namun pelaksanaan aktual pada edukasi KI dan stand pelayanan publik menunjukkan adanya koordinasi operasional. File eviden baru yang diunggah belum terisi substantif.</x:v>
      </x:c>
      <x:c r="F13" s="559" t="str">
        <x:v>DAPAT DINILAI</x:v>
      </x:c>
      <x:c r="G13" s="560" t="str">
        <x:v>Final baseline; workbook P01 gabungan; file dekranasda.xlsx yang masih menunjukkan Total Kegiatan 0 dan placeholder PIC.</x:v>
      </x:c>
      <x:c r="H13" s="561" t="n">
        <x:v>1</x:v>
      </x:c>
      <x:c r="I13" s="562" t="n">
        <x:f t="shared" ref="I13:I19" si="0">IF(F13="DAPAT DINILAI",IF(ISNUMBER(H13),H13/4*B13,""),"")</x:f>
        <x:v>2.5</x:v>
      </x:c>
      <x:c r="J13" s="257" t="str">
        <x:v>Pengelolaan operasional mulai terlihat dari adanya kegiatan, tetapi penanggung jawab formal, pembagian peran, mekanisme koordinasi, dan rencana tindak lanjut belum jelas. Sesuai rubrik I1, skor 1.</x:v>
      </x:c>
      <x:c r="K13" s="273" t="str">
        <x:v>Tetapkan PIC internal/mitra, susun rencana aksi per ruang lingkup, dan tetapkan mekanisme koordinasi berkala.</x:v>
      </x:c>
    </x:row>
    <x:row r="14" ht="81.94999694824219" customHeight="1">
      <x:c r="A14" s="270" t="s">
        <x:v>27</x:v>
      </x:c>
      <x:c r="B14" s="271">
        <x:v>15</x:v>
      </x:c>
      <x:c r="C14" s="272" t="s">
        <x:v>28</x:v>
      </x:c>
      <x:c r="D14" s="253" t="str">
        <x:v>Pelaksanaan dan hasil: BELUM TERSEDIA pada final baseline.</x:v>
      </x:c>
      <x:c r="E14" s="255" t="str">
        <x:v>Terdapat implementasi pada 2 dari 5 ruang lingkup: edukasi/pemahaman KI melalui Kelas Kreatif UMKM Dekrafest dan pelayanan pendaftaran KI melalui stand pelayanan publik pada beberapa periode. Tiga ruang lingkup lain masih belum diperoleh datanya.</x:v>
      </x:c>
      <x:c r="F14" s="559" t="str">
        <x:v>DAPAT DINILAI</x:v>
      </x:c>
      <x:c r="G14" s="560" t="str">
        <x:v>RL10 Peningkatan Pemahaman KI; RL09 Pelayanan Pendaftaran KI; evidence berupa tautan publikasi dan laporan MIC 2025/2026.</x:v>
      </x:c>
      <x:c r="H14" s="561" t="n">
        <x:v>2</x:v>
      </x:c>
      <x:c r="I14" s="562" t="n">
        <x:f t="shared" si="0">IF(F14="DAPAT DINILAI",IF(ISNUMBER(H14),H14/4*B14,""),"")</x:f>
        <x:v>7.5</x:v>
      </x:c>
      <x:c r="J14" s="257" t="str">
        <x:v>Sebagian tindak lanjut telah dilaksanakan, tetapi masih terdapat gap berarti pada tiga ruang lingkup lain. Sesuai rubrik I2, skor 2.</x:v>
      </x:c>
      <x:c r="K14" s="273" t="str">
        <x:v>Aktivasi inventarisasi KIK, penegakan hukum KI, dan pertukaran data/informasi KI; catat target dan realisasinya.</x:v>
      </x:c>
    </x:row>
    <x:row r="15" ht="81.94999694824219" customHeight="1">
      <x:c r="A15" s="270" t="s">
        <x:v>29</x:v>
      </x:c>
      <x:c r="B15" s="271">
        <x:v>15</x:v>
      </x:c>
      <x:c r="C15" s="272" t="s">
        <x:v>30</x:v>
      </x:c>
      <x:c r="D15" s="253" t="str">
        <x:v>Pelaksanaan dan eviden implementasi: BELUM TERSEDIA pada final baseline.</x:v>
      </x:c>
      <x:c r="E15" s="255" t="str">
        <x:v>Output tersedia pada kegiatan edukasi KI dan stand pelayanan publik: penyampaian materi, layanan informasi/pelayanan KI, serta pelaksanaan stand pada beberapa tanggal. Output pada tiga ruang lingkup lainnya belum tersedia.</x:v>
      </x:c>
      <x:c r="F15" s="559" t="str">
        <x:v>DAPAT DINILAI</x:v>
      </x:c>
      <x:c r="G15" s="560" t="str">
        <x:v>RL10 dan RL09 beserta tautan/laporan kegiatan; tiga ruang lingkup lain berstatus BELUM DIPEROLEH.</x:v>
      </x:c>
      <x:c r="H15" s="561" t="n">
        <x:v>2</x:v>
      </x:c>
      <x:c r="I15" s="562" t="n">
        <x:f t="shared" si="0">IF(F15="DAPAT DINILAI",IF(ISNUMBER(H15),H15/4*B15,""),"")</x:f>
        <x:v>7.5</x:v>
      </x:c>
      <x:c r="J15" s="257" t="str">
        <x:v>Sebagian output tercapai dan dapat dijelaskan, tetapi cakupannya belum mewakili keseluruhan ruang lingkup. Rubrik I3 skor 2.</x:v>
      </x:c>
      <x:c r="K15" s="273" t="str">
        <x:v>Tetapkan output minimal untuk seluruh ruang lingkup dan buat daftar output per periode.</x:v>
      </x:c>
    </x:row>
    <x:row r="16" ht="81.94999694824219" customHeight="1">
      <x:c r="A16" s="270" t="s">
        <x:v>31</x:v>
      </x:c>
      <x:c r="B16" s="271">
        <x:v>20</x:v>
      </x:c>
      <x:c r="C16" s="272" t="s">
        <x:v>32</x:v>
      </x:c>
      <x:c r="D16" s="253" t="str">
        <x:v>Final baseline belum memiliki data outcome/manfaat terukur.</x:v>
      </x:c>
      <x:c r="E16" s="255" t="str">
        <x:v>Manfaat awal terlihat: meningkatnya pemahaman UMKM mengenai legalitas dan perlindungan KI serta meningkatnya akses masyarakat terhadap informasi dan layanan KI. Manfaat masih bersifat kualitatif dan belum dilengkapi ukuran penerima/manfaat.</x:v>
      </x:c>
      <x:c r="F16" s="563" t="str">
        <x:v>DAPAT DINILAI</x:v>
      </x:c>
      <x:c r="G16" s="560" t="str">
        <x:v>Outcome/manfaat pada RL10 dan RL09; belum ada metrik kuantitatif konsisten.</x:v>
      </x:c>
      <x:c r="H16" s="563" t="n">
        <x:v>2</x:v>
      </x:c>
      <x:c r="I16" s="563" t="n">
        <x:f t="shared" si="0">IF(F16="DAPAT DINILAI",IF(ISNUMBER(H16),H16/4*B16,""),"")</x:f>
        <x:v>10</x:v>
      </x:c>
      <x:c r="J16" s="257" t="str">
        <x:v>Manfaat terlihat pada sebagian sasaran tetapi belum terukur secara konsisten. Sesuai rubrik I4, skor 2.</x:v>
      </x:c>
      <x:c r="K16" s="273" t="str">
        <x:v>Ukur peserta/UMKM yang dilayani, konsultasi, permohonan KI, tindak lanjut pendaftaran, serta perubahan pemahaman.</x:v>
      </x:c>
    </x:row>
    <x:row r="17" ht="81.94999694824219" customHeight="1">
      <x:c r="A17" s="270" t="s">
        <x:v>33</x:v>
      </x:c>
      <x:c r="B17" s="271">
        <x:v>20</x:v>
      </x:c>
      <x:c r="C17" s="272" t="s">
        <x:v>34</x:v>
      </x:c>
      <x:c r="D17" s="253" t="str">
        <x:v>Final baseline belum memiliki data kontribusi/dampak terhadap kinerja atau pelayanan.</x:v>
      </x:c>
      <x:c r="E17" s="255" t="str">
        <x:v>Kontribusi dapat dijelaskan pada peningkatan literasi hukum KI dan akses pelayanan KI bagi UMKM/masyarakat, tetapi belum ada pengukuran kontribusi pada sasaran kinerja secara terstruktur.</x:v>
      </x:c>
      <x:c r="F17" s="563" t="str">
        <x:v>DAPAT DINILAI</x:v>
      </x:c>
      <x:c r="G17" s="560" t="str">
        <x:v>RL10 dan RL09 menyebut dukungan pada literasi hukum, akses pelayanan, dan kualitas pelayanan publik KI.</x:v>
      </x:c>
      <x:c r="H17" s="563" t="n">
        <x:v>2</x:v>
      </x:c>
      <x:c r="I17" s="563" t="n">
        <x:f t="shared" si="0">IF(F17="DAPAT DINILAI",IF(ISNUMBER(H17),H17/4*B17,""),"")</x:f>
        <x:v>10</x:v>
      </x:c>
      <x:c r="J17" s="257" t="str">
        <x:v>Kontribusi dapat dijelaskan dan didukung sebagian evidence, tetapi belum terukur pada indikator kinerja. Rubrik I5 skor 2.</x:v>
      </x:c>
      <x:c r="K17" s="273" t="str">
        <x:v>Hubungkan outcome dengan indikator layanan KI, pendaftaran KI, dan sasaran pemberdayaan UMKM.</x:v>
      </x:c>
    </x:row>
    <x:row r="18" ht="81.94999694824219" customHeight="1">
      <x:c r="A18" s="270" t="s">
        <x:v>35</x:v>
      </x:c>
      <x:c r="B18" s="271">
        <x:v>10</x:v>
      </x:c>
      <x:c r="C18" s="272" t="s">
        <x:v>36</x:v>
      </x:c>
      <x:c r="D18" s="253" t="str">
        <x:v>Arsip resmi: BELUM TERSEDIA; P2MA: TERVERIFIKASI; eviden implementasi: BELUM TERSEDIA.</x:v>
      </x:c>
      <x:c r="E18" s="255" t="str">
        <x:v>Evidence tersedia untuk dua ruang lingkup melalui tautan publikasi serta nama laporan MIC, tetapi masih terbatas dan tersebar. File eviden baru yang diunggah belum berisi data kegiatan atau bukti tambahan.</x:v>
      </x:c>
      <x:c r="F18" s="559" t="str">
        <x:v>DAPAT DINILAI</x:v>
      </x:c>
      <x:c r="G18" s="560" t="str">
        <x:v>Tautan publikasi RL10; LAPORAN MIC 2025/2026 pada RL09; dekranasda.xlsx belum menambah evidence substantif.</x:v>
      </x:c>
      <x:c r="H18" s="561" t="n">
        <x:v>1</x:v>
      </x:c>
      <x:c r="I18" s="562" t="n">
        <x:f t="shared" si="0">IF(F18="DAPAT DINILAI",IF(ISNUMBER(H18),H18/4*B18,""),"")</x:f>
        <x:v>2.5</x:v>
      </x:c>
      <x:c r="J18" s="257" t="str">
        <x:v>Evidence sangat terbatas dan belum cukup tertata untuk keseluruhan kerja sama. Sesuai rubrik I6, skor 1.</x:v>
      </x:c>
      <x:c r="K18" s="273" t="str">
        <x:v>Bangun repository P01, indeks bukti per ruang lingkup, dan minta paket evidence lengkap dari mitra/PIC.</x:v>
      </x:c>
    </x:row>
    <x:row r="19" ht="81.94999694824219" customHeight="1">
      <x:c r="A19" s="274" t="s">
        <x:v>37</x:v>
      </x:c>
      <x:c r="B19" s="275">
        <x:v>10</x:v>
      </x:c>
      <x:c r="C19" s="276" t="s">
        <x:v>38</x:v>
      </x:c>
      <x:c r="D19" s="277" t="str">
        <x:v>Masa berlaku: TERVERIFIKASI; hambatan/gap operasional: BELUM TERSEDIA.</x:v>
      </x:c>
      <x:c r="E19" s="278" t="str">
        <x:v>Perjanjian masih berlaku sampai 14 November 2030. Risiko utama adalah implementasi yang belum merata, tidak adanya PIC/rencana aksi formal, serta tiga ruang lingkup tanpa data. Belum terlihat mekanisme mitigasi yang terstruktur.</x:v>
      </x:c>
      <x:c r="F19" s="564" t="str">
        <x:v>DAPAT DINILAI</x:v>
      </x:c>
      <x:c r="G19" s="565" t="str">
        <x:v>Final baseline; ringkasan P01; tidak ada usulan tindak lanjut pada file eviden baru.</x:v>
      </x:c>
      <x:c r="H19" s="566" t="n">
        <x:v>1</x:v>
      </x:c>
      <x:c r="I19" s="567" t="n">
        <x:f t="shared" si="0">IF(F19="DAPAT DINILAI",IF(ISNUMBER(H19),H19/4*B19,""),"")</x:f>
        <x:v>2.5</x:v>
      </x:c>
      <x:c r="J19" s="280" t="str">
        <x:v>Risiko dapat dikenali tetapi penanganannya masih lemah dan belum terstruktur. Sesuai rubrik I7, skor 1.</x:v>
      </x:c>
      <x:c r="K19" s="282" t="str">
        <x:v>Tetapkan owner risiko, rencana aksi, target aktivasi tiga ruang lingkup, dan review triwulanan.</x:v>
      </x:c>
    </x:row>
    <x:row r="21" ht="39" customHeight="1">
      <x:c r="A21" s="6" t="s">
        <x:v>39</x:v>
      </x:c>
      <x:c r="B21" s="6"/>
      <x:c r="C21" s="6"/>
      <x:c r="D21" s="6"/>
      <x:c r="E21" s="6"/>
      <x:c r="F21" s="6"/>
      <x:c r="G21" s="6"/>
      <x:c r="H21" s="6"/>
      <x:c r="I21" s="6"/>
      <x:c r="J21" s="6"/>
      <x:c r="K21" s="6"/>
    </x:row>
    <x:row r="22" ht="28.5" customHeight="1">
      <x:c r="A22" s="343" t="s">
        <x:v>40</x:v>
      </x:c>
      <x:c r="B22" s="344" t="n">
        <x:f>COUNTIF($F$13:$F$19,"DAPAT DINILAI")</x:f>
        <x:v>7</x:v>
      </x:c>
      <x:c r="C22" s="99"/>
      <x:c r="E22" s="81"/>
      <x:c r="F22" s="81"/>
      <x:c r="H22" s="31" t="s">
        <x:v>41</x:v>
      </x:c>
      <x:c r="I22" s="31"/>
      <x:c r="J22" s="31"/>
      <x:c r="K22" s="31"/>
    </x:row>
    <x:row r="23" ht="33.95000076293945" customHeight="1">
      <x:c r="A23" s="345" t="s">
        <x:v>42</x:v>
      </x:c>
      <x:c r="B23" s="346" t="n">
        <x:f>COUNTIF($F$13:$F$19,"BELUM DAPAT DINILAI")</x:f>
        <x:v>0</x:v>
      </x:c>
      <x:c r="C23" s="99"/>
      <x:c r="H23" s="79" t="s">
        <x:v>43</x:v>
      </x:c>
      <x:c r="I23" s="97" t="s">
        <x:v>44</x:v>
      </x:c>
      <x:c r="J23" s="97"/>
      <x:c r="K23" s="78"/>
    </x:row>
    <x:row r="24" ht="33.95000076293945" customHeight="1">
      <x:c r="A24" s="345" t="s">
        <x:v>45</x:v>
      </x:c>
      <x:c r="B24" s="346" t="n">
        <x:f>COUNTIF($F$13:$F$19,"BUKTI BELUM MEMADAI")</x:f>
        <x:v>0</x:v>
      </x:c>
      <x:c r="C24" s="99"/>
      <x:c r="H24" s="79" t="s">
        <x:v>46</x:v>
      </x:c>
      <x:c r="I24" s="97" t="s">
        <x:v>47</x:v>
      </x:c>
      <x:c r="J24" s="97"/>
      <x:c r="K24" s="77"/>
    </x:row>
    <x:row r="25" ht="33.95000076293945" customHeight="1">
      <x:c r="A25" s="345" t="s">
        <x:v>48</x:v>
      </x:c>
      <x:c r="B25" s="347" t="n">
        <x:f>SUMIF($F$13:$F$19,"DAPAT DINILAI",$B$13:$B$19)</x:f>
        <x:v>100</x:v>
      </x:c>
      <x:c r="C25" s="103"/>
      <x:c r="H25" s="79" t="s">
        <x:v>49</x:v>
      </x:c>
      <x:c r="I25" s="97" t="s">
        <x:v>50</x:v>
      </x:c>
      <x:c r="J25" s="97"/>
      <x:c r="K25" s="27"/>
    </x:row>
    <x:row r="26" ht="33.95000076293945" customHeight="1">
      <x:c r="A26" s="345" t="s">
        <x:v>51</x:v>
      </x:c>
      <x:c r="B26" s="347" t="n">
        <x:f>IF(B22=7,SUM($I$13:$I$19),"")</x:f>
        <x:v>42.5</x:v>
      </x:c>
      <x:c r="C26" s="105"/>
      <x:c r="H26" s="79" t="s">
        <x:v>52</x:v>
      </x:c>
      <x:c r="I26" s="97" t="s">
        <x:v>53</x:v>
      </x:c>
      <x:c r="J26" s="97"/>
      <x:c r="K26" s="20"/>
    </x:row>
    <x:row r="27" ht="33.95000076293945" customHeight="1">
      <x:c r="A27" s="345" t="s">
        <x:v>54</x:v>
      </x:c>
      <x:c r="B27" s="346" t="str">
        <x:f>IF(B24&gt;0,"BUKTI BELUM MEMADAI",IF(B22=7,"SIAP DIVALIDASI",IF(B23&gt;0,"MASA IMPLEMENTASI AWAL",IF(B22=0,"BELUM DINILAI","DALAM PENILAIAN"))))</x:f>
        <x:v>SIAP DIVALIDASI</x:v>
      </x:c>
      <x:c r="C27" s="100"/>
      <x:c r="H27" s="79" t="s">
        <x:v>55</x:v>
      </x:c>
      <x:c r="I27" s="97" t="s">
        <x:v>56</x:v>
      </x:c>
      <x:c r="J27" s="97"/>
      <x:c r="K27" s="23"/>
    </x:row>
    <x:row r="28" ht="31.5" customHeight="1">
      <x:c r="A28" s="348" t="s">
        <x:v>57</x:v>
      </x:c>
      <x:c r="B28" s="349" t="str">
        <x:f>IF(B26="","",IF(B26&gt;=80,"KUAT",IF(B26&gt;=60,"CUKUP / PERLU PENGUATAN",IF(B26&gt;=40,"PERLU PERBAIKAN","KRITIS"))))</x:f>
        <x:v>PERLU PERBAIKAN</x:v>
      </x:c>
      <x:c r="C28" s="101"/>
    </x:row>
  </x:sheetData>
  <x:mergeCells>
    <x:mergeCell ref="B6:C6"/>
    <x:mergeCell ref="B7:C7"/>
    <x:mergeCell ref="B8:C8"/>
    <x:mergeCell ref="B9:C9"/>
    <x:mergeCell ref="B22:C22"/>
    <x:mergeCell ref="B27:C27"/>
    <x:mergeCell ref="B28:C28"/>
    <x:mergeCell ref="B23:C23"/>
    <x:mergeCell ref="B24:C24"/>
    <x:mergeCell ref="B25:C25"/>
    <x:mergeCell ref="B26:C26"/>
    <x:mergeCell ref="I23:J23"/>
    <x:mergeCell ref="I24:J24"/>
    <x:mergeCell ref="I25:J25"/>
    <x:mergeCell ref="I26:J26"/>
    <x:mergeCell ref="I27:J27"/>
    <x:mergeCell ref="B3:C3"/>
    <x:mergeCell ref="D3:E3"/>
    <x:mergeCell ref="F3:G3"/>
    <x:mergeCell ref="H3:I3"/>
  </x:mergeCells>
  <x:conditionalFormatting sqref="F13:F19">
    <x:cfRule type="expression" dxfId="9" priority="1">
      <x:formula>F13="DAPAT DINILAI"</x:formula>
    </x:cfRule>
    <x:cfRule type="expression" dxfId="8" priority="2">
      <x:formula>F13="BUKTI BELUM MEMADAI"</x:formula>
    </x:cfRule>
    <x:cfRule type="expression" dxfId="7" priority="3">
      <x:formula>F13="BELUM DAPAT DINILAI"</x:formula>
    </x:cfRule>
  </x:conditionalFormatting>
  <x:conditionalFormatting sqref="H13:H19">
    <x:cfRule type="expression" dxfId="6" priority="4">
      <x:formula>AND($F13="DAPAT DINILAI",$H13="")</x:formula>
    </x:cfRule>
    <x:cfRule type="expression" dxfId="5" priority="5">
      <x:formula>AND($F13&lt;&gt;"DAPAT DINILAI",$H13&lt;&gt;"")</x:formula>
    </x:cfRule>
  </x:conditionalFormatting>
  <x:dataValidations count="2">
    <x:dataValidation type="list" sqref="F13:F19">
      <x:formula1>"DAPAT DINILAI,BUKTI BELUM MEMADAI,BELUM DAPAT DINILAI"</x:formula1>
    </x:dataValidation>
    <x:dataValidation sqref="H13:H19">
      <x:formula1>0</x:formula1>
      <x:formula2>4</x:formula2>
    </x:dataValidation>
  </x:dataValidations>
  <x:pageMargins left="0.7" right="0.7" top="0.75" bottom="0.75" header="0.3" footer="0.3"/>
</x:worksheet>
</file>

<file path=xl/worksheets/sheet2.xml><?xml version="1.0" encoding="utf-8"?>
<x:worksheet xmlns:x="http://schemas.openxmlformats.org/spreadsheetml/2006/main">
  <x:sheetFormatPr defaultRowHeight="14.25"/>
  <x:cols>
    <x:col min="1" max="1" width="20.25" customWidth="1"/>
    <x:col min="2" max="2" width="16.875" customWidth="1"/>
    <x:col min="3" max="3" width="28.5" customWidth="1"/>
    <x:col min="4" max="4" width="26" customWidth="1"/>
    <x:col min="5" max="5" width="23.5" customWidth="1"/>
    <x:col min="6" max="6" width="14.125" customWidth="1"/>
    <x:col min="7" max="7" width="14.375" customWidth="1"/>
    <x:col min="8" max="8" width="3" customWidth="1"/>
    <x:col min="9" max="9" width="13.875" customWidth="1"/>
    <x:col min="10" max="10" width="23.375" customWidth="1"/>
    <x:col min="11" max="11" width="20" customWidth="1"/>
  </x:cols>
  <x:sheetData>
    <x:row r="1" ht="19.5">
      <x:c r="A1" s="1" t="s">
        <x:v>58</x:v>
      </x:c>
      <x:c r="B1" s="1"/>
      <x:c r="C1" s="1"/>
      <x:c r="D1" s="1"/>
      <x:c r="E1" s="1"/>
      <x:c r="F1" s="1"/>
      <x:c r="G1" s="1"/>
      <x:c r="H1" s="1"/>
      <x:c r="I1" s="1"/>
      <x:c r="J1" s="1"/>
      <x:c r="K1" s="1"/>
    </x:row>
    <x:row r="2" ht="76.5">
      <x:c r="A2" s="2" t="s">
        <x:v>59</x:v>
      </x:c>
      <x:c r="B2" s="2"/>
      <x:c r="C2" s="2"/>
      <x:c r="D2" s="2"/>
      <x:c r="E2" s="2"/>
      <x:c r="F2" s="2"/>
      <x:c r="G2" s="2"/>
      <x:c r="H2" s="2"/>
      <x:c r="I2" s="2"/>
      <x:c r="J2" s="2"/>
      <x:c r="K2" s="2"/>
    </x:row>
    <x:row r="3" ht="24" customHeight="1">
      <x:c r="A3" s="3" t="s">
        <x:v>2</x:v>
      </x:c>
      <x:c r="B3" s="533" t="str">
        <x:v>KUNING = input/keputusan</x:v>
      </x:c>
      <x:c r="C3" s="533" t="s">
        <x:v>3</x:v>
      </x:c>
      <x:c r="D3" s="537" t="str">
        <x:v>BIRU = hasil otomatis/ringkasan</x:v>
      </x:c>
      <x:c r="E3" s="537" t="str">
        <x:v>KUNING = perhatian</x:v>
      </x:c>
    </x:row>
    <x:row r="5" ht="15">
      <x:c r="A5" s="6" t="s">
        <x:v>60</x:v>
      </x:c>
      <x:c r="B5" s="6"/>
      <x:c r="C5" s="6"/>
      <x:c r="D5" s="6" t="s">
        <x:v>61</x:v>
      </x:c>
      <x:c r="E5" s="6"/>
      <x:c r="F5" s="6"/>
      <x:c r="G5" s="6"/>
      <x:c r="H5" s="6"/>
      <x:c r="I5" s="6"/>
      <x:c r="J5" s="6"/>
      <x:c r="K5" s="6"/>
    </x:row>
    <x:row r="6" s="128" customFormat="1" ht="42.75">
      <x:c r="A6" s="75" t="s">
        <x:v>54</x:v>
      </x:c>
      <x:c r="B6" s="339" t="str">
        <x:f>PENILAIAN!B27</x:f>
        <x:v>SIAP DIVALIDASI</x:v>
      </x:c>
      <x:c r="D6" s="132" t="s">
        <x:v>62</x:v>
      </x:c>
      <x:c r="E6" s="299" t="str">
        <x:v>OUTCOME AWAL / IMPLEMENTASI TERBATAS</x:v>
      </x:c>
      <x:c r="F6" s="131"/>
      <x:c r="G6" s="131"/>
      <x:c r="H6" s="129"/>
      <x:c r="I6" s="129"/>
      <x:c r="J6" s="129"/>
      <x:c r="K6" s="129"/>
    </x:row>
    <x:row r="7" s="128" customFormat="1" ht="21.75" customHeight="1">
      <x:c r="A7" s="75" t="s">
        <x:v>63</x:v>
      </x:c>
      <x:c r="B7" s="359" t="n">
        <x:f>IF(PENILAIAN!B26="","",PENILAIAN!B26)</x:f>
        <x:v>42.5</x:v>
      </x:c>
      <x:c r="D7" s="133" t="s">
        <x:v>64</x:v>
      </x:c>
      <x:c r="E7" s="299" t="str">
        <x:v>Perjanjian telah berjalan lebih dari 6 bulan. Implementasi dan manfaat awal terbukti pada edukasi serta pelayanan KI, namun pelaksanaan baru mencakup sebagian ruang lingkup dan tata kelola PIC/evidence masih lemah.</x:v>
      </x:c>
      <x:c r="F7" s="131"/>
      <x:c r="G7" s="131"/>
    </x:row>
    <x:row r="8" s="128" customFormat="1" ht="21" customHeight="1">
      <x:c r="A8" s="75" t="s">
        <x:v>57</x:v>
      </x:c>
      <x:c r="B8" s="359" t="str">
        <x:f>IF(PENILAIAN!B28="","",PENILAIAN!B28)</x:f>
        <x:v>PERLU PERBAIKAN</x:v>
      </x:c>
      <x:c r="D8" s="134"/>
      <x:c r="E8" s="131"/>
      <x:c r="F8" s="131"/>
      <x:c r="G8" s="131"/>
    </x:row>
    <x:row r="9" s="128" customFormat="1" ht="15">
      <x:c r="A9" s="75" t="s">
        <x:v>65</x:v>
      </x:c>
      <x:c r="B9" s="359" t="n">
        <x:f>PENILAIAN!B22</x:f>
        <x:v>7</x:v>
      </x:c>
      <x:c r="D9" s="135"/>
      <x:c r="E9" s="131"/>
      <x:c r="F9" s="131"/>
      <x:c r="G9" s="131"/>
    </x:row>
    <x:row r="10" s="128" customFormat="1" ht="15">
      <x:c r="A10" s="75" t="s">
        <x:v>66</x:v>
      </x:c>
      <x:c r="B10" s="359" t="n">
        <x:f>PENILAIAN!B23</x:f>
        <x:v>0</x:v>
      </x:c>
    </x:row>
    <x:row r="11" s="128" customFormat="1" ht="15">
      <x:c r="A11" s="75" t="s">
        <x:v>67</x:v>
      </x:c>
      <x:c r="B11" s="359" t="n">
        <x:f>PENILAIAN!B24</x:f>
        <x:v>0</x:v>
      </x:c>
    </x:row>
    <x:row r="12" s="130" customFormat="1" ht="15">
      <x:c r="A12" s="75" t="s">
        <x:v>68</x:v>
      </x:c>
      <x:c r="B12" s="359" t="n">
        <x:f>PENILAIAN!B25</x:f>
        <x:v>100</x:v>
      </x:c>
    </x:row>
    <x:row r="14" ht="15">
      <x:c r="A14" s="6" t="s">
        <x:v>69</x:v>
      </x:c>
      <x:c r="B14" s="6"/>
      <x:c r="C14" s="6"/>
      <x:c r="D14" s="6"/>
      <x:c r="E14" s="6"/>
      <x:c r="F14" s="6"/>
      <x:c r="G14" s="6"/>
      <x:c r="H14" s="6"/>
      <x:c r="I14" s="6"/>
      <x:c r="J14" s="6"/>
      <x:c r="K14" s="6"/>
    </x:row>
    <x:row r="15" ht="15">
      <x:c r="A15" s="400" t="s">
        <x:v>70</x:v>
      </x:c>
      <x:c r="B15" s="401" t="s">
        <x:v>71</x:v>
      </x:c>
      <x:c r="C15" s="401" t="s">
        <x:v>72</x:v>
      </x:c>
      <x:c r="D15" s="401" t="s">
        <x:v>73</x:v>
      </x:c>
      <x:c r="E15" s="401" t="s">
        <x:v>74</x:v>
      </x:c>
      <x:c r="F15" s="401" t="s">
        <x:v>75</x:v>
      </x:c>
      <x:c r="G15" s="401" t="s">
        <x:v>76</x:v>
      </x:c>
      <x:c r="H15" s="402"/>
      <x:c r="I15" s="403" t="s">
        <x:v>77</x:v>
      </x:c>
      <x:c r="J15" s="404"/>
    </x:row>
    <x:row r="16" s="83" customFormat="1" ht="73.5" customHeight="1">
      <x:c r="A16" s="270" t="str">
        <x:v>Masa berlaku</x:v>
      </x:c>
      <x:c r="B16" s="297" t="str">
        <x:v>E0 - Normal</x:v>
      </x:c>
      <x:c r="C16" s="361" t="str">
        <x:v>PKS berlaku 15 November 2025 s.d. 14 November 2030.</x:v>
      </x:c>
      <x:c r="D16" s="361" t="str">
        <x:v>Pertahankan monitoring masa berlaku.</x:v>
      </x:c>
      <x:c r="E16" s="361" t="str">
        <x:v>Pengelola kerja sama</x:v>
      </x:c>
      <x:c r="F16" s="362" t="str">
        <x:v>Review berkala</x:v>
      </x:c>
      <x:c r="G16" s="361" t="str">
        <x:v>BERJALAN</x:v>
      </x:c>
      <x:c r="H16" s="405"/>
      <x:c r="I16" s="365" t="s">
        <x:v>78</x:v>
      </x:c>
      <x:c r="J16" s="375" t="str">
        <x:f>IF(COUNTIF($B$16:$B$19,"E3 - Kritis")&gt;0,"E3 - Kritis",IF(COUNTIF($B$16:$B$19,"E2 - Perlu Tindakan")&gt;0,"E2 - Perlu Tindakan",IF(COUNTIF($B$16:$B$19,"E1 - Perhatian")&gt;0,"E1 - Perhatian",IF(COUNTIF($B$16:$B$19,"E0 - Normal")&gt;0,"E0 - Normal","V0 - Data belum cukup"))))</x:f>
        <x:v>E2 - Perlu Tindakan</x:v>
      </x:c>
    </x:row>
    <x:row r="17" s="83" customFormat="1" ht="73.5" customHeight="1">
      <x:c r="A17" s="270" t="str">
        <x:v>Pelaksanaan / tenggat</x:v>
      </x:c>
      <x:c r="B17" s="299" t="str">
        <x:v>E2 - Perlu Tindakan</x:v>
      </x:c>
      <x:c r="C17" s="361" t="str">
        <x:v>Implementasi baru tampak pada 2 dari 5 ruang lingkup; 3 ruang lingkup belum memiliki data pelaksanaan.</x:v>
      </x:c>
      <x:c r="D17" s="361" t="str">
        <x:v>Susun rencana aksi dan aktivasi ruang lingkup yang belum berjalan.</x:v>
      </x:c>
      <x:c r="E17" s="361" t="str">
        <x:v>PIC/pengampu P01</x:v>
      </x:c>
      <x:c r="F17" s="362" t="str">
        <x:v>Triwulan IV 2026</x:v>
      </x:c>
      <x:c r="G17" s="361" t="str">
        <x:v>PERLU TINDAKAN</x:v>
      </x:c>
      <x:c r="H17" s="405"/>
      <x:c r="I17" s="366" t="s">
        <x:v>79</x:v>
      </x:c>
      <x:c r="J17" s="376" t="s">
        <x:v>80</x:v>
      </x:c>
    </x:row>
    <x:row r="18" s="83" customFormat="1" ht="73.5" customHeight="1">
      <x:c r="A18" s="270" t="str">
        <x:v>Data / evidence</x:v>
      </x:c>
      <x:c r="B18" s="299" t="str">
        <x:v>E2 - Perlu Tindakan</x:v>
      </x:c>
      <x:c r="C18" s="361" t="str">
        <x:v>Evidence terbatas pada tautan publikasi dan laporan MIC; file eviden baru belum terisi substantif.</x:v>
      </x:c>
      <x:c r="D18" s="361" t="str">
        <x:v>Konsolidasikan repository dan minta evidence lengkap per ruang lingkup.</x:v>
      </x:c>
      <x:c r="E18" s="361" t="str">
        <x:v>Pengelola + PIC</x:v>
      </x:c>
      <x:c r="F18" s="362" t="str">
        <x:v>Oktober 2026</x:v>
      </x:c>
      <x:c r="G18" s="361" t="str">
        <x:v>PERLU TINDAKAN</x:v>
      </x:c>
      <x:c r="H18" s="405"/>
      <x:c r="I18" s="366" t="s">
        <x:v>81</x:v>
      </x:c>
      <x:c r="J18" s="376" t="str">
        <x:v>Prioritas: tetapkan PIC/rencana aksi, lengkapi evidence, dan perluas implementasi ke seluruh ruang lingkup.</x:v>
      </x:c>
    </x:row>
    <x:row r="19" s="83" customFormat="1" ht="104.25" customHeight="1">
      <x:c r="A19" s="274" t="str">
        <x:v>Penanggung jawab / koordinasi</x:v>
      </x:c>
      <x:c r="B19" s="304" t="str">
        <x:v>E2 - Perlu Tindakan</x:v>
      </x:c>
      <x:c r="C19" s="377" t="str">
        <x:v>PIC formal internal dan mitra serta mekanisme koordinasi belum terdokumentasi.</x:v>
      </x:c>
      <x:c r="D19" s="377" t="str">
        <x:v>Tetapkan PIC dan mekanisme koordinasi terpadu.</x:v>
      </x:c>
      <x:c r="E19" s="377" t="str">
        <x:v>Pengelola kerja sama</x:v>
      </x:c>
      <x:c r="F19" s="378" t="str">
        <x:v>Oktober 2026</x:v>
      </x:c>
      <x:c r="G19" s="377" t="str">
        <x:v>PERLU TINDAKAN</x:v>
      </x:c>
      <x:c r="H19" s="406"/>
      <x:c r="I19" s="380"/>
      <x:c r="J19" s="381"/>
    </x:row>
    <x:row r="21" ht="15">
      <x:c r="A21" s="6" t="s">
        <x:v>82</x:v>
      </x:c>
      <x:c r="B21" s="6"/>
      <x:c r="C21" s="6"/>
      <x:c r="D21" s="6"/>
      <x:c r="E21" s="6"/>
      <x:c r="F21" s="6"/>
      <x:c r="G21" s="6"/>
      <x:c r="H21" s="6"/>
      <x:c r="I21" s="6"/>
      <x:c r="J21" s="6"/>
      <x:c r="K21" s="6"/>
    </x:row>
    <x:row r="22" ht="44" customHeight="1">
      <x:c r="A22" s="415" t="s">
        <x:v>83</x:v>
      </x:c>
      <x:c r="B22" s="718" t="str">
        <x:v>TIDAK</x:v>
      </x:c>
      <x:c r="D22" s="112" t="s">
        <x:v>84</x:v>
      </x:c>
      <x:c r="E22" s="111" t="s">
        <x:v>85</x:v>
      </x:c>
      <x:c r="F22" s="111"/>
      <x:c r="G22" s="17"/>
      <x:c r="H22" s="17"/>
      <x:c r="I22" s="17"/>
      <x:c r="J22" s="17"/>
      <x:c r="K22" s="18"/>
    </x:row>
    <x:row r="23" ht="50" customHeight="1">
      <x:c r="A23" s="416" t="s">
        <x:v>86</x:v>
      </x:c>
      <x:c r="B23" s="719" t="str">
        <x:v>Masih dapat diselesaikan pada level pengelola/unit pengampu</x:v>
      </x:c>
      <x:c r="D23" s="113"/>
      <x:c r="E23" s="111"/>
      <x:c r="F23" s="111"/>
      <x:c r="G23" s="20"/>
      <x:c r="H23" s="20"/>
      <x:c r="I23" s="20"/>
      <x:c r="J23" s="20"/>
      <x:c r="K23" s="21"/>
    </x:row>
    <x:row r="24" ht="105" customHeight="1">
      <x:c r="A24" s="417" t="s">
        <x:v>87</x:v>
      </x:c>
      <x:c r="B24" s="720" t="str">
        <x:v>Gap utama bersifat tata kelola dan implementasi operasional; eskalasi pimpinan dilakukan jika penetapan PIC/aktivasi ruang lingkup tidak terselesaikan.</x:v>
      </x:c>
      <x:c r="D24" s="22"/>
      <x:c r="E24" s="23"/>
      <x:c r="F24" s="23"/>
      <x:c r="G24" s="23"/>
      <x:c r="H24" s="23"/>
      <x:c r="I24" s="23"/>
      <x:c r="J24" s="23"/>
      <x:c r="K24" s="24"/>
    </x:row>
  </x:sheetData>
  <x:mergeCells>
    <x:mergeCell ref="E6:G6"/>
    <x:mergeCell ref="E7:G9"/>
    <x:mergeCell ref="D7:D9"/>
    <x:mergeCell ref="J18:J19"/>
    <x:mergeCell ref="I18:I19"/>
    <x:mergeCell ref="E22:F23"/>
    <x:mergeCell ref="D22:D23"/>
    <x:mergeCell ref="B3:C3"/>
    <x:mergeCell ref="D3:E3"/>
  </x:mergeCells>
  <x:conditionalFormatting sqref="B16:B19">
    <x:cfRule type="expression" dxfId="4" priority="1">
      <x:formula>B16="V0 - Data belum cukup"</x:formula>
    </x:cfRule>
    <x:cfRule type="expression" dxfId="3" priority="2">
      <x:formula>B16="E0 - Normal"</x:formula>
    </x:cfRule>
    <x:cfRule type="expression" dxfId="2" priority="3">
      <x:formula>B16="E1 - Perhatian"</x:formula>
    </x:cfRule>
    <x:cfRule type="expression" dxfId="1" priority="4">
      <x:formula>B16="E2 - Perlu Tindakan"</x:formula>
    </x:cfRule>
    <x:cfRule type="expression" dxfId="0" priority="5">
      <x:formula>B16="E3 - Kritis"</x:formula>
    </x:cfRule>
  </x:conditionalFormatting>
  <x:dataValidations count="6">
    <x:dataValidation type="list" sqref="E6">
      <x:formula1>"BELUM DAPAT DITENTUKAN,AKTIF,OUTPUT,OUTCOME,KONTRIBUSI / DAMPAK"</x:formula1>
    </x:dataValidation>
    <x:dataValidation type="list" sqref="B16:B19">
      <x:formula1>"V0 - Data belum cukup,E0 - Normal,E1 - Perhatian,E2 - Perlu Tindakan,E3 - Kritis"</x:formula1>
    </x:dataValidation>
    <x:dataValidation type="list" sqref="G16:G19">
      <x:formula1>"BELUM MULAI,PROSES,SELESAI"</x:formula1>
    </x:dataValidation>
    <x:dataValidation type="list" sqref="J17">
      <x:formula1>"BELUM DITINDAKLANJUTI,DALAM PROSES,SELESAI"</x:formula1>
    </x:dataValidation>
    <x:dataValidation type="list" sqref="B22">
      <x:formula1>"TIDAK,YA,BELUM DAPAT DIPASTIKAN"</x:formula1>
    </x:dataValidation>
    <x:dataValidation type="list" sqref="B23">
      <x:formula1>"Tidak diperlukan,Keputusan keberlanjutan / perpanjangan / penghentian,Hambatan lintas unit / kewenangan,Komitmen mitra,Risiko material / strategis,Kebutuhan sumber daya / kebijakan,Lainnya"</x:formula1>
    </x:dataValidation>
  </x:dataValidations>
  <x:pageMargins left="0.7" right="0.7" top="0.75" bottom="0.75" header="0.3" footer="0.3"/>
</x:worksheet>
</file>

<file path=xl/worksheets/sheet3.xml><?xml version="1.0" encoding="utf-8"?>
<x:worksheet xmlns:x="http://schemas.openxmlformats.org/spreadsheetml/2006/main">
  <x:sheetFormatPr defaultRowHeight="14.25"/>
  <x:cols>
    <x:col min="1" max="1" width="28" customWidth="1"/>
    <x:col min="2" max="2" width="26" customWidth="1"/>
    <x:col min="3" max="3" width="3" customWidth="1"/>
    <x:col min="4" max="4" width="15.5" customWidth="1"/>
    <x:col min="5" max="5" width="30" customWidth="1"/>
    <x:col min="6" max="7" width="18" customWidth="1"/>
    <x:col min="8" max="9" width="20" customWidth="1"/>
    <x:col min="10" max="11" width="22" customWidth="1"/>
  </x:cols>
  <x:sheetData>
    <x:row r="1" ht="19.5">
      <x:c r="A1" s="1" t="s">
        <x:v>88</x:v>
      </x:c>
      <x:c r="B1" s="1"/>
      <x:c r="C1" s="1"/>
      <x:c r="D1" s="1"/>
      <x:c r="E1" s="1"/>
      <x:c r="F1" s="1"/>
      <x:c r="G1" s="1"/>
      <x:c r="H1" s="1"/>
      <x:c r="I1" s="1"/>
      <x:c r="J1" s="1"/>
      <x:c r="K1" s="1"/>
    </x:row>
    <x:row r="2" ht="76.5">
      <x:c r="A2" s="2" t="s">
        <x:v>89</x:v>
      </x:c>
      <x:c r="B2" s="2"/>
      <x:c r="C2" s="2"/>
      <x:c r="D2" s="2"/>
      <x:c r="E2" s="2"/>
      <x:c r="F2" s="2"/>
      <x:c r="G2" s="2"/>
      <x:c r="H2" s="2"/>
      <x:c r="I2" s="2"/>
      <x:c r="J2" s="2"/>
      <x:c r="K2" s="2"/>
    </x:row>
    <x:row r="3" ht="24" customHeight="1">
      <x:c r="A3" s="3" t="s">
        <x:v>2</x:v>
      </x:c>
      <x:c r="B3" s="533" t="str">
        <x:v>KUNING = input/validasi/keputusan</x:v>
      </x:c>
      <x:c r="C3" s="533" t="s">
        <x:v>3</x:v>
      </x:c>
      <x:c r="D3" s="537" t="str">
        <x:v>BIRU = ringkasan/hasil otomatis</x:v>
      </x:c>
      <x:c r="E3" s="537" t="str">
        <x:v>BIRU = ringkasan otomatis</x:v>
      </x:c>
    </x:row>
    <x:row r="5" ht="15">
      <x:c r="A5" s="511" t="s">
        <x:v>90</x:v>
      </x:c>
      <x:c r="B5" s="512"/>
      <x:c r="C5" s="512"/>
      <x:c r="D5" s="512" t="s">
        <x:v>91</x:v>
      </x:c>
      <x:c r="E5" s="513"/>
      <x:c r="F5" s="81"/>
      <x:c r="G5" s="81"/>
      <x:c r="H5" s="81"/>
      <x:c r="I5" s="81"/>
      <x:c r="J5" s="81"/>
      <x:c r="K5" s="81"/>
    </x:row>
    <x:row r="6" ht="28.5">
      <x:c r="A6" s="487" t="s">
        <x:v>54</x:v>
      </x:c>
      <x:c r="B6" s="423" t="str">
        <x:f>PENILAIAN!B27</x:f>
        <x:v>SIAP DIVALIDASI</x:v>
      </x:c>
      <x:c r="C6" s="405"/>
      <x:c r="D6" s="488" t="s">
        <x:v>92</x:v>
      </x:c>
      <x:c r="E6" s="273" t="str">
        <x:v>DRAFT — BELUM DIVALIDASI</x:v>
      </x:c>
    </x:row>
    <x:row r="7" ht="15">
      <x:c r="A7" s="487" t="s">
        <x:v>63</x:v>
      </x:c>
      <x:c r="B7" s="424" t="n">
        <x:f>IF(PENILAIAN!B26="","",PENILAIAN!B26)</x:f>
        <x:v>42.5</x:v>
      </x:c>
      <x:c r="C7" s="405"/>
      <x:c r="D7" s="488" t="s">
        <x:v>93</x:v>
      </x:c>
      <x:c r="E7" s="273"/>
    </x:row>
    <x:row r="8" ht="15">
      <x:c r="A8" s="487" t="s">
        <x:v>57</x:v>
      </x:c>
      <x:c r="B8" s="424" t="str">
        <x:f>IF(PENILAIAN!B28="","",PENILAIAN!B28)</x:f>
        <x:v>PERLU PERBAIKAN</x:v>
      </x:c>
      <x:c r="C8" s="405"/>
      <x:c r="D8" s="488" t="s">
        <x:v>94</x:v>
      </x:c>
      <x:c r="E8" s="441"/>
    </x:row>
    <x:row r="9" ht="33" customHeight="1">
      <x:c r="A9" s="487" t="s">
        <x:v>62</x:v>
      </x:c>
      <x:c r="B9" s="424" t="str">
        <x:f>IF(KENDALI!E6="","",KENDALI!E6)</x:f>
        <x:v>OUTCOME AWAL / IMPLEMENTASI TERBATAS</x:v>
      </x:c>
      <x:c r="C9" s="405"/>
      <x:c r="D9" s="489" t="s">
        <x:v>95</x:v>
      </x:c>
      <x:c r="E9" s="443" t="str">
        <x:v>Penilaian menggunakan Final Baseline P01, data internal per ruang lingkup, dan file dekranasda.xlsx sebagai evidence tambahan. PKS telah berjalan lebih dari 6 bulan sehingga seluruh I1–I7 dinilai.</x:v>
      </x:c>
    </x:row>
    <x:row r="10" ht="33" customHeight="1">
      <x:c r="A10" s="487" t="s">
        <x:v>78</x:v>
      </x:c>
      <x:c r="B10" s="424" t="str">
        <x:f>IF(KENDALI!J16="","",KENDALI!J16)</x:f>
        <x:v>E2 - Perlu Tindakan</x:v>
      </x:c>
      <x:c r="C10" s="405"/>
      <x:c r="D10" s="490"/>
      <x:c r="E10" s="445"/>
    </x:row>
    <x:row r="11" ht="15">
      <x:c r="A11" s="487" t="s">
        <x:v>96</x:v>
      </x:c>
      <x:c r="B11" s="424" t="str">
        <x:f>IF(KENDALI!B22="","",KENDALI!B22)</x:f>
        <x:v>TIDAK</x:v>
      </x:c>
      <x:c r="C11" s="405"/>
      <x:c r="D11" s="490"/>
      <x:c r="E11" s="445"/>
    </x:row>
    <x:row r="12" ht="15">
      <x:c r="A12" s="487" t="s">
        <x:v>66</x:v>
      </x:c>
      <x:c r="B12" s="424" t="n">
        <x:f>PENILAIAN!B23</x:f>
        <x:v>0</x:v>
      </x:c>
      <x:c r="C12" s="405"/>
      <x:c r="D12" s="490"/>
      <x:c r="E12" s="445"/>
    </x:row>
    <x:row r="13" ht="15">
      <x:c r="A13" s="491" t="s">
        <x:v>67</x:v>
      </x:c>
      <x:c r="B13" s="447" t="n">
        <x:f>PENILAIAN!B24</x:f>
        <x:v>0</x:v>
      </x:c>
      <x:c r="C13" s="406"/>
      <x:c r="D13" s="492"/>
      <x:c r="E13" s="381"/>
    </x:row>
    <x:row r="14">
      <x:c r="A14" s="405"/>
      <x:c r="B14" s="405"/>
      <x:c r="C14" s="405"/>
      <x:c r="D14" s="405"/>
      <x:c r="E14" s="405"/>
    </x:row>
    <x:row r="15" ht="15">
      <x:c r="A15" s="511" t="s">
        <x:v>97</x:v>
      </x:c>
      <x:c r="B15" s="512"/>
      <x:c r="C15" s="512"/>
      <x:c r="D15" s="512"/>
      <x:c r="E15" s="513"/>
      <x:c r="F15" s="81"/>
      <x:c r="G15" s="81"/>
      <x:c r="H15" s="81"/>
      <x:c r="I15" s="81"/>
      <x:c r="J15" s="81"/>
      <x:c r="K15" s="81"/>
    </x:row>
    <x:row r="16" ht="180" customHeight="1">
      <x:c r="A16" s="493" t="s">
        <x:v>98</x:v>
      </x:c>
      <x:c r="B16" s="255" t="str">
        <x:v>Dibanding baseline, terdapat implementasi nyata pada edukasi KI dan pelayanan pendaftaran KI, beserta manfaat awal bagi UMKM/masyarakat. Namun tiga ruang lingkup belum memiliki data, PIC/rencana aksi belum jelas, dan evidence masih terbatas.</x:v>
      </x:c>
      <x:c r="C16" s="405"/>
      <x:c r="D16" s="462" t="s">
        <x:v>84</x:v>
      </x:c>
      <x:c r="E16" s="463" t="s">
        <x:v>99</x:v>
      </x:c>
      <x:c r="F16" s="25"/>
      <x:c r="G16" s="25"/>
      <x:c r="H16" s="25"/>
      <x:c r="I16" s="25"/>
      <x:c r="J16" s="25"/>
      <x:c r="K16" s="26"/>
    </x:row>
    <x:row r="17" ht="87.75" customHeight="1">
      <x:c r="A17" s="493" t="s">
        <x:v>100</x:v>
      </x:c>
      <x:c r="B17" s="257" t="str">
        <x:v>LANJUTKAN DENGAN AKTIVASI RUANG LINGKUP DAN PENGUATAN TATA KELOLA</x:v>
      </x:c>
      <x:c r="C17" s="405"/>
      <x:c r="D17" s="405"/>
      <x:c r="E17" s="464"/>
      <x:c r="F17" s="27"/>
      <x:c r="G17" s="27"/>
      <x:c r="H17" s="27"/>
      <x:c r="I17" s="27"/>
      <x:c r="J17" s="27"/>
      <x:c r="K17" s="28"/>
    </x:row>
    <x:row r="18" ht="167.25" customHeight="1">
      <x:c r="A18" s="493" t="s">
        <x:v>86</x:v>
      </x:c>
      <x:c r="B18" s="257" t="str">
        <x:v>Kerja sama memiliki manfaat nyata, tetapi implementasinya belum merata dan belum ditopang tata kelola/evidence yang cukup kuat.</x:v>
      </x:c>
      <x:c r="C18" s="405"/>
      <x:c r="D18" s="405"/>
      <x:c r="E18" s="464"/>
      <x:c r="F18" s="29"/>
      <x:c r="G18" s="29"/>
      <x:c r="H18" s="29"/>
      <x:c r="I18" s="29"/>
      <x:c r="J18" s="29"/>
      <x:c r="K18" s="30"/>
    </x:row>
    <x:row r="19" ht="215.25" customHeight="1">
      <x:c r="A19" s="493" t="s">
        <x:v>101</x:v>
      </x:c>
      <x:c r="B19" s="257" t="str">
        <x:v>1) Tetapkan PIC internal dan mitra; 2) susun rencana aksi 5 ruang lingkup; 3) aktifkan KIK, penegakan KI, dan pertukaran data; 4) konsolidasikan evidence; 5) ukur penerima layanan/UMKM dan tindak lanjut pendaftaran KI; 6) review triwulanan.</x:v>
      </x:c>
      <x:c r="C19" s="405"/>
      <x:c r="D19" s="405"/>
      <x:c r="E19" s="464"/>
      <x:c r="F19" s="27"/>
      <x:c r="G19" s="27"/>
      <x:c r="H19" s="27"/>
      <x:c r="I19" s="27"/>
      <x:c r="J19" s="27"/>
      <x:c r="K19" s="28"/>
    </x:row>
    <x:row r="20" ht="81.75" customHeight="1">
      <x:c r="A20" s="493" t="s">
        <x:v>74</x:v>
      </x:c>
      <x:c r="B20" s="257" t="str">
        <x:v>Pengelola kerja sama dan unit pengampu KI bersama Dekranasda Kepri</x:v>
      </x:c>
      <x:c r="C20" s="405"/>
      <x:c r="D20" s="405"/>
      <x:c r="E20" s="464"/>
      <x:c r="F20" s="27"/>
      <x:c r="G20" s="27"/>
      <x:c r="H20" s="27"/>
      <x:c r="I20" s="27"/>
      <x:c r="J20" s="27"/>
      <x:c r="K20" s="28"/>
    </x:row>
    <x:row r="21" ht="69" customHeight="1">
      <x:c r="A21" s="514" t="s">
        <x:v>102</x:v>
      </x:c>
      <x:c r="B21" s="466" t="str">
        <x:v>Triwulan IV 2026 untuk pembenahan tata kelola dan aktivasi ruang lingkup</x:v>
      </x:c>
      <x:c r="C21" s="406"/>
      <x:c r="D21" s="406"/>
      <x:c r="E21" s="467"/>
      <x:c r="F21" s="29"/>
      <x:c r="G21" s="29"/>
      <x:c r="H21" s="29"/>
      <x:c r="I21" s="29"/>
      <x:c r="J21" s="29"/>
      <x:c r="K21" s="30"/>
    </x:row>
    <x:row r="22">
      <x:c r="A22" s="405"/>
      <x:c r="B22" s="405"/>
      <x:c r="C22" s="405"/>
      <x:c r="D22" s="405"/>
      <x:c r="E22" s="405"/>
    </x:row>
    <x:row r="23" ht="15">
      <x:c r="A23" s="511" t="s">
        <x:v>103</x:v>
      </x:c>
      <x:c r="B23" s="513"/>
      <x:c r="C23" s="515"/>
      <x:c r="D23" s="515"/>
      <x:c r="E23" s="515"/>
      <x:c r="F23" s="81"/>
      <x:c r="G23" s="81"/>
      <x:c r="H23" s="81"/>
      <x:c r="I23" s="81"/>
      <x:c r="J23" s="81"/>
      <x:c r="K23" s="81"/>
    </x:row>
    <x:row r="24" ht="15">
      <x:c r="A24" s="516" t="s">
        <x:v>104</x:v>
      </x:c>
      <x:c r="B24" s="475" t="str">
        <x:v>BELUM DIPUTUSKAN</x:v>
      </x:c>
      <x:c r="C24" s="405"/>
      <x:c r="D24" s="405"/>
      <x:c r="E24" s="405"/>
      <x:c r="F24" s="25"/>
      <x:c r="G24" s="25"/>
      <x:c r="H24" s="25"/>
      <x:c r="I24" s="25"/>
      <x:c r="J24" s="25"/>
      <x:c r="K24" s="26"/>
    </x:row>
    <x:row r="25" ht="15">
      <x:c r="A25" s="516" t="s">
        <x:v>105</x:v>
      </x:c>
      <x:c r="B25" s="475" t="str">
        <x:v>-</x:v>
      </x:c>
      <x:c r="C25" s="405"/>
      <x:c r="D25" s="405"/>
      <x:c r="E25" s="405"/>
      <x:c r="F25" s="27"/>
      <x:c r="G25" s="27"/>
      <x:c r="H25" s="27"/>
      <x:c r="I25" s="27"/>
      <x:c r="J25" s="27"/>
      <x:c r="K25" s="28"/>
    </x:row>
    <x:row r="26" ht="15">
      <x:c r="A26" s="516" t="s">
        <x:v>106</x:v>
      </x:c>
      <x:c r="B26" s="476" t="str">
        <x:v>-</x:v>
      </x:c>
      <x:c r="C26" s="405"/>
      <x:c r="D26" s="405"/>
      <x:c r="E26" s="405"/>
      <x:c r="F26" s="27"/>
      <x:c r="G26" s="27"/>
      <x:c r="H26" s="27"/>
      <x:c r="I26" s="27"/>
      <x:c r="J26" s="27"/>
      <x:c r="K26" s="28"/>
    </x:row>
    <x:row r="27" ht="15">
      <x:c r="A27" s="516" t="s">
        <x:v>107</x:v>
      </x:c>
      <x:c r="B27" s="475" t="str">
        <x:v>-</x:v>
      </x:c>
      <x:c r="C27" s="405"/>
      <x:c r="D27" s="405"/>
      <x:c r="E27" s="405"/>
      <x:c r="F27" s="27"/>
      <x:c r="G27" s="27"/>
      <x:c r="H27" s="27"/>
      <x:c r="I27" s="27"/>
      <x:c r="J27" s="27"/>
      <x:c r="K27" s="28"/>
    </x:row>
    <x:row r="28" ht="15">
      <x:c r="A28" s="517" t="s">
        <x:v>108</x:v>
      </x:c>
      <x:c r="B28" s="478" t="str">
        <x:v>-</x:v>
      </x:c>
      <x:c r="C28" s="405"/>
      <x:c r="D28" s="405"/>
      <x:c r="E28" s="405"/>
      <x:c r="F28" s="29"/>
      <x:c r="G28" s="29"/>
      <x:c r="H28" s="29"/>
      <x:c r="I28" s="29"/>
      <x:c r="J28" s="29"/>
      <x:c r="K28" s="30"/>
    </x:row>
    <x:row r="29">
      <x:c r="A29" s="88"/>
      <x:c r="B29" s="88"/>
    </x:row>
  </x:sheetData>
  <x:mergeCells>
    <x:mergeCell ref="E9:E13"/>
    <x:mergeCell ref="D9:D13"/>
    <x:mergeCell ref="B3:C3"/>
    <x:mergeCell ref="D3:E3"/>
  </x:mergeCells>
  <x:dataValidations count="3">
    <x:dataValidation type="list" sqref="E6">
      <x:formula1>"BELUM,PERLU PERBAIKAN,TERVALIDASI"</x:formula1>
    </x:dataValidation>
    <x:dataValidation type="list" sqref="B17">
      <x:formula1>"LANJUT,PERBAIKI,PERPANJANG,REPLIKASI,HENTIKAN / TIDAK DILANJUTKAN"</x:formula1>
    </x:dataValidation>
    <x:dataValidation type="list" sqref="B24">
      <x:formula1>"BELUM DIPUTUSKAN,DISETUJUI,DISETUJUI DENGAN PERBAIKAN,DIESKALASIKAN"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4.25"/>
  <x:cols>
    <x:col min="1" max="1" width="21.375" style="127" customWidth="1"/>
    <x:col min="2" max="2" width="7.375" style="127" customWidth="1"/>
    <x:col min="3" max="3" width="22.5" style="127" customWidth="1"/>
    <x:col min="4" max="4" width="18.75" style="127" customWidth="1"/>
    <x:col min="5" max="5" width="18.125" style="127" customWidth="1"/>
    <x:col min="6" max="6" width="22.25" style="127" customWidth="1"/>
    <x:col min="7" max="7" width="21.875" style="127" customWidth="1"/>
    <x:col min="8" max="8" width="19.875" style="127" customWidth="1"/>
    <x:col min="9" max="9" width="18" style="127" customWidth="1"/>
  </x:cols>
  <x:sheetData>
    <x:row r="1" ht="19.5">
      <x:c r="A1" s="116" t="s">
        <x:v>109</x:v>
      </x:c>
      <x:c r="B1" s="116"/>
      <x:c r="C1" s="116"/>
      <x:c r="D1" s="116"/>
      <x:c r="E1" s="116"/>
      <x:c r="F1" s="116"/>
      <x:c r="G1" s="116"/>
      <x:c r="H1" s="116"/>
      <x:c r="I1" s="116"/>
    </x:row>
    <x:row r="2" ht="51" customHeight="1">
      <x:c r="A2" s="115" t="s">
        <x:v>110</x:v>
      </x:c>
      <x:c r="B2" s="115"/>
      <x:c r="C2" s="115"/>
      <x:c r="D2" s="115"/>
      <x:c r="E2" s="115"/>
      <x:c r="F2" s="114"/>
      <x:c r="G2" s="114"/>
      <x:c r="H2" s="114"/>
      <x:c r="I2" s="114"/>
    </x:row>
    <x:row r="4" ht="15">
      <x:c r="A4" s="15" t="s">
        <x:v>14</x:v>
      </x:c>
      <x:c r="B4" s="15" t="s">
        <x:v>15</x:v>
      </x:c>
      <x:c r="C4" s="15" t="s">
        <x:v>111</x:v>
      </x:c>
      <x:c r="D4" s="15" t="s">
        <x:v>112</x:v>
      </x:c>
      <x:c r="E4" s="15" t="s">
        <x:v>113</x:v>
      </x:c>
      <x:c r="F4" s="15" t="s">
        <x:v>114</x:v>
      </x:c>
      <x:c r="G4" s="15" t="s">
        <x:v>115</x:v>
      </x:c>
      <x:c r="H4" s="15" t="s">
        <x:v>116</x:v>
      </x:c>
      <x:c r="I4" s="15" t="s">
        <x:v>81</x:v>
      </x:c>
    </x:row>
    <x:row r="5" ht="110.0999984741211" customHeight="1">
      <x:c r="A5" s="117" t="s">
        <x:v>25</x:v>
      </x:c>
      <x:c r="B5" s="118">
        <x:v>10</x:v>
      </x:c>
      <x:c r="C5" s="78" t="s">
        <x:v>117</x:v>
      </x:c>
      <x:c r="D5" s="78" t="s">
        <x:v>118</x:v>
      </x:c>
      <x:c r="E5" s="78" t="s">
        <x:v>119</x:v>
      </x:c>
      <x:c r="F5" s="78" t="s">
        <x:v>120</x:v>
      </x:c>
      <x:c r="G5" s="78" t="s">
        <x:v>121</x:v>
      </x:c>
      <x:c r="H5" s="78" t="s">
        <x:v>122</x:v>
      </x:c>
      <x:c r="I5" s="119" t="s">
        <x:v>123</x:v>
      </x:c>
    </x:row>
    <x:row r="6" ht="110.0999984741211" customHeight="1">
      <x:c r="A6" s="120" t="s">
        <x:v>27</x:v>
      </x:c>
      <x:c r="B6" s="121">
        <x:v>15</x:v>
      </x:c>
      <x:c r="C6" s="77" t="s">
        <x:v>124</x:v>
      </x:c>
      <x:c r="D6" s="77" t="s">
        <x:v>125</x:v>
      </x:c>
      <x:c r="E6" s="77" t="s">
        <x:v>126</x:v>
      </x:c>
      <x:c r="F6" s="77" t="s">
        <x:v>127</x:v>
      </x:c>
      <x:c r="G6" s="77" t="s">
        <x:v>128</x:v>
      </x:c>
      <x:c r="H6" s="77" t="s">
        <x:v>129</x:v>
      </x:c>
      <x:c r="I6" s="122"/>
    </x:row>
    <x:row r="7" ht="110.0999984741211" customHeight="1">
      <x:c r="A7" s="120" t="s">
        <x:v>29</x:v>
      </x:c>
      <x:c r="B7" s="121">
        <x:v>15</x:v>
      </x:c>
      <x:c r="C7" s="77" t="s">
        <x:v>130</x:v>
      </x:c>
      <x:c r="D7" s="77" t="s">
        <x:v>131</x:v>
      </x:c>
      <x:c r="E7" s="77" t="s">
        <x:v>132</x:v>
      </x:c>
      <x:c r="F7" s="77" t="s">
        <x:v>133</x:v>
      </x:c>
      <x:c r="G7" s="77" t="s">
        <x:v>134</x:v>
      </x:c>
      <x:c r="H7" s="77" t="s">
        <x:v>135</x:v>
      </x:c>
      <x:c r="I7" s="122"/>
    </x:row>
    <x:row r="8" ht="110.0999984741211" customHeight="1">
      <x:c r="A8" s="120" t="s">
        <x:v>31</x:v>
      </x:c>
      <x:c r="B8" s="121">
        <x:v>20</x:v>
      </x:c>
      <x:c r="C8" s="77" t="s">
        <x:v>136</x:v>
      </x:c>
      <x:c r="D8" s="77" t="s">
        <x:v>137</x:v>
      </x:c>
      <x:c r="E8" s="77" t="s">
        <x:v>138</x:v>
      </x:c>
      <x:c r="F8" s="77" t="s">
        <x:v>139</x:v>
      </x:c>
      <x:c r="G8" s="77" t="s">
        <x:v>140</x:v>
      </x:c>
      <x:c r="H8" s="77" t="s">
        <x:v>141</x:v>
      </x:c>
      <x:c r="I8" s="122" t="s">
        <x:v>142</x:v>
      </x:c>
    </x:row>
    <x:row r="9" ht="110.0999984741211" customHeight="1">
      <x:c r="A9" s="120" t="s">
        <x:v>33</x:v>
      </x:c>
      <x:c r="B9" s="121">
        <x:v>20</x:v>
      </x:c>
      <x:c r="C9" s="77" t="s">
        <x:v>143</x:v>
      </x:c>
      <x:c r="D9" s="77" t="s">
        <x:v>144</x:v>
      </x:c>
      <x:c r="E9" s="77" t="s">
        <x:v>145</x:v>
      </x:c>
      <x:c r="F9" s="77" t="s">
        <x:v>146</x:v>
      </x:c>
      <x:c r="G9" s="77" t="s">
        <x:v>147</x:v>
      </x:c>
      <x:c r="H9" s="77" t="s">
        <x:v>148</x:v>
      </x:c>
      <x:c r="I9" s="122" t="s">
        <x:v>149</x:v>
      </x:c>
    </x:row>
    <x:row r="10" ht="110.0999984741211" customHeight="1">
      <x:c r="A10" s="120" t="s">
        <x:v>35</x:v>
      </x:c>
      <x:c r="B10" s="121">
        <x:v>10</x:v>
      </x:c>
      <x:c r="C10" s="77" t="s">
        <x:v>150</x:v>
      </x:c>
      <x:c r="D10" s="77" t="s">
        <x:v>151</x:v>
      </x:c>
      <x:c r="E10" s="77" t="s">
        <x:v>152</x:v>
      </x:c>
      <x:c r="F10" s="77" t="s">
        <x:v>153</x:v>
      </x:c>
      <x:c r="G10" s="77" t="s">
        <x:v>154</x:v>
      </x:c>
      <x:c r="H10" s="77" t="s">
        <x:v>155</x:v>
      </x:c>
      <x:c r="I10" s="122" t="s">
        <x:v>156</x:v>
      </x:c>
    </x:row>
    <x:row r="11" ht="110.0999984741211" customHeight="1">
      <x:c r="A11" s="123" t="s">
        <x:v>37</x:v>
      </x:c>
      <x:c r="B11" s="124">
        <x:v>10</x:v>
      </x:c>
      <x:c r="C11" s="125" t="s">
        <x:v>157</x:v>
      </x:c>
      <x:c r="D11" s="125" t="s">
        <x:v>158</x:v>
      </x:c>
      <x:c r="E11" s="125" t="s">
        <x:v>159</x:v>
      </x:c>
      <x:c r="F11" s="125" t="s">
        <x:v>160</x:v>
      </x:c>
      <x:c r="G11" s="125" t="s">
        <x:v>161</x:v>
      </x:c>
      <x:c r="H11" s="125" t="s">
        <x:v>162</x:v>
      </x:c>
      <x:c r="I11" s="126" t="s">
        <x:v>163</x:v>
      </x:c>
    </x:row>
  </x:sheetData>
  <x:mergeCells>
    <x:mergeCell ref="A2:E2"/>
  </x:mergeCells>
  <x:pageMargins left="0.7" right="0.7" top="0.75" bottom="0.75" header="0.3" footer="0.3"/>
</x:worksheet>
</file>

<file path=xl/worksheets/sheet5.xml><?xml version="1.0" encoding="utf-8"?>
<x:worksheet xmlns:x="http://schemas.openxmlformats.org/spreadsheetml/2006/main">
  <x:sheetFormatPr defaultRowHeight="14.25"/>
  <x:cols>
    <x:col min="1" max="1" width="27" customWidth="1"/>
    <x:col min="2" max="3" width="48" customWidth="1"/>
    <x:col min="4" max="6" width="18" customWidth="1"/>
  </x:cols>
  <x:sheetData>
    <x:row r="1" ht="19.5">
      <x:c r="A1" s="1" t="s">
        <x:v>164</x:v>
      </x:c>
      <x:c r="B1" s="1"/>
      <x:c r="C1" s="1"/>
      <x:c r="D1" s="1"/>
      <x:c r="E1" s="1"/>
      <x:c r="F1" s="1"/>
    </x:row>
    <x:row r="2" ht="38.25">
      <x:c r="A2" s="2" t="s">
        <x:v>165</x:v>
      </x:c>
      <x:c r="B2" s="2"/>
      <x:c r="C2" s="2"/>
      <x:c r="D2" s="2"/>
      <x:c r="E2" s="2"/>
      <x:c r="F2" s="2"/>
    </x:row>
    <x:row r="3">
      <x:c r="A3" s="529" t="str">
        <x:v>Legenda warna</x:v>
      </x:c>
      <x:c r="B3" s="529" t="str">
        <x:v>KUNING #FFF2CC = input/keputusan pengguna</x:v>
      </x:c>
      <x:c r="C3" s="529" t="str">
        <x:v>BIRU = data sumber/hasil otomatis; HIJAU = DAPAT DINILAI; ABU = BELUM DAPAT DINILAI</x:v>
      </x:c>
    </x:row>
    <x:row r="4" ht="15">
      <x:c r="A4" s="6" t="s">
        <x:v>166</x:v>
      </x:c>
      <x:c r="B4" s="6"/>
      <x:c r="C4" s="6"/>
      <x:c r="D4" s="6"/>
      <x:c r="E4" s="6"/>
      <x:c r="F4" s="6"/>
    </x:row>
    <x:row r="5" ht="15">
      <x:c r="A5" s="35" t="s">
        <x:v>167</x:v>
      </x:c>
      <x:c r="B5" s="36" t="s">
        <x:v>168</x:v>
      </x:c>
    </x:row>
    <x:row r="6" ht="28.5">
      <x:c r="A6" s="19" t="s">
        <x:v>169</x:v>
      </x:c>
      <x:c r="B6" s="21" t="s">
        <x:v>170</x:v>
      </x:c>
    </x:row>
    <x:row r="7" ht="42.75">
      <x:c r="A7" s="19" t="s">
        <x:v>171</x:v>
      </x:c>
      <x:c r="B7" s="21" t="s">
        <x:v>172</x:v>
      </x:c>
    </x:row>
    <x:row r="8">
      <x:c r="A8" s="19" t="s">
        <x:v>93</x:v>
      </x:c>
      <x:c r="B8" s="21" t="s">
        <x:v>173</x:v>
      </x:c>
    </x:row>
    <x:row r="9" ht="28.5">
      <x:c r="A9" s="22" t="s">
        <x:v>174</x:v>
      </x:c>
      <x:c r="B9" s="24" t="s">
        <x:v>175</x:v>
      </x:c>
    </x:row>
    <x:row r="11" ht="15">
      <x:c r="A11" s="6" t="s">
        <x:v>176</x:v>
      </x:c>
      <x:c r="B11" s="6"/>
      <x:c r="C11" s="6"/>
      <x:c r="D11" s="6"/>
      <x:c r="E11" s="6"/>
      <x:c r="F11" s="6"/>
    </x:row>
    <x:row r="12" ht="28.5">
      <x:c r="A12" s="32" t="s">
        <x:v>43</x:v>
      </x:c>
      <x:c r="B12" s="17" t="s">
        <x:v>177</x:v>
      </x:c>
      <x:c r="C12" s="18" t="s">
        <x:v>178</x:v>
      </x:c>
    </x:row>
    <x:row r="13" ht="28.5">
      <x:c r="A13" s="33" t="s">
        <x:v>46</x:v>
      </x:c>
      <x:c r="B13" s="20" t="s">
        <x:v>179</x:v>
      </x:c>
      <x:c r="C13" s="21" t="s">
        <x:v>180</x:v>
      </x:c>
    </x:row>
    <x:row r="14" ht="28.5">
      <x:c r="A14" s="33" t="s">
        <x:v>49</x:v>
      </x:c>
      <x:c r="B14" s="20" t="s">
        <x:v>181</x:v>
      </x:c>
      <x:c r="C14" s="21" t="s">
        <x:v>182</x:v>
      </x:c>
    </x:row>
    <x:row r="15" ht="15">
      <x:c r="A15" s="33" t="s">
        <x:v>52</x:v>
      </x:c>
      <x:c r="B15" s="20" t="s">
        <x:v>183</x:v>
      </x:c>
      <x:c r="C15" s="21" t="s">
        <x:v>184</x:v>
      </x:c>
    </x:row>
    <x:row r="16" ht="28.5">
      <x:c r="A16" s="34" t="s">
        <x:v>55</x:v>
      </x:c>
      <x:c r="B16" s="23" t="s">
        <x:v>185</x:v>
      </x:c>
      <x:c r="C16" s="24" t="s">
        <x:v>186</x:v>
      </x:c>
    </x:row>
    <x:row r="20" ht="15">
      <x:c r="A20" s="6" t="s">
        <x:v>187</x:v>
      </x:c>
      <x:c r="B20" s="6"/>
      <x:c r="C20" s="6"/>
      <x:c r="D20" s="6"/>
      <x:c r="E20" s="6"/>
      <x:c r="F20" s="6"/>
    </x:row>
    <x:row r="21" ht="15">
      <x:c r="A21" s="35" t="s">
        <x:v>71</x:v>
      </x:c>
      <x:c r="B21" s="37" t="s">
        <x:v>188</x:v>
      </x:c>
      <x:c r="C21" s="36" t="s">
        <x:v>189</x:v>
      </x:c>
    </x:row>
    <x:row r="22">
      <x:c r="A22" s="19" t="s">
        <x:v>190</x:v>
      </x:c>
      <x:c r="B22" s="20" t="s">
        <x:v>191</x:v>
      </x:c>
      <x:c r="C22" s="21" t="s">
        <x:v>192</x:v>
      </x:c>
    </x:row>
    <x:row r="23" ht="28.5">
      <x:c r="A23" s="19" t="s">
        <x:v>193</x:v>
      </x:c>
      <x:c r="B23" s="20" t="s">
        <x:v>194</x:v>
      </x:c>
      <x:c r="C23" s="21" t="s">
        <x:v>195</x:v>
      </x:c>
    </x:row>
    <x:row r="24" ht="57">
      <x:c r="A24" s="22" t="s">
        <x:v>196</x:v>
      </x:c>
      <x:c r="B24" s="23" t="s">
        <x:v>197</x:v>
      </x:c>
      <x:c r="C24" s="24" t="s">
        <x:v>195</x:v>
      </x:c>
    </x:row>
    <x:row r="27" ht="15">
      <x:c r="A27" s="6" t="s">
        <x:v>198</x:v>
      </x:c>
      <x:c r="B27" s="6"/>
      <x:c r="C27" s="6"/>
      <x:c r="D27" s="6"/>
      <x:c r="E27" s="6"/>
      <x:c r="F27" s="6"/>
    </x:row>
    <x:row r="28" ht="28.5">
      <x:c r="A28" s="32" t="s">
        <x:v>112</x:v>
      </x:c>
      <x:c r="B28" s="18" t="s">
        <x:v>199</x:v>
      </x:c>
    </x:row>
    <x:row r="29" ht="28.5">
      <x:c r="A29" s="33" t="s">
        <x:v>66</x:v>
      </x:c>
      <x:c r="B29" s="21" t="s">
        <x:v>200</x:v>
      </x:c>
    </x:row>
    <x:row r="30" ht="28.5">
      <x:c r="A30" s="33" t="s">
        <x:v>45</x:v>
      </x:c>
      <x:c r="B30" s="21" t="s">
        <x:v>201</x:v>
      </x:c>
    </x:row>
    <x:row r="31" ht="15">
      <x:c r="A31" s="33" t="s">
        <x:v>51</x:v>
      </x:c>
      <x:c r="B31" s="21" t="s">
        <x:v>202</x:v>
      </x:c>
    </x:row>
    <x:row r="32" ht="57">
      <x:c r="A32" s="34" t="s">
        <x:v>203</x:v>
      </x:c>
      <x:c r="B32" s="24" t="s">
        <x:v>204</x:v>
      </x:c>
      <x:c r="C32" t="s">
        <x:v>205</x:v>
      </x:c>
    </x:row>
    <x:row r="35" ht="15">
      <x:c r="A35" s="6" t="s">
        <x:v>206</x:v>
      </x:c>
      <x:c r="B35" s="6"/>
      <x:c r="C35" s="6"/>
      <x:c r="D35" s="6"/>
      <x:c r="E35" s="6"/>
      <x:c r="F35" s="6"/>
    </x:row>
    <x:row r="36" ht="15">
      <x:c r="A36" s="35" t="s">
        <x:v>207</x:v>
      </x:c>
      <x:c r="B36" s="36" t="s">
        <x:v>208</x:v>
      </x:c>
    </x:row>
    <x:row r="37" ht="28.5">
      <x:c r="A37" s="19" t="s">
        <x:v>209</x:v>
      </x:c>
      <x:c r="B37" s="21" t="s">
        <x:v>210</x:v>
      </x:c>
    </x:row>
    <x:row r="38" ht="28.5">
      <x:c r="A38" s="19" t="s">
        <x:v>211</x:v>
      </x:c>
      <x:c r="B38" s="21" t="s">
        <x:v>212</x:v>
      </x:c>
    </x:row>
    <x:row r="39" ht="28.5">
      <x:c r="A39" s="19" t="s">
        <x:v>213</x:v>
      </x:c>
      <x:c r="B39" s="21" t="s">
        <x:v>214</x:v>
      </x:c>
    </x:row>
    <x:row r="40" ht="28.5">
      <x:c r="A40" s="22" t="s">
        <x:v>215</x:v>
      </x:c>
      <x:c r="B40" s="24" t="s">
        <x:v>216</x:v>
      </x:c>
    </x:row>
    <x:row r="42" ht="15">
      <x:c r="A42" s="6" t="s">
        <x:v>217</x:v>
      </x:c>
      <x:c r="B42" s="6"/>
      <x:c r="C42" s="6"/>
      <x:c r="D42" s="6"/>
      <x:c r="E42" s="6"/>
      <x:c r="F42" s="6"/>
    </x:row>
    <x:row r="43" ht="15">
      <x:c r="A43" s="35" t="s">
        <x:v>218</x:v>
      </x:c>
      <x:c r="B43" s="36" t="s">
        <x:v>219</x:v>
      </x:c>
    </x:row>
    <x:row r="44" ht="28.5">
      <x:c r="A44" s="19" t="s">
        <x:v>220</x:v>
      </x:c>
      <x:c r="B44" s="21" t="s">
        <x:v>221</x:v>
      </x:c>
    </x:row>
    <x:row r="45" ht="28.5">
      <x:c r="A45" s="19" t="s">
        <x:v>222</x:v>
      </x:c>
      <x:c r="B45" s="21" t="s">
        <x:v>223</x:v>
      </x:c>
    </x:row>
    <x:row r="46" ht="28.5">
      <x:c r="A46" s="19" t="s">
        <x:v>224</x:v>
      </x:c>
      <x:c r="B46" s="21" t="s">
        <x:v>225</x:v>
      </x:c>
    </x:row>
    <x:row r="47" ht="28.5">
      <x:c r="A47" s="19" t="s">
        <x:v>226</x:v>
      </x:c>
      <x:c r="B47" s="21" t="s">
        <x:v>227</x:v>
      </x:c>
    </x:row>
    <x:row r="48" ht="28.5">
      <x:c r="A48" s="22" t="s">
        <x:v>228</x:v>
      </x:c>
      <x:c r="B48" s="24" t="s">
        <x:v>229</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14" customWidth="1"/>
    <x:col min="2" max="2" width="42" customWidth="1"/>
    <x:col min="3" max="3" width="24" customWidth="1"/>
    <x:col min="4" max="5" width="8" customWidth="1"/>
    <x:col min="6" max="6" width="10" customWidth="1"/>
    <x:col min="7" max="7" width="30" customWidth="1"/>
    <x:col min="8" max="8" width="34" customWidth="1"/>
  </x:cols>
  <x:sheetData>
    <x:row r="1" ht="19.5">
      <x:c r="A1" s="1" t="s">
        <x:v>230</x:v>
      </x:c>
      <x:c r="B1" s="1"/>
      <x:c r="C1" s="1"/>
      <x:c r="D1" s="1"/>
      <x:c r="E1" s="1"/>
      <x:c r="F1" s="1"/>
      <x:c r="G1" s="1"/>
      <x:c r="H1" s="1"/>
    </x:row>
    <x:row r="2" ht="114.75">
      <x:c r="A2" s="2" t="s">
        <x:v>231</x:v>
      </x:c>
      <x:c r="B2" s="2"/>
      <x:c r="C2" s="2"/>
      <x:c r="D2" s="2"/>
      <x:c r="E2" s="2"/>
      <x:c r="F2" s="2"/>
      <x:c r="G2" s="2"/>
      <x:c r="H2" s="2"/>
    </x:row>
    <x:row r="4" ht="15">
      <x:c r="A4" s="6" t="s">
        <x:v>232</x:v>
      </x:c>
      <x:c r="B4" s="6"/>
      <x:c r="C4" s="6"/>
      <x:c r="D4" s="6"/>
      <x:c r="E4" s="6"/>
      <x:c r="F4" s="6"/>
      <x:c r="G4" s="6"/>
      <x:c r="H4" s="6"/>
    </x:row>
    <x:row r="5" ht="15">
      <x:c r="A5" s="15" t="s">
        <x:v>14</x:v>
      </x:c>
      <x:c r="B5" s="15" t="s">
        <x:v>233</x:v>
      </x:c>
      <x:c r="C5" s="15" t="s">
        <x:v>71</x:v>
      </x:c>
      <x:c r="D5" s="15" t="s">
        <x:v>234</x:v>
      </x:c>
      <x:c r="E5" s="15" t="s">
        <x:v>15</x:v>
      </x:c>
      <x:c r="F5" s="15" t="s">
        <x:v>235</x:v>
      </x:c>
      <x:c r="G5" s="15" t="s">
        <x:v>219</x:v>
      </x:c>
      <x:c r="H5" s="15" t="s">
        <x:v>101</x:v>
      </x:c>
    </x:row>
    <x:row r="6" ht="28.5">
      <x:c r="A6" s="16" t="s">
        <x:v>236</x:v>
      </x:c>
      <x:c r="B6" s="17" t="s">
        <x:v>237</x:v>
      </x:c>
      <x:c r="C6" s="17" t="s">
        <x:v>190</x:v>
      </x:c>
      <x:c r="D6" s="17">
        <x:v>1</x:v>
      </x:c>
      <x:c r="E6" s="17">
        <x:v>10</x:v>
      </x:c>
      <x:c r="F6" s="17">
        <x:v>2.5</x:v>
      </x:c>
      <x:c r="G6" s="17" t="s">
        <x:v>238</x:v>
      </x:c>
      <x:c r="H6" s="18" t="s">
        <x:v>239</x:v>
      </x:c>
    </x:row>
    <x:row r="7">
      <x:c r="A7" s="19" t="s">
        <x:v>240</x:v>
      </x:c>
      <x:c r="B7" s="20" t="s">
        <x:v>241</x:v>
      </x:c>
      <x:c r="C7" s="20" t="s">
        <x:v>190</x:v>
      </x:c>
      <x:c r="D7" s="20">
        <x:v>0</x:v>
      </x:c>
      <x:c r="E7" s="20">
        <x:v>15</x:v>
      </x:c>
      <x:c r="F7" s="20">
        <x:v>0</x:v>
      </x:c>
      <x:c r="G7" s="20" t="s">
        <x:v>242</x:v>
      </x:c>
      <x:c r="H7" s="21" t="s">
        <x:v>243</x:v>
      </x:c>
    </x:row>
    <x:row r="8" ht="28.5">
      <x:c r="A8" s="19" t="s">
        <x:v>244</x:v>
      </x:c>
      <x:c r="B8" s="20" t="s">
        <x:v>245</x:v>
      </x:c>
      <x:c r="C8" s="20" t="s">
        <x:v>190</x:v>
      </x:c>
      <x:c r="D8" s="20">
        <x:v>0</x:v>
      </x:c>
      <x:c r="E8" s="20">
        <x:v>15</x:v>
      </x:c>
      <x:c r="F8" s="20">
        <x:v>0</x:v>
      </x:c>
      <x:c r="G8" s="20" t="s">
        <x:v>246</x:v>
      </x:c>
      <x:c r="H8" s="21" t="s">
        <x:v>247</x:v>
      </x:c>
    </x:row>
    <x:row r="9" ht="28.5">
      <x:c r="A9" s="19" t="s">
        <x:v>248</x:v>
      </x:c>
      <x:c r="B9" s="20" t="s">
        <x:v>249</x:v>
      </x:c>
      <x:c r="C9" s="20" t="s">
        <x:v>190</x:v>
      </x:c>
      <x:c r="D9" s="20">
        <x:v>0</x:v>
      </x:c>
      <x:c r="E9" s="20">
        <x:v>20</x:v>
      </x:c>
      <x:c r="F9" s="20">
        <x:v>0</x:v>
      </x:c>
      <x:c r="G9" s="20" t="s">
        <x:v>250</x:v>
      </x:c>
      <x:c r="H9" s="21" t="s">
        <x:v>251</x:v>
      </x:c>
    </x:row>
    <x:row r="10" ht="28.5">
      <x:c r="A10" s="19" t="s">
        <x:v>252</x:v>
      </x:c>
      <x:c r="B10" s="20" t="s">
        <x:v>253</x:v>
      </x:c>
      <x:c r="C10" s="20" t="s">
        <x:v>190</x:v>
      </x:c>
      <x:c r="D10" s="20">
        <x:v>0</x:v>
      </x:c>
      <x:c r="E10" s="20">
        <x:v>20</x:v>
      </x:c>
      <x:c r="F10" s="20">
        <x:v>0</x:v>
      </x:c>
      <x:c r="G10" s="20" t="s">
        <x:v>254</x:v>
      </x:c>
      <x:c r="H10" s="21" t="s">
        <x:v>255</x:v>
      </x:c>
    </x:row>
    <x:row r="11" ht="28.5">
      <x:c r="A11" s="19" t="s">
        <x:v>256</x:v>
      </x:c>
      <x:c r="B11" s="20" t="s">
        <x:v>257</x:v>
      </x:c>
      <x:c r="C11" s="20" t="s">
        <x:v>190</x:v>
      </x:c>
      <x:c r="D11" s="20">
        <x:v>3</x:v>
      </x:c>
      <x:c r="E11" s="20">
        <x:v>10</x:v>
      </x:c>
      <x:c r="F11" s="20">
        <x:v>7.5</x:v>
      </x:c>
      <x:c r="G11" s="20" t="s">
        <x:v>258</x:v>
      </x:c>
      <x:c r="H11" s="21" t="s">
        <x:v>259</x:v>
      </x:c>
    </x:row>
    <x:row r="12" ht="28.5">
      <x:c r="A12" s="22" t="s">
        <x:v>260</x:v>
      </x:c>
      <x:c r="B12" s="23" t="s">
        <x:v>261</x:v>
      </x:c>
      <x:c r="C12" s="23" t="s">
        <x:v>190</x:v>
      </x:c>
      <x:c r="D12" s="23">
        <x:v>1</x:v>
      </x:c>
      <x:c r="E12" s="23">
        <x:v>10</x:v>
      </x:c>
      <x:c r="F12" s="23">
        <x:v>2.5</x:v>
      </x:c>
      <x:c r="G12" s="23" t="s">
        <x:v>262</x:v>
      </x:c>
      <x:c r="H12" s="24" t="s">
        <x:v>263</x:v>
      </x:c>
    </x:row>
    <x:row r="14" ht="15">
      <x:c r="A14" s="6" t="s">
        <x:v>264</x:v>
      </x:c>
      <x:c r="B14" s="6"/>
      <x:c r="C14" s="6"/>
      <x:c r="D14" s="6"/>
      <x:c r="E14" s="6"/>
      <x:c r="F14" s="6"/>
      <x:c r="G14" s="6"/>
      <x:c r="H14" s="6"/>
    </x:row>
    <x:row r="15" ht="15">
      <x:c r="A15" s="15" t="s">
        <x:v>14</x:v>
      </x:c>
      <x:c r="B15" s="15" t="s">
        <x:v>233</x:v>
      </x:c>
      <x:c r="C15" s="15" t="s">
        <x:v>71</x:v>
      </x:c>
      <x:c r="D15" s="15" t="s">
        <x:v>234</x:v>
      </x:c>
      <x:c r="E15" s="15" t="s">
        <x:v>15</x:v>
      </x:c>
      <x:c r="F15" s="15" t="s">
        <x:v>235</x:v>
      </x:c>
      <x:c r="G15" s="15" t="s">
        <x:v>219</x:v>
      </x:c>
      <x:c r="H15" s="15" t="s">
        <x:v>101</x:v>
      </x:c>
    </x:row>
    <x:row r="16" ht="28.5">
      <x:c r="A16" s="16" t="s">
        <x:v>236</x:v>
      </x:c>
      <x:c r="B16" s="17" t="s">
        <x:v>265</x:v>
      </x:c>
      <x:c r="C16" s="17" t="s">
        <x:v>190</x:v>
      </x:c>
      <x:c r="D16" s="17">
        <x:v>3</x:v>
      </x:c>
      <x:c r="E16" s="17">
        <x:v>10</x:v>
      </x:c>
      <x:c r="F16" s="17">
        <x:v>7.5</x:v>
      </x:c>
      <x:c r="G16" s="17" t="s">
        <x:v>266</x:v>
      </x:c>
      <x:c r="H16" s="18" t="s">
        <x:v>267</x:v>
      </x:c>
    </x:row>
    <x:row r="17">
      <x:c r="A17" s="19" t="s">
        <x:v>240</x:v>
      </x:c>
      <x:c r="B17" s="20" t="s">
        <x:v>268</x:v>
      </x:c>
      <x:c r="C17" s="20" t="s">
        <x:v>190</x:v>
      </x:c>
      <x:c r="D17" s="20">
        <x:v>2</x:v>
      </x:c>
      <x:c r="E17" s="20">
        <x:v>15</x:v>
      </x:c>
      <x:c r="F17" s="20">
        <x:v>7.5</x:v>
      </x:c>
      <x:c r="G17" s="20" t="s">
        <x:v>269</x:v>
      </x:c>
      <x:c r="H17" s="21" t="s">
        <x:v>270</x:v>
      </x:c>
    </x:row>
    <x:row r="18" ht="28.5">
      <x:c r="A18" s="19" t="s">
        <x:v>244</x:v>
      </x:c>
      <x:c r="B18" s="20" t="s">
        <x:v>271</x:v>
      </x:c>
      <x:c r="C18" s="20" t="s">
        <x:v>196</x:v>
      </x:c>
      <x:c r="D18" s="20"/>
      <x:c r="E18" s="20">
        <x:v>15</x:v>
      </x:c>
      <x:c r="F18" s="20"/>
      <x:c r="G18" s="20" t="s">
        <x:v>272</x:v>
      </x:c>
      <x:c r="H18" s="21" t="s">
        <x:v>273</x:v>
      </x:c>
    </x:row>
    <x:row r="19">
      <x:c r="A19" s="19" t="s">
        <x:v>248</x:v>
      </x:c>
      <x:c r="B19" s="20" t="s">
        <x:v>274</x:v>
      </x:c>
      <x:c r="C19" s="20" t="s">
        <x:v>196</x:v>
      </x:c>
      <x:c r="D19" s="20"/>
      <x:c r="E19" s="20">
        <x:v>20</x:v>
      </x:c>
      <x:c r="F19" s="20"/>
      <x:c r="G19" s="20" t="s">
        <x:v>275</x:v>
      </x:c>
      <x:c r="H19" s="21" t="s">
        <x:v>276</x:v>
      </x:c>
    </x:row>
    <x:row r="20">
      <x:c r="A20" s="19" t="s">
        <x:v>252</x:v>
      </x:c>
      <x:c r="B20" s="20" t="s">
        <x:v>277</x:v>
      </x:c>
      <x:c r="C20" s="20" t="s">
        <x:v>196</x:v>
      </x:c>
      <x:c r="D20" s="20"/>
      <x:c r="E20" s="20">
        <x:v>20</x:v>
      </x:c>
      <x:c r="F20" s="20"/>
      <x:c r="G20" s="20" t="s">
        <x:v>275</x:v>
      </x:c>
      <x:c r="H20" s="21" t="s">
        <x:v>278</x:v>
      </x:c>
    </x:row>
    <x:row r="21">
      <x:c r="A21" s="19" t="s">
        <x:v>256</x:v>
      </x:c>
      <x:c r="B21" s="20" t="s">
        <x:v>279</x:v>
      </x:c>
      <x:c r="C21" s="20" t="s">
        <x:v>190</x:v>
      </x:c>
      <x:c r="D21" s="20">
        <x:v>3</x:v>
      </x:c>
      <x:c r="E21" s="20">
        <x:v>10</x:v>
      </x:c>
      <x:c r="F21" s="20">
        <x:v>7.5</x:v>
      </x:c>
      <x:c r="G21" s="20" t="s">
        <x:v>280</x:v>
      </x:c>
      <x:c r="H21" s="21" t="s">
        <x:v>281</x:v>
      </x:c>
    </x:row>
    <x:row r="22">
      <x:c r="A22" s="22" t="s">
        <x:v>260</x:v>
      </x:c>
      <x:c r="B22" s="23" t="s">
        <x:v>282</x:v>
      </x:c>
      <x:c r="C22" s="23" t="s">
        <x:v>190</x:v>
      </x:c>
      <x:c r="D22" s="23">
        <x:v>3</x:v>
      </x:c>
      <x:c r="E22" s="23">
        <x:v>10</x:v>
      </x:c>
      <x:c r="F22" s="23">
        <x:v>7.5</x:v>
      </x:c>
      <x:c r="G22" s="23" t="s">
        <x:v>283</x:v>
      </x:c>
      <x:c r="H22" s="24" t="s">
        <x:v>284</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6" customWidth="1"/>
    <x:col min="2" max="2" width="16" customWidth="1"/>
    <x:col min="3" max="3" width="22" customWidth="1"/>
    <x:col min="4" max="4" width="34" customWidth="1"/>
    <x:col min="5" max="5" width="30" customWidth="1"/>
    <x:col min="6" max="6" width="20" customWidth="1"/>
    <x:col min="7" max="7" width="46" customWidth="1"/>
    <x:col min="8" max="9" width="42" customWidth="1"/>
  </x:cols>
  <x:sheetData>
    <x:row r="1" ht="18">
      <x:c r="A1" s="38" t="str">
        <x:v>SUMBER DATA — FINAL BASELINE P01 Dewan Kerajinan Nasional Daerah Provinsi Kepulauan Riau</x:v>
      </x:c>
      <x:c r="B1" s="38"/>
      <x:c r="C1" s="38"/>
      <x:c r="D1" s="38"/>
      <x:c r="E1" s="38"/>
      <x:c r="F1" s="38"/>
      <x:c r="G1" s="38"/>
      <x:c r="H1" s="38"/>
      <x:c r="I1" s="38"/>
    </x:row>
    <x:row r="2">
      <x:c r="A2" s="39" t="str">
        <x:v>Disalin dari FINAL BASELINE MITRA KINERJA — cut-off 28 Agustus 2026. Perkembangan setelah cut-off dinilai melalui Scorecard.</x:v>
      </x:c>
      <x:c r="B2" s="39"/>
      <x:c r="C2" s="39"/>
      <x:c r="D2" s="39"/>
      <x:c r="E2" s="39"/>
      <x:c r="F2" s="39"/>
      <x:c r="G2" s="39"/>
      <x:c r="H2" s="39"/>
      <x:c r="I2" s="39"/>
    </x:row>
    <x:row r="4" ht="15">
      <x:c r="A4" s="40" t="str">
        <x:v>No</x:v>
      </x:c>
      <x:c r="B4" s="41" t="str">
        <x:v>Kelompok</x:v>
      </x:c>
      <x:c r="C4" s="41" t="str">
        <x:v>Elemen baseline</x:v>
      </x:c>
      <x:c r="D4" s="41" t="str">
        <x:v>Yang diperiksa</x:v>
      </x:c>
      <x:c r="E4" s="41" t="str">
        <x:v>Sumber/bukti minimum</x:v>
      </x:c>
      <x:c r="F4" s="41" t="str">
        <x:v>Status</x:v>
      </x:c>
      <x:c r="G4" s="41" t="str">
        <x:v>Fakta/hasil pemeriksaan</x:v>
      </x:c>
      <x:c r="H4" s="41" t="str">
        <x:v>Sumber/link bukti</x:v>
      </x:c>
      <x:c r="I4" s="42" t="str">
        <x:v>Catatan khusus (opsional)</x:v>
      </x:c>
    </x:row>
    <x:row r="5" ht="72" customHeight="1">
      <x:c r="A5" s="43" t="n">
        <x:v>1</x:v>
      </x:c>
      <x:c r="B5" s="27" t="str">
        <x:v>IDENTITAS</x:v>
      </x:c>
      <x:c r="C5" s="27" t="str">
        <x:v>Identitas naskah</x:v>
      </x:c>
      <x:c r="D5" s="27" t="str">
        <x:v>Jenis, nomor para pihak, judul, dan nama resmi mitra sesuai naskah.</x:v>
      </x:c>
      <x:c r="E5" s="27" t="str">
        <x:v>Naskah bertanda tangan; P2MA sebagai pembanding.</x:v>
      </x:c>
      <x:c r="F5" s="27" t="str">
        <x:v>TERVERIFIKASI</x:v>
      </x:c>
      <x:c r="G5" s="27" t="str">
        <x:v>Sudah sesuai</x:v>
      </x:c>
      <x:c r="H5" s="27" t="str">
        <x:v>https://p2ma.kemenkum.go.id/uploads/kerjasama/naskah/1787732310.pdf</x:v>
      </x:c>
      <x:c r="I5" s="44"/>
    </x:row>
    <x:row r="6" ht="72" customHeight="1">
      <x:c r="A6" s="43" t="n">
        <x:v>2</x:v>
      </x:c>
      <x:c r="B6" s="27" t="str">
        <x:v>MASA BERLAKU</x:v>
      </x:c>
      <x:c r="C6" s="27" t="str">
        <x:v>Masa berlaku</x:v>
      </x:c>
      <x:c r="D6" s="27" t="str">
        <x:v>Tanggal efektif, durasi, dan tanggal berakhir sesuai klausul naskah.</x:v>
      </x:c>
      <x:c r="E6" s="27" t="str">
        <x:v>Klausul jangka waktu; halaman tanda tangan; P2MA.</x:v>
      </x:c>
      <x:c r="F6" s="27" t="str">
        <x:v>TERVERIFIKASI</x:v>
      </x:c>
      <x:c r="G6" s="27" t="str">
        <x:v>Sudah sesuai</x:v>
      </x:c>
      <x:c r="H6" s="27" t="str">
        <x:v>https://p2ma.kemenkum.go.id/kdn/pencarian?tipe=1&amp;keyword=Dewan%20Kerajinan%20Nasional%20Daerah%20Provinsi%20Kepulauan%20Riau</x:v>
      </x:c>
      <x:c r="I6" s="44"/>
    </x:row>
    <x:row r="7" ht="72" customHeight="1">
      <x:c r="A7" s="43" t="n">
        <x:v>3</x:v>
      </x:c>
      <x:c r="B7" s="27" t="str">
        <x:v>SUBSTANSI</x:v>
      </x:c>
      <x:c r="C7" s="27" t="str">
        <x:v>Ruang lingkup</x:v>
      </x:c>
      <x:c r="D7" s="27" t="str">
        <x:v>Ruang kerja, kewajiban, atau kegiatan utama yang disepakati.</x:v>
      </x:c>
      <x:c r="E7" s="27" t="str">
        <x:v>Pasal ruang lingkup/hak-kewajiban; lampiran.</x:v>
      </x:c>
      <x:c r="F7" s="27" t="str">
        <x:v>TERVERIFIKASI</x:v>
      </x:c>
      <x:c r="G7" s="27" t="str">
        <x:v>Sudah sesuai</x:v>
      </x:c>
      <x:c r="H7" s="27" t="str">
        <x:v>https://p2ma.kemenkum.go.id/uploads/kerjasama/naskah/1787732310.pdf</x:v>
      </x:c>
      <x:c r="I7" s="44"/>
    </x:row>
    <x:row r="8" ht="72" customHeight="1">
      <x:c r="A8" s="43" t="n">
        <x:v>4</x:v>
      </x:c>
      <x:c r="B8" s="27" t="str">
        <x:v>TATA KELOLA</x:v>
      </x:c>
      <x:c r="C8" s="27" t="str">
        <x:v>Status arsip</x:v>
      </x:c>
      <x:c r="D8" s="27" t="str">
        <x:v>Ketersediaan naskah lengkap pada lokasi arsip resmi dan dapat ditemukan kembali.</x:v>
      </x:c>
      <x:c r="E8" s="27" t="str">
        <x:v>Arsip resmi; register; folder organisasi.</x:v>
      </x:c>
      <x:c r="F8" s="27" t="str">
        <x:v>BELUM TERSEDIA</x:v>
      </x:c>
      <x:c r="G8" s="27" t="str">
        <x:v>Belum ada folder organisasi untuk menyimpan arsip</x:v>
      </x:c>
      <x:c r="H8" s="27" t="str">
        <x:v>interview arsiparis pada bagian TUM</x:v>
      </x:c>
      <x:c r="I8" s="44"/>
    </x:row>
    <x:row r="9" ht="72" customHeight="1">
      <x:c r="A9" s="43" t="n">
        <x:v>5</x:v>
      </x:c>
      <x:c r="B9" s="27" t="str">
        <x:v>TATA KELOLA</x:v>
      </x:c>
      <x:c r="C9" s="27" t="str">
        <x:v>Status P2MA</x:v>
      </x:c>
      <x:c r="D9" s="27" t="str">
        <x:v>Keberadaan entri dan kesesuaian metadata P2MA dengan naskah resmi.</x:v>
      </x:c>
      <x:c r="E9" s="27" t="str">
        <x:v>P2MA dan naskah bertanda tangan.</x:v>
      </x:c>
      <x:c r="F9" s="27" t="str">
        <x:v>TERVERIFIKASI</x:v>
      </x:c>
      <x:c r="G9" s="27" t="str">
        <x:v>sudah sesuai</x:v>
      </x:c>
      <x:c r="H9" s="27" t="str">
        <x:v>https://p2ma.kemenkum.go.id/kdn/pencarian?tipe=1&amp;keyword=Dewan%20Kerajinan%20Nasional%20Daerah%20Provinsi%20Kepulauan%20Riau</x:v>
      </x:c>
      <x:c r="I9" s="44"/>
    </x:row>
    <x:row r="10" ht="72" customHeight="1">
      <x:c r="A10" s="43" t="n">
        <x:v>6</x:v>
      </x:c>
      <x:c r="B10" s="27" t="str">
        <x:v>PENGAMPU</x:v>
      </x:c>
      <x:c r="C10" s="27" t="str">
        <x:v>Unit pengampu</x:v>
      </x:c>
      <x:c r="D10" s="27" t="str">
        <x:v>Unit internal yang bertanggung jawab atas substansi dan implementasi kerja sama.</x:v>
      </x:c>
      <x:c r="E10" s="27" t="str">
        <x:v>ND/SK/pembagian tugas; konfirmasi tertulis unit.</x:v>
      </x:c>
      <x:c r="F10" s="27" t="str">
        <x:v>BELUM TERSEDIA</x:v>
      </x:c>
      <x:c r="G10" s="27" t="str">
        <x:v>Naskah dan P2MA publik belum cukup untuk menetapkan unit internal yang bertanggung jawab atas implementasi kerja sama.</x:v>
      </x:c>
      <x:c r="H10" s="27" t="str">
        <x:v>Naskah/P2MA publik; ND, SK, pembagian tugas, atau konfirmasi unit belum diperoleh.</x:v>
      </x:c>
      <x:c r="I10" s="44"/>
    </x:row>
    <x:row r="11" ht="72" customHeight="1">
      <x:c r="A11" s="43" t="n">
        <x:v>7</x:v>
      </x:c>
      <x:c r="B11" s="27" t="str">
        <x:v>PIC</x:v>
      </x:c>
      <x:c r="C11" s="27" t="str">
        <x:v>PIC internal</x:v>
      </x:c>
      <x:c r="D11" s="27" t="str">
        <x:v>PIC utama dan cadangan yang aktif, lengkap dengan jabatan, kontak, dan dasar penetapan.</x:v>
      </x:c>
      <x:c r="E11" s="27" t="str">
        <x:v>ND/SK/daftar PIC; konfirmasi tertulis unit.</x:v>
      </x:c>
      <x:c r="F11" s="27" t="str">
        <x:v>BELUM TERSEDIA</x:v>
      </x:c>
      <x:c r="G11" s="27" t="str">
        <x:v>PIC internal utama dan cadangan belum dapat dipastikan dari sumber publik yang diperiksa.</x:v>
      </x:c>
      <x:c r="H11" s="27" t="str">
        <x:v>Daftar PIC, ND/SK, dan konfirmasi tertulis unit belum diperoleh.</x:v>
      </x:c>
      <x:c r="I11" s="44"/>
    </x:row>
    <x:row r="12" ht="72" customHeight="1">
      <x:c r="A12" s="43" t="n">
        <x:v>8</x:v>
      </x:c>
      <x:c r="B12" s="27" t="str">
        <x:v>PIC</x:v>
      </x:c>
      <x:c r="C12" s="27" t="str">
        <x:v>PIC mitra</x:v>
      </x:c>
      <x:c r="D12" s="27" t="str">
        <x:v>Penghubung operasional pihak mitra yang telah dikonfirmasi.</x:v>
      </x:c>
      <x:c r="E12" s="27" t="str">
        <x:v>Surat/email/form konfirmasi resmi dari mitra.</x:v>
      </x:c>
      <x:c r="F12" s="27" t="str">
        <x:v>BELUM TERSEDIA</x:v>
      </x:c>
      <x:c r="G12" s="27" t="str">
        <x:v>PIC operasional pihak mitra belum dikonfirmasi melalui surat, email resmi, atau formulir penunjukan.</x:v>
      </x:c>
      <x:c r="H12" s="27" t="str">
        <x:v>Surat/email/formulir penunjukan PIC mitra belum diperoleh.</x:v>
      </x:c>
      <x:c r="I12" s="44"/>
    </x:row>
    <x:row r="13" ht="72" customHeight="1">
      <x:c r="A13" s="43" t="n">
        <x:v>9</x:v>
      </x:c>
      <x:c r="B13" s="27" t="str">
        <x:v>TINDAK LANJUT</x:v>
      </x:c>
      <x:c r="C13" s="27" t="str">
        <x:v>Rencana tindak lanjut</x:v>
      </x:c>
      <x:c r="D13" s="27" t="str">
        <x:v>Dokumen atau komitmen operasional yang memuat kegiatan, periode, target, dan/atau PIC.</x:v>
      </x:c>
      <x:c r="E13" s="27" t="str">
        <x:v>Rencana aksi; matriks kerja; kalender; notula.</x:v>
      </x:c>
      <x:c r="F13" s="27" t="str">
        <x:v>BELUM TERSEDIA</x:v>
      </x:c>
      <x:c r="G13" s="27" t="str">
        <x:v>Ruang lingkup naskah tersedia, tetapi belum ditemukan rencana aksi atau komitmen operasional yang memuat kegiatan, periode, target, dan PIC.</x:v>
      </x:c>
      <x:c r="H13" s="27" t="str">
        <x:v>Rencana aksi, matriks kerja, kalender, atau notula belum diperoleh.</x:v>
      </x:c>
      <x:c r="I13" s="44"/>
    </x:row>
    <x:row r="14" ht="72" customHeight="1">
      <x:c r="A14" s="43" t="n">
        <x:v>10</x:v>
      </x:c>
      <x:c r="B14" s="27" t="str">
        <x:v>PELAKSANAAN</x:v>
      </x:c>
      <x:c r="C14" s="27" t="str">
        <x:v>Pelaksanaan dan hasil</x:v>
      </x:c>
      <x:c r="D14" s="27" t="str">
        <x:v>Kegiatan aktual, realisasi terhadap target jatuh tempo, serta output yang dihasilkan.</x:v>
      </x:c>
      <x:c r="E14" s="27" t="str">
        <x:v>Laporan; undangan; notula; daftar hadir; data hasil.</x:v>
      </x:c>
      <x:c r="F14" s="27" t="str">
        <x:v>BELUM TERSEDIA</x:v>
      </x:c>
      <x:c r="G14" s="27" t="str">
        <x:v> belum ada laporan pelaksanaan kegiatan di dekranasda</x:v>
      </x:c>
      <x:c r="H14" s="27" t="str">
        <x:v>Laporan, undangan, notula, daftar hadir, dan data hasil belum diperoleh.</x:v>
      </x:c>
      <x:c r="I14" s="44"/>
    </x:row>
    <x:row r="15" ht="72" customHeight="1">
      <x:c r="A15" s="43" t="n">
        <x:v>11</x:v>
      </x:c>
      <x:c r="B15" s="27" t="str">
        <x:v>EVIDEN</x:v>
      </x:c>
      <x:c r="C15" s="27" t="str">
        <x:v>Eviden implementasi</x:v>
      </x:c>
      <x:c r="D15" s="27" t="str">
        <x:v>Bukti pelaksanaan/output, lokasi penyimpanan, dan tingkat keteraturannya.</x:v>
      </x:c>
      <x:c r="E15" s="27" t="str">
        <x:v>Folder resmi; indeks bukti; dokumen/data kegiatan.</x:v>
      </x:c>
      <x:c r="F15" s="27" t="str">
        <x:v>BELUM TERSEDIA</x:v>
      </x:c>
      <x:c r="G15" s="27" t="str">
        <x:v>Naskah dan entri P2MA tersedia, tetapi folder resmi, indeks, serta bukti implementasi belum diperiksa.</x:v>
      </x:c>
      <x:c r="H15" s="27" t="str">
        <x:v>Folder eviden, indeks bukti, dan dokumen/data kegiatan belum diperoleh.</x:v>
      </x:c>
      <x:c r="I15" s="44"/>
    </x:row>
    <x:row r="16" ht="72" customHeight="1">
      <x:c r="A16" s="45" t="n">
        <x:v>12</x:v>
      </x:c>
      <x:c r="B16" s="46" t="str">
        <x:v>HAMBATAN</x:v>
      </x:c>
      <x:c r="C16" s="46" t="str">
        <x:v>Hambatan/gap</x:v>
      </x:c>
      <x:c r="D16" s="46" t="str">
        <x:v>Kendala faktual atau kekosongan data yang memengaruhi implementasi dan sudah dikonfirmasi.</x:v>
      </x:c>
      <x:c r="E16" s="46" t="str">
        <x:v>Konfirmasi unit/PIC/mitra; notula; laporan; bukti keterlambatan.</x:v>
      </x:c>
      <x:c r="F16" s="46" t="str">
        <x:v>BELUM TERSEDIA</x:v>
      </x:c>
      <x:c r="G16" s="46" t="str">
        <x:v>Hambatan operasional belum dikonfirmasi. Gap baseline pada cut-off mencakup arsip khusus, unit pengampu, PIC, rencana tindak lanjut, pelaksanaan, dan eviden implementasi.</x:v>
      </x:c>
      <x:c r="H16" s="46" t="str">
        <x:v>Tanya jawab dengan bidang/bagian terkait</x:v>
      </x:c>
      <x:c r="I16" s="47"/>
    </x:row>
  </x:sheetData>
  <x:pageMargins left="0.7" right="0.7" top="0.75" bottom="0.75" header="0.3" footer="0.3"/>
</x:worksheet>
</file>

<file path=xl/worksheets/sheet8.xml><?xml version="1.0" encoding="utf-8"?>
<x:worksheet xmlns:x="http://schemas.openxmlformats.org/spreadsheetml/2006/main">
  <x:sheetFormatPr defaultRowHeight="14.25"/>
  <x:cols>
    <x:col min="1" max="1" width="8.375" customWidth="1"/>
    <x:col min="2" max="2" width="34" customWidth="1"/>
    <x:col min="3" max="3" width="22" customWidth="1"/>
    <x:col min="4" max="4" width="48" customWidth="1"/>
    <x:col min="5" max="5" width="18" customWidth="1"/>
    <x:col min="6" max="6" width="42" customWidth="1"/>
  </x:cols>
  <x:sheetData>
    <x:row r="1" ht="18">
      <x:c r="A1" s="721" t="str">
        <x:v>SUMBER DATA PASCA-BASELINE — P01 Dewan Kerajinan Nasional Daerah Provinsi Kepulauan Riau</x:v>
      </x:c>
      <x:c r="B1" s="722"/>
      <x:c r="C1" s="722"/>
      <x:c r="D1" s="722"/>
      <x:c r="E1" s="722"/>
      <x:c r="F1" s="723"/>
    </x:row>
    <x:row r="2">
      <x:c r="A2" s="724" t="str">
        <x:v>Penilaian s.d. 27 September 2026 menggunakan data internal P01 dan file evidence baru dekranasda.xlsx sebagai tambahan.</x:v>
      </x:c>
      <x:c r="B2" s="725"/>
      <x:c r="C2" s="725"/>
      <x:c r="D2" s="725"/>
      <x:c r="E2" s="725"/>
      <x:c r="F2" s="726"/>
    </x:row>
    <x:row r="3">
      <x:c r="A3" s="610"/>
      <x:c r="B3" s="395"/>
      <x:c r="C3" s="395"/>
      <x:c r="D3" s="395"/>
      <x:c r="E3" s="395"/>
      <x:c r="F3" s="611"/>
    </x:row>
    <x:row r="4" ht="30">
      <x:c r="A4" s="608" t="str">
        <x:v>No</x:v>
      </x:c>
      <x:c r="B4" s="600" t="str">
        <x:v>Sumber</x:v>
      </x:c>
      <x:c r="C4" s="600" t="str">
        <x:v>Jenis Data</x:v>
      </x:c>
      <x:c r="D4" s="600" t="str">
        <x:v>Fakta Kunci</x:v>
      </x:c>
      <x:c r="E4" s="600" t="str">
        <x:v>Indikator Scorecard</x:v>
      </x:c>
      <x:c r="F4" s="609" t="str">
        <x:v>Catatan Rekonsiliasi</x:v>
      </x:c>
    </x:row>
    <x:row r="5" ht="42.75">
      <x:c r="A5" s="610" t="n">
        <x:v>1</x:v>
      </x:c>
      <x:c r="B5" s="395" t="str">
        <x:v>P01_DEKRANASDA_KEPRI_Data_per_Stakeholder.xlsx — RL10</x:v>
      </x:c>
      <x:c r="C5" s="395" t="str">
        <x:v>Internal</x:v>
      </x:c>
      <x:c r="D5" s="405" t="str">
        <x:v>Kelas Kreatif UMKM Dekrafest 2025 sebagai narasumber; manfaat berupa peningkatan pemahaman KI.</x:v>
      </x:c>
      <x:c r="E5" s="405" t="str">
        <x:v>I2,I3,I4,I5,I6</x:v>
      </x:c>
      <x:c r="F5" s="464" t="str">
        <x:v>Evidence tautan publikasi tersedia.</x:v>
      </x:c>
    </x:row>
    <x:row r="6" ht="42.75">
      <x:c r="A6" s="610" t="n">
        <x:v>2</x:v>
      </x:c>
      <x:c r="B6" s="395" t="str">
        <x:v>P01_DEKRANASDA_KEPRI_Data_per_Stakeholder.xlsx — RL09</x:v>
      </x:c>
      <x:c r="C6" s="395" t="str">
        <x:v>Internal</x:v>
      </x:c>
      <x:c r="D6" s="405" t="str">
        <x:v>Stand pelayanan publik KI pada beberapa periode 2025–2026; outcome akses/pemahaman layanan KI meningkat.</x:v>
      </x:c>
      <x:c r="E6" s="405" t="str">
        <x:v>I2,I3,I4,I5,I6,I7</x:v>
      </x:c>
      <x:c r="F6" s="464" t="str">
        <x:v>Evidence berupa LAPORAN MIC 2025 dan 2026.</x:v>
      </x:c>
    </x:row>
    <x:row r="7" ht="42.75">
      <x:c r="A7" s="610" t="n">
        <x:v>3</x:v>
      </x:c>
      <x:c r="B7" s="395" t="str">
        <x:v>P01_DEKRANASDA_KEPRI_Data_per_Stakeholder.xlsx — RL11/RL12/RL13</x:v>
      </x:c>
      <x:c r="C7" s="395" t="str">
        <x:v>Internal</x:v>
      </x:c>
      <x:c r="D7" s="405" t="str">
        <x:v>Data KIK, penegakan KI, dan pertukaran data/informasi belum diperoleh.</x:v>
      </x:c>
      <x:c r="E7" s="405" t="str">
        <x:v>I2,I3,I6,I7</x:v>
      </x:c>
      <x:c r="F7" s="464" t="str">
        <x:v>Gap implementasi/evidence.</x:v>
      </x:c>
    </x:row>
    <x:row r="8" ht="42.75">
      <x:c r="A8" s="610" t="n">
        <x:v>4</x:v>
      </x:c>
      <x:c r="B8" s="395" t="str">
        <x:v>dekranasda.xlsx — IDENTITAS &amp; PIC</x:v>
      </x:c>
      <x:c r="C8" s="395" t="str">
        <x:v>Mitra</x:v>
      </x:c>
      <x:c r="D8" s="405" t="str">
        <x:v>Form masih berisi placeholder; PIC tidak dapat digunakan sebagai evidence.</x:v>
      </x:c>
      <x:c r="E8" s="405" t="str">
        <x:v>I1,I6</x:v>
      </x:c>
      <x:c r="F8" s="464" t="str">
        <x:v>Tidak dihitung sebagai konfirmasi PIC.</x:v>
      </x:c>
    </x:row>
    <x:row r="9" ht="42.75">
      <x:c r="A9" s="610" t="n">
        <x:v>5</x:v>
      </x:c>
      <x:c r="B9" s="395" t="str">
        <x:v>dekranasda.xlsx — RINGKASAN</x:v>
      </x:c>
      <x:c r="C9" s="395" t="str">
        <x:v>Mitra</x:v>
      </x:c>
      <x:c r="D9" s="405" t="str">
        <x:v>Total kegiatan 0, usulan 0, status 'Belum Ada Data'.</x:v>
      </x:c>
      <x:c r="E9" s="405" t="str">
        <x:v>I1,I2,I6,I7</x:v>
      </x:c>
      <x:c r="F9" s="464" t="str">
        <x:v>File baru tidak menambah evidence substantif.</x:v>
      </x:c>
    </x:row>
    <x:row r="10" ht="42.75">
      <x:c r="A10" s="610"/>
      <x:c r="B10" s="395"/>
      <x:c r="C10" s="395"/>
      <x:c r="D10" s="405"/>
      <x:c r="E10" s="405"/>
      <x:c r="F10" s="464"/>
    </x:row>
    <x:row r="11" ht="28.5">
      <x:c r="A11" s="610" t="str">
        <x:v>Catatan Kematangan</x:v>
      </x:c>
      <x:c r="B11" s="395" t="str">
        <x:v>PKS berlaku sejak 15 November 2025</x:v>
      </x:c>
      <x:c r="C11" s="395" t="str">
        <x:v>Usia saat penilaian 316 hari (&gt;6 bulan)</x:v>
      </x:c>
      <x:c r="D11" s="405" t="str">
        <x:v>Seluruh I1–I7 = DAPAT DINILAI</x:v>
      </x:c>
      <x:c r="E11" s="405" t="str">
        <x:v>Status Scorecard dihitung penuh</x:v>
      </x:c>
      <x:c r="F11" s="464" t="str">
        <x:v>Ketiadaan/ketidaklengkapan data setelah &gt;6 bulan tercermin pada skor dan early warning, bukan BDN karena faktor waktu.</x:v>
      </x:c>
    </x:row>
    <x:row r="12" ht="28.5">
      <x:c r="A12" s="612"/>
      <x:c r="B12" s="396"/>
      <x:c r="C12" s="396"/>
      <x:c r="D12" s="406"/>
      <x:c r="E12" s="406"/>
      <x:c r="F12" s="467"/>
    </x:row>
    <x:row r="13">
      <x:c r="A13" s="395"/>
      <x:c r="B13" s="395"/>
      <x:c r="C13" s="395"/>
      <x:c r="D13" s="405"/>
      <x:c r="E13" s="405"/>
      <x:c r="F13" s="405"/>
    </x:row>
    <x:row r="14" s="83" customFormat="1" ht="51">
      <x:c r="A14" s="633"/>
      <x:c r="B14" s="633"/>
      <x:c r="C14" s="633"/>
      <x:c r="D14" s="633"/>
      <x:c r="E14" s="633"/>
      <x:c r="F14" s="633"/>
    </x:row>
    <x:row r="15">
      <x:c r="A15" s="395"/>
      <x:c r="B15" s="395"/>
      <x:c r="C15" s="395"/>
      <x:c r="D15" s="405"/>
      <x:c r="E15" s="405"/>
      <x:c r="F15" s="405"/>
    </x:row>
    <x:row r="16">
      <x:c r="A16" s="395"/>
      <x:c r="B16" s="395"/>
      <x:c r="C16" s="395"/>
      <x:c r="D16" s="405"/>
      <x:c r="E16" s="405"/>
      <x:c r="F16" s="405"/>
    </x:row>
    <x:row r="17">
      <x:c r="A17" s="395"/>
      <x:c r="B17" s="395"/>
      <x:c r="C17" s="395"/>
      <x:c r="D17" s="405"/>
      <x:c r="E17" s="405"/>
      <x:c r="F17" s="405"/>
    </x:row>
    <x:row r="18">
      <x:c r="A18" s="395"/>
      <x:c r="B18" s="395"/>
      <x:c r="C18" s="395"/>
      <x:c r="D18" s="405"/>
      <x:c r="E18" s="405"/>
      <x:c r="F18" s="405"/>
    </x:row>
    <x:row r="19">
      <x:c r="A19" s="395"/>
      <x:c r="B19" s="395"/>
      <x:c r="C19" s="395"/>
      <x:c r="D19" s="405"/>
      <x:c r="E19" s="405"/>
      <x:c r="F19" s="405"/>
    </x:row>
    <x:row r="20">
      <x:c r="A20" s="395"/>
      <x:c r="B20" s="395"/>
      <x:c r="C20" s="395"/>
      <x:c r="D20" s="405"/>
      <x:c r="E20" s="405"/>
      <x:c r="F20" s="405"/>
    </x:row>
    <x:row r="21">
      <x:c r="A21" s="395"/>
      <x:c r="B21" s="395"/>
      <x:c r="C21" s="395"/>
      <x:c r="D21" s="405"/>
      <x:c r="E21" s="405"/>
      <x:c r="F21" s="405"/>
    </x:row>
    <x:row r="22">
      <x:c r="A22" s="395"/>
      <x:c r="B22" s="395"/>
      <x:c r="C22" s="395"/>
      <x:c r="D22" s="405"/>
      <x:c r="E22" s="405"/>
      <x:c r="F22" s="405"/>
    </x:row>
    <x:row r="23">
      <x:c r="A23" s="395"/>
      <x:c r="B23" s="395"/>
      <x:c r="C23" s="395"/>
      <x:c r="D23" s="405"/>
      <x:c r="E23" s="405"/>
      <x:c r="F23" s="405"/>
    </x:row>
    <x:row r="24">
      <x:c r="A24" s="395"/>
      <x:c r="B24" s="395"/>
      <x:c r="C24" s="395"/>
      <x:c r="D24" s="405"/>
      <x:c r="E24" s="405"/>
      <x:c r="F24" s="405"/>
    </x:row>
    <x:row r="25">
      <x:c r="A25" s="395"/>
      <x:c r="B25" s="395"/>
      <x:c r="C25" s="395"/>
      <x:c r="D25" s="405"/>
      <x:c r="E25" s="405"/>
      <x:c r="F25" s="405"/>
    </x:row>
    <x:row r="26">
      <x:c r="A26" s="395"/>
      <x:c r="B26" s="395"/>
      <x:c r="C26" s="395"/>
      <x:c r="D26" s="405"/>
      <x:c r="E26" s="405"/>
      <x:c r="F26" s="405"/>
    </x:row>
    <x:row r="27">
      <x:c r="A27" s="395"/>
      <x:c r="B27" s="395"/>
      <x:c r="C27" s="395"/>
      <x:c r="D27" s="405"/>
      <x:c r="E27" s="405"/>
      <x:c r="F27" s="405"/>
    </x:row>
    <x:row r="28">
      <x:c r="A28" s="395"/>
      <x:c r="B28" s="395"/>
      <x:c r="C28" s="395"/>
      <x:c r="D28" s="405"/>
      <x:c r="E28" s="405"/>
      <x:c r="F28" s="405"/>
    </x:row>
    <x:row r="29">
      <x:c r="A29" s="395"/>
      <x:c r="B29" s="395"/>
      <x:c r="C29" s="395"/>
      <x:c r="D29" s="405"/>
      <x:c r="E29" s="405"/>
      <x:c r="F29" s="405"/>
    </x:row>
    <x:row r="30">
      <x:c r="A30" s="395"/>
      <x:c r="B30" s="395"/>
      <x:c r="C30" s="395"/>
      <x:c r="D30" s="405"/>
      <x:c r="E30" s="405"/>
      <x:c r="F30" s="405"/>
    </x:row>
    <x:row r="31">
      <x:c r="A31" s="395"/>
      <x:c r="B31" s="395"/>
      <x:c r="C31" s="395"/>
      <x:c r="D31" s="405"/>
      <x:c r="E31" s="405"/>
      <x:c r="F31" s="405"/>
    </x:row>
    <x:row r="32">
      <x:c r="A32" s="395"/>
      <x:c r="B32" s="395"/>
      <x:c r="C32" s="395"/>
      <x:c r="D32" s="405"/>
      <x:c r="E32" s="405"/>
      <x:c r="F32" s="405"/>
    </x:row>
    <x:row r="33">
      <x:c r="A33" s="395"/>
      <x:c r="B33" s="395"/>
      <x:c r="C33" s="395"/>
      <x:c r="D33" s="405"/>
      <x:c r="E33" s="405"/>
      <x:c r="F33" s="405"/>
    </x:row>
    <x:row r="34">
      <x:c r="A34" s="395"/>
      <x:c r="B34" s="395"/>
      <x:c r="C34" s="395"/>
      <x:c r="D34" s="405"/>
      <x:c r="E34" s="405"/>
      <x:c r="F34" s="405"/>
    </x:row>
    <x:row r="35">
      <x:c r="A35" s="395"/>
      <x:c r="B35" s="395"/>
      <x:c r="C35" s="395"/>
      <x:c r="D35" s="405"/>
      <x:c r="E35" s="405"/>
      <x:c r="F35" s="405"/>
    </x:row>
    <x:row r="36">
      <x:c r="A36" s="395"/>
      <x:c r="B36" s="395"/>
      <x:c r="C36" s="395"/>
      <x:c r="D36" s="405"/>
      <x:c r="E36" s="405"/>
      <x:c r="F36" s="405"/>
    </x:row>
    <x:row r="37">
      <x:c r="A37" s="395"/>
      <x:c r="B37" s="395"/>
      <x:c r="C37" s="395"/>
      <x:c r="D37" s="405"/>
      <x:c r="E37" s="405"/>
      <x:c r="F37" s="405"/>
    </x:row>
    <x:row r="38">
      <x:c r="A38" s="395"/>
      <x:c r="B38" s="395"/>
      <x:c r="C38" s="395"/>
      <x:c r="D38" s="405"/>
      <x:c r="E38" s="405"/>
      <x:c r="F38" s="405"/>
    </x:row>
    <x:row r="39">
      <x:c r="A39" s="395"/>
      <x:c r="B39" s="395"/>
      <x:c r="C39" s="395"/>
      <x:c r="D39" s="405"/>
      <x:c r="E39" s="405"/>
      <x:c r="F39" s="405"/>
    </x:row>
    <x:row r="40">
      <x:c r="A40" s="395"/>
      <x:c r="B40" s="395"/>
      <x:c r="C40" s="395"/>
      <x:c r="D40" s="405"/>
      <x:c r="E40" s="405"/>
      <x:c r="F40" s="405"/>
    </x:row>
  </x:sheetData>
  <x:pageMargins left="0.7" right="0.7" top="0.75" bottom="0.75" header="0.3" footer="0.3"/>
</x:worksheet>
</file>