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33eaa6f47d44c4" /></Relationships>
</file>

<file path=xl/workbook.xml><?xml version="1.0" encoding="utf-8"?>
<x:workbook xmlns:x="http://schemas.openxmlformats.org/spreadsheetml/2006/main">
  <x:sheets>
    <x:sheet xmlns:r="http://schemas.openxmlformats.org/officeDocument/2006/relationships" name="PENILAIAN" sheetId="1" r:id="R4268f9ca707342a9"/>
    <x:sheet xmlns:r="http://schemas.openxmlformats.org/officeDocument/2006/relationships" name="KENDALI" sheetId="2" r:id="Rd861ebd5b08c43cc"/>
    <x:sheet xmlns:r="http://schemas.openxmlformats.org/officeDocument/2006/relationships" name="REKOMENDASI" sheetId="3" r:id="R20fbd910c11946ad"/>
    <x:sheet xmlns:r="http://schemas.openxmlformats.org/officeDocument/2006/relationships" name="RUBRIK" sheetId="4" r:id="R2601831165be46e5"/>
    <x:sheet xmlns:r="http://schemas.openxmlformats.org/officeDocument/2006/relationships" name="PANDUAN" sheetId="5" r:id="Rd0b63510140240f7"/>
    <x:sheet xmlns:r="http://schemas.openxmlformats.org/officeDocument/2006/relationships" name="CONTOH" sheetId="6" r:id="R87acb5f699e34573"/>
    <x:sheet xmlns:r="http://schemas.openxmlformats.org/officeDocument/2006/relationships" name="SUMBER_BASELINE" sheetId="7" r:id="R7197d2cf2f6940b7"/>
    <x:sheet xmlns:r="http://schemas.openxmlformats.org/officeDocument/2006/relationships" name="SUMBER_AKTUAL" sheetId="8" r:id="Rb62ecf9d789f411f"/>
  </x:sheets>
</x:workbook>
</file>

<file path=xl/sharedStrings.xml><?xml version="1.0" encoding="utf-8"?>
<x:sst xmlns:x="http://schemas.openxmlformats.org/spreadsheetml/2006/main">
  <x:si>
    <x:t xml:space="preserve">1. PENILAIAN SCORECARD MITRA KINERJA</x:t>
  </x:si>
  <x:si>
    <x:t xml:space="preserve">Tujuan: menilai fakta pelaksanaan dan hasil kerja sama. PIC/unit teknis menyampaikan fakta &amp; evidence; Reviewer/Pengelola memberi status dan skor.</x:t>
  </x:si>
  <x:si>
    <x:t xml:space="preserve">Legenda</x:t>
  </x:si>
  <x:si>
    <x:t xml:space="preserve">BIRU = hasil otomatis / ringkasan</x:t>
  </x:si>
  <x:si>
    <x:t xml:space="preserve">A. IDENTITAS KERJA SAMA</x:t>
  </x:si>
  <x:si>
    <x:t xml:space="preserve">Nama Mitra</x:t>
  </x:si>
  <x:si>
    <x:t xml:space="preserve">Nomor/Tanggal Naskah</x:t>
  </x:si>
  <x:si>
    <x:t xml:space="preserve">Ruang Lingkup</x:t>
  </x:si>
  <x:si>
    <x:t xml:space="preserve">Periode Penilaian</x:t>
  </x:si>
  <x:si>
    <x:t xml:space="preserve">Reviewer/Pengelola</x:t>
  </x:si>
  <x:si>
    <x:t xml:space="preserve">Tanggal Penilaian</x:t>
  </x:si>
  <x:si>
    <x:t xml:space="preserve">PIC/Focal Point</x:t>
  </x:si>
  <x:si>
    <x:t xml:space="preserve">Masa Berlaku</x:t>
  </x:si>
  <x:si>
    <x:t xml:space="preserve">B. PENILAIAN I1–I7</x:t>
  </x:si>
  <x:si>
    <x:t xml:space="preserve">Indikator</x:t>
  </x:si>
  <x:si>
    <x:t xml:space="preserve">Bobot</x:t>
  </x:si>
  <x:si>
    <x:t xml:space="preserve">Apa yang Dinilai</x:t>
  </x:si>
  <x:si>
    <x:t xml:space="preserve">Kondisi Baseline</x:t>
  </x:si>
  <x:si>
    <x:t xml:space="preserve">Kondisi Saat Ini</x:t>
  </x:si>
  <x:si>
    <x:t xml:space="preserve">Status Penilaian</x:t>
  </x:si>
  <x:si>
    <x:t xml:space="preserve">Evidence / Lokasi Bukti</x:t>
  </x:si>
  <x:si>
    <x:t xml:space="preserve">Skor 0–4</x:t>
  </x:si>
  <x:si>
    <x:t xml:space="preserve">Nilai Bobot</x:t>
  </x:si>
  <x:si>
    <x:t xml:space="preserve">Alasan Skor / Temuan</x:t>
  </x:si>
  <x:si>
    <x:t xml:space="preserve">Catatan Tindak Lanjut</x:t>
  </x:si>
  <x:si>
    <x:t xml:space="preserve">I1. Kejelasan Pengelolaan &amp; Rencana Tindak Lanjut</x:t>
  </x:si>
  <x:si>
    <x:t xml:space="preserve">Apakah pelaksanaan kerja sama telah memiliki penanggung jawab yang jelas, rencana tindak lanjut yang dapat dilaksanakan, dan mekanisme koordinasi untuk memastikan tindak lanjut tersebut berjalan?</x:t>
  </x:si>
  <x:si>
    <x:t xml:space="preserve">I2. Implementasi / Tindak Lanjut</x:t>
  </x:si>
  <x:si>
    <x:t xml:space="preserve">Apakah kerja sama telah ditindaklanjuti melalui kegiatan atau langkah implementasi yang relevan dan dapat dibuktikan?</x:t>
  </x:si>
  <x:si>
    <x:t xml:space="preserve">I3. Output</x:t>
  </x:si>
  <x:si>
    <x:t xml:space="preserve">Apakah implementasi menghasilkan hasil langsung/produk yang seharusnya dicapai?</x:t>
  </x:si>
  <x:si>
    <x:t xml:space="preserve">I4. Outcome</x:t>
  </x:si>
  <x:si>
    <x:t xml:space="preserve">Apakah output menghasilkan perubahan atau manfaat bagi sasaran, proses, layanan, atau organisasi?</x:t>
  </x:si>
  <x:si>
    <x:t xml:space="preserve">I5. Kontribusi / Dampak</x:t>
  </x:si>
  <x:si>
    <x:t xml:space="preserve">Apakah hasil kerja sama memberikan kontribusi yang dapat dijelaskan terhadap kinerja organisasi dan/atau pelayanan hukum?</x:t>
  </x:si>
  <x:si>
    <x:t xml:space="preserve">I6. Evidence &amp; Data</x:t>
  </x:si>
  <x:si>
    <x:t xml:space="preserve">Apakah kondisi, pelaksanaan, dan hasil kerja sama didukung data/evidence yang dapat dipercaya dan ditelusuri?</x:t>
  </x:si>
  <x:si>
    <x:t xml:space="preserve">I7. Risiko &amp; Keberlanjutan</x:t>
  </x:si>
  <x:si>
    <x:t xml:space="preserve">Apakah risiko pelaksanaan dikendalikan dan terdapat kondisi yang mendukung keberlanjutan manfaat kerja sama?</x:t>
  </x:si>
  <x:si>
    <x:t xml:space="preserve">C. RINGKASAN OTOMATIS PENILAIAN</x:t>
  </x:si>
  <x:si>
    <x:t xml:space="preserve">Jumlah indikator dapat dinilai</x:t>
  </x:si>
  <x:si>
    <x:t xml:space="preserve">Panduan cepat untuk pengguna baru</x:t>
  </x:si>
  <x:si>
    <x:t xml:space="preserve">Jumlah BDN</x:t>
  </x:si>
  <x:si>
    <x:t xml:space="preserve">1</x:t>
  </x:si>
  <x:si>
    <x:t xml:space="preserve">Isi Baseline dan Kondisi Saat Ini berdasarkan fakta, bukan asumsi.</x:t>
  </x:si>
  <x:si>
    <x:t xml:space="preserve">Bukti belum memadai</x:t>
  </x:si>
  <x:si>
    <x:t xml:space="preserve">2</x:t>
  </x:si>
  <x:si>
    <x:t xml:space="preserve">Tentukan Status Penilaian sebelum memberi skor.</x:t>
  </x:si>
  <x:si>
    <x:t xml:space="preserve">Bobot yang dapat dinilai</x:t>
  </x:si>
  <x:si>
    <x:t xml:space="preserve">3</x:t>
  </x:si>
  <x:si>
    <x:t xml:space="preserve">Skor 0 hanya jika sudah dapat dinilai dan faktanya tidak terpenuhi.</x:t>
  </x:si>
  <x:si>
    <x:t xml:space="preserve">Nilai final</x:t>
  </x:si>
  <x:si>
    <x:t xml:space="preserve">4</x:t>
  </x:si>
  <x:si>
    <x:t xml:space="preserve">Jika evidence belum cukup, pilih BUKTI BELUM MEMADAI — jangan beri skor.</x:t>
  </x:si>
  <x:si>
    <x:t xml:space="preserve">Status Scorecard</x:t>
  </x:si>
  <x:si>
    <x:t xml:space="preserve">5</x:t>
  </x:si>
  <x:si>
    <x:t xml:space="preserve">Jika secara objektif belum waktunya hasil muncul, pilih BELUM DAPAT DINILAI.</x:t>
  </x:si>
  <x:si>
    <x:t xml:space="preserve">Kategori</x:t>
  </x:si>
  <x:si>
    <x:t xml:space="preserve">2. KENDALI MANAJERIAL</x:t>
  </x:si>
  <x:si>
    <x:t xml:space="preserve">Tujuan: membaca posisi kerja sama, peringatan dini, dan kebutuhan intervensi. Sheet ini tidak mengubah skor I1–I7.</x:t>
  </x:si>
  <x:si>
    <x:t xml:space="preserve">A. RINGKASAN DARI PENILAIAN</x:t>
  </x:si>
  <x:si>
    <x:t xml:space="preserve">B. POSISI PORTOFOLIO</x:t>
  </x:si>
  <x:si>
    <x:t xml:space="preserve">Posisi Portofolio</x:t>
  </x:si>
  <x:si>
    <x:t xml:space="preserve">Nilai Final</x:t>
  </x:si>
  <x:si>
    <x:t xml:space="preserve">Dasar Penetapan</x:t>
  </x:si>
  <x:si>
    <x:t xml:space="preserve">Indikator Dapat Dinilai</x:t>
  </x:si>
  <x:si>
    <x:t xml:space="preserve">BDN</x:t>
  </x:si>
  <x:si>
    <x:t xml:space="preserve">Bukti Belum Memadai</x:t>
  </x:si>
  <x:si>
    <x:t xml:space="preserve">Bobot Dinilai</x:t>
  </x:si>
  <x:si>
    <x:t xml:space="preserve">C. EARLY WARNING — TERPISAH DARI NILAI SCORECARD</x:t>
  </x:si>
  <x:si>
    <x:t xml:space="preserve">Area Kontrol</x:t>
  </x:si>
  <x:si>
    <x:t xml:space="preserve">Status</x:t>
  </x:si>
  <x:si>
    <x:t xml:space="preserve">Fakta / Bukti Singkat</x:t>
  </x:si>
  <x:si>
    <x:t xml:space="preserve">Tindakan</x:t>
  </x:si>
  <x:si>
    <x:t xml:space="preserve">Penanggung Jawab</x:t>
  </x:si>
  <x:si>
    <x:t xml:space="preserve">Target</x:t>
  </x:si>
  <x:si>
    <x:t xml:space="preserve">Progres</x:t>
  </x:si>
  <x:si>
    <x:t xml:space="preserve">Ringkasan Early Warning</x:t>
  </x:si>
  <x:si>
    <x:t xml:space="preserve">Warning Tertinggi</x:t>
  </x:si>
  <x:si>
    <x:t xml:space="preserve">Status Penanganan</x:t>
  </x:si>
  <x:si>
    <x:t xml:space="preserve">DALAM TINDAK LANJUT</x:t>
  </x:si>
  <x:si>
    <x:t xml:space="preserve">Catatan</x:t>
  </x:si>
  <x:si>
    <x:t xml:space="preserve">D. UJI KEBUTUHAN INTERVENSI PIMPINAN</x:t>
  </x:si>
  <x:si>
    <x:t xml:space="preserve">Perlu Intervensi Pimpinan?</x:t>
  </x:si>
  <x:si>
    <x:t xml:space="preserve">Panduan</x:t>
  </x:si>
  <x:si>
    <x:t xml:space="preserve">Intervensi hanya dipakai bila isu/keputusan tidak dapat diselesaikan pada level pengelola/unit pelaksana atau memang membutuhkan kewenangan/arahan pimpinan.</x:t>
  </x:si>
  <x:si>
    <x:t xml:space="preserve">Alasan Utama</x:t>
  </x:si>
  <x:si>
    <x:t xml:space="preserve">Uraian Singkat</x:t>
  </x:si>
  <x:si>
    <x:t xml:space="preserve">3. REKOMENDASI &amp; KEPUTUSAN</x:t>
  </x:si>
  <x:si>
    <x:t xml:space="preserve">Tujuan: merangkum hasil penilaian dan kendali menjadi rekomendasi yang dapat ditindaklanjuti serta keputusan/arahan sesuai kewenangan.</x:t>
  </x:si>
  <x:si>
    <x:t xml:space="preserve">A. RINGKASAN HASIL</x:t>
  </x:si>
  <x:si>
    <x:t xml:space="preserve">B. VALIDASI</x:t>
  </x:si>
  <x:si>
    <x:t xml:space="preserve">Status Validasi</x:t>
  </x:si>
  <x:si>
    <x:t xml:space="preserve">Validator</x:t>
  </x:si>
  <x:si>
    <x:t xml:space="preserve">Tanggal Validasi</x:t>
  </x:si>
  <x:si>
    <x:t xml:space="preserve">Catatan Validasi</x:t>
  </x:si>
  <x:si>
    <x:t xml:space="preserve">Intervensi Pimpinan</x:t>
  </x:si>
  <x:si>
    <x:t xml:space="preserve">C. REKOMENDASI TINDAK LANJUT</x:t>
  </x:si>
  <x:si>
    <x:t xml:space="preserve">Temuan Utama</x:t>
  </x:si>
  <x:si>
    <x:t xml:space="preserve">Rekomendasi bukan keputusan otomatis dari nilai. Gunakan nilai, posisi portofolio, warning, validasi, dan konteks substansi secara bersama.</x:t>
  </x:si>
  <x:si>
    <x:t xml:space="preserve">Rekomendasi</x:t>
  </x:si>
  <x:si>
    <x:t xml:space="preserve">Tindak Lanjut</x:t>
  </x:si>
  <x:si>
    <x:t xml:space="preserve">Target Waktu</x:t>
  </x:si>
  <x:si>
    <x:t xml:space="preserve">D. KEPUTUSAN / ARAHAN PIMPINAN</x:t>
  </x:si>
  <x:si>
    <x:t xml:space="preserve">Status Keputusan</x:t>
  </x:si>
  <x:si>
    <x:t xml:space="preserve">Pejabat Berwenang</x:t>
  </x:si>
  <x:si>
    <x:t xml:space="preserve">Tanggal Keputusan</x:t>
  </x:si>
  <x:si>
    <x:t xml:space="preserve">Keputusan / Arahan</x:t>
  </x:si>
  <x:si>
    <x:t xml:space="preserve">Review Berikutnya</x:t>
  </x:si>
  <x:si>
    <x:t xml:space="preserve">RUBRIK PENILAIAN I1–I7</x:t>
  </x:si>
  <x:si>
    <x:t xml:space="preserve">Gunakan setelah Status Penilaian = DAPAT DINILAI. Kolom 'Yang Dicek' membantu pengguna baru memahami indikator secara praktis.</x:t>
  </x:si>
  <x:si>
    <x:t xml:space="preserve">Yang Dicek</x:t>
  </x:si>
  <x:si>
    <x:t xml:space="preserve">Skor 0</x:t>
  </x:si>
  <x:si>
    <x:t xml:space="preserve">Skor 1</x:t>
  </x:si>
  <x:si>
    <x:t xml:space="preserve">Skor 2</x:t>
  </x:si>
  <x:si>
    <x:t xml:space="preserve">Skor 3</x:t>
  </x:si>
  <x:si>
    <x:t xml:space="preserve">Skor 4</x:t>
  </x:si>
  <x:si>
    <x:t xml:space="preserve">1) Penanggung jawab jelas; 2) ada rencana tindak lanjut yang realistis; 3) ada cara koordinasi untuk memastikan tindak lanjut berjalan.</x:t>
  </x:si>
  <x:si>
    <x:t xml:space="preserve">Setelah diverifikasi, penanggung jawab dan tindak lanjut belum dapat ditentukan.</x:t>
  </x:si>
  <x:si>
    <x:t xml:space="preserve">Penanggung jawab mulai diketahui, tetapi pembagian peran/tindak lanjut belum jelas.</x:t>
  </x:si>
  <x:si>
    <x:t xml:space="preserve">Penanggung jawab dan sebagian tindak lanjut sudah jelas, tetapi koordinasi atau kesiapan pelaksanaan belum konsisten.</x:t>
  </x:si>
  <x:si>
    <x:t xml:space="preserve">Penanggung jawab, rencana tindak lanjut, dan koordinasi jelas serta berjalan sesuai kebutuhan.</x:t>
  </x:si>
  <x:si>
    <x:t xml:space="preserve">Pengelolaan berjalan konsisten, adaptif terhadap perubahan, dan mampu menjaga kesinambungan pelaksanaan.</x:t>
  </x:si>
  <x:si>
    <x:t xml:space="preserve">Tidak mensyaratkan struktur PIC yang sama untuk semua kerja sama.</x:t>
  </x:si>
  <x:si>
    <x:t xml:space="preserve">Apakah ada kegiatan/langkah nyata setelah penandatanganan atau pada periode penilaian?</x:t>
  </x:si>
  <x:si>
    <x:t xml:space="preserve">Setelah cukup waktu dan diverifikasi, tidak terdapat tindak lanjut.</x:t>
  </x:si>
  <x:si>
    <x:t xml:space="preserve">Ada tindak lanjut sangat terbatas atau insidental.</x:t>
  </x:si>
  <x:si>
    <x:t xml:space="preserve">Sebagian tindak lanjut dilaksanakan, tetapi masih terdapat gap berarti.</x:t>
  </x:si>
  <x:si>
    <x:t xml:space="preserve">Tindak lanjut utama terlaksana dan berjalan cukup konsisten.</x:t>
  </x:si>
  <x:si>
    <x:t xml:space="preserve">Implementasi berjalan konsisten, terarah, dan tindak lanjut utama dikendalikan sampai selesai.</x:t>
  </x:si>
  <x:si>
    <x:t xml:space="preserve">Apakah kegiatan menghasilkan produk/hasil langsung yang seharusnya dicapai?</x:t>
  </x:si>
  <x:si>
    <x:t xml:space="preserve">Output sudah seharusnya ada tetapi tidak dihasilkan.</x:t>
  </x:si>
  <x:si>
    <x:t xml:space="preserve">Output sangat terbatas.</x:t>
  </x:si>
  <x:si>
    <x:t xml:space="preserve">Sebagian output tercapai.</x:t>
  </x:si>
  <x:si>
    <x:t xml:space="preserve">Sebagian besar output utama tercapai dan dapat dibuktikan.</x:t>
  </x:si>
  <x:si>
    <x:t xml:space="preserve">Output utama tercapai lengkap/konsisten dan kualitas/cakupannya kuat.</x:t>
  </x:si>
  <x:si>
    <x:t xml:space="preserve">Apakah output mulai memberi perubahan/manfaat kepada sasaran, proses, layanan, atau organisasi?</x:t>
  </x:si>
  <x:si>
    <x:t xml:space="preserve">Sudah cukup waktu untuk menilai tetapi tidak ditemukan manfaat/perubahan.</x:t>
  </x:si>
  <x:si>
    <x:t xml:space="preserve">Manfaat awal sangat terbatas.</x:t>
  </x:si>
  <x:si>
    <x:t xml:space="preserve">Manfaat terlihat pada sebagian sasaran.</x:t>
  </x:si>
  <x:si>
    <x:t xml:space="preserve">Outcome utama dapat ditunjukkan dengan cukup jelas dan terukur.</x:t>
  </x:si>
  <x:si>
    <x:t xml:space="preserve">Outcome kuat, konsisten, terukur, dan terlihat pada sasaran yang relevan.</x:t>
  </x:si>
  <x:si>
    <x:t xml:space="preserve">Jika belum cukup waktu, gunakan BDN, bukan skor 0.</x:t>
  </x:si>
  <x:si>
    <x:t xml:space="preserve">Apakah hasil kerja sama berkontribusi terhadap sasaran kinerja organisasi dan/atau pelayanan hukum?</x:t>
  </x:si>
  <x:si>
    <x:t xml:space="preserve">Sudah layak dinilai tetapi tidak ditemukan kontribusi yang dapat dibuktikan.</x:t>
  </x:si>
  <x:si>
    <x:t xml:space="preserve">Hubungan dengan kinerja/pelayanan sangat terbatas.</x:t>
  </x:si>
  <x:si>
    <x:t xml:space="preserve">Ada kontribusi yang dapat dijelaskan dan didukung sebagian data.</x:t>
  </x:si>
  <x:si>
    <x:t xml:space="preserve">Kontribusi terhadap sasaran kinerja/pelayanan jelas dan didukung evidence terukur.</x:t>
  </x:si>
  <x:si>
    <x:t xml:space="preserve">Kontribusi kuat, konsisten, strategis, dan layak dipertahankan atau direplikasi.</x:t>
  </x:si>
  <x:si>
    <x:t xml:space="preserve">Gunakan logika kontribusi; jangan memaksakan klaim kausalitas.</x:t>
  </x:si>
  <x:si>
    <x:t xml:space="preserve">Apakah data/evidence cukup, mutakhir, dan dapat ditelusuri ke sumbernya?</x:t>
  </x:si>
  <x:si>
    <x:t xml:space="preserve">Tidak tersedia data/evidence yang cukup untuk memastikan kondisi kerja sama.</x:t>
  </x:si>
  <x:si>
    <x:t xml:space="preserve">Evidence sangat terbatas, tersebar, atau sulit diverifikasi.</x:t>
  </x:si>
  <x:si>
    <x:t xml:space="preserve">Evidence utama tersedia tetapi belum konsisten dalam kelengkapan/keterbaruan/keterlacakan.</x:t>
  </x:si>
  <x:si>
    <x:t xml:space="preserve">Evidence utama lengkap, mutakhir, jelas sumber/lokasinya, dan dapat ditelusuri.</x:t>
  </x:si>
  <x:si>
    <x:t xml:space="preserve">Evidence lengkap, terstruktur, konsisten, memiliki jejak sumber/versi, dan siap digunakan untuk evaluasi/audit.</x:t>
  </x:si>
  <x:si>
    <x:t xml:space="preserve">Evidence boleh tersimpan di unit pelaksana sepanjang sumber/lokasinya dapat ditelusuri.</x:t>
  </x:si>
  <x:si>
    <x:t xml:space="preserve">Apakah risiko utama ditangani dan ada kondisi yang mendukung keberlanjutan manfaat?</x:t>
  </x:si>
  <x:si>
    <x:t xml:space="preserve">Risiko material tidak dikendalikan dan keberlanjutan terancam.</x:t>
  </x:si>
  <x:si>
    <x:t xml:space="preserve">Risiko diketahui tetapi penanganannya lemah.</x:t>
  </x:si>
  <x:si>
    <x:t xml:space="preserve">Risiko utama mulai ditangani tetapi masih ada tindak lanjut penting.</x:t>
  </x:si>
  <x:si>
    <x:t xml:space="preserve">Risiko utama terkendali dan keberlanjutan manfaat cukup terjamin.</x:t>
  </x:si>
  <x:si>
    <x:t xml:space="preserve">Risiko dikelola aktif dan konsisten serta terdapat dukungan kuat bagi keberlanjutan/replikasi manfaat.</x:t>
  </x:si>
  <x:si>
    <x:t xml:space="preserve">Berbeda dari Early Warning; I7 menilai kualitas pengelolaan risiko, bukan tingkat urgensi saat ini.</x:t>
  </x:si>
  <x:si>
    <x:t xml:space="preserve">PANDUAN PENGGUNAAN SCORECARD MITRA KINERJA</x:t>
  </x:si>
  <x:si>
    <x:t xml:space="preserve">Alur: 1) nilai fakta, 2) baca kendali, 3) susun rekomendasi/keputusan.</x:t>
  </x:si>
  <x:si>
    <x:t xml:space="preserve">1. SIAPA MENGISI APA</x:t>
  </x:si>
  <x:si>
    <x:t xml:space="preserve">Peran</x:t>
  </x:si>
  <x:si>
    <x:t xml:space="preserve">Tugas Utama</x:t>
  </x:si>
  <x:si>
    <x:t xml:space="preserve">PIC / Unit Teknis</x:t>
  </x:si>
  <x:si>
    <x:t xml:space="preserve">Menyampaikan fakta pelaksanaan, hasil, evidence, kendala, dan tindak lanjut.</x:t>
  </x:si>
  <x:si>
    <x:t xml:space="preserve">Reviewer / Pengelola</x:t>
  </x:si>
  <x:si>
    <x:t xml:space="preserve">Menilai status, memeriksa evidence, memberi skor I1–I7, menetapkan posisi portofolio, Early Warning, dan draft rekomendasi.</x:t>
  </x:si>
  <x:si>
    <x:t xml:space="preserve">Memastikan fakta, evidence, skor, dan alasan konsisten.</x:t>
  </x:si>
  <x:si>
    <x:t xml:space="preserve">Pimpinan / Pejabat Berwenang</x:t>
  </x:si>
  <x:si>
    <x:t xml:space="preserve">Memberi keputusan/arahan sesuai kewenangan; tidak otomatis mengikuti nilai total.</x:t>
  </x:si>
  <x:si>
    <x:t xml:space="preserve">2. URUTAN KERJA</x:t>
  </x:si>
  <x:si>
    <x:t xml:space="preserve">PENILAIAN</x:t>
  </x:si>
  <x:si>
    <x:t xml:space="preserve">Isi identitas, baseline, kondisi saat ini, status penilaian, evidence, skor, dan alasan.</x:t>
  </x:si>
  <x:si>
    <x:t xml:space="preserve">KENDALI</x:t>
  </x:si>
  <x:si>
    <x:t xml:space="preserve">Tetapkan posisi portofolio, Early Warning, serta perlu/tidaknya intervensi pimpinan.</x:t>
  </x:si>
  <x:si>
    <x:t xml:space="preserve">REKOMENDASI</x:t>
  </x:si>
  <x:si>
    <x:t xml:space="preserve">Validasi hasil, susun rekomendasi/tindak lanjut, lalu catat keputusan/arahan pimpinan.</x:t>
  </x:si>
  <x:si>
    <x:t xml:space="preserve">RUBRIK</x:t>
  </x:si>
  <x:si>
    <x:t xml:space="preserve">Buka hanya saat perlu menentukan arti skor 0–4.</x:t>
  </x:si>
  <x:si>
    <x:t xml:space="preserve">CONTOH</x:t>
  </x:si>
  <x:si>
    <x:t xml:space="preserve">Gunakan jika masih ragu membedakan skor 0, BDN, dan bukti belum memadai.</x:t>
  </x:si>
  <x:si>
    <x:t xml:space="preserve">3. STATUS PENILAIAN</x:t>
  </x:si>
  <x:si>
    <x:t xml:space="preserve">Gunakan ketika</x:t>
  </x:si>
  <x:si>
    <x:t xml:space="preserve">Skor?</x:t>
  </x:si>
  <x:si>
    <x:t xml:space="preserve">DAPAT DINILAI</x:t>
  </x:si>
  <x:si>
    <x:t xml:space="preserve">Sudah waktunya dinilai dan evidence/fakta cukup.</x:t>
  </x:si>
  <x:si>
    <x:t xml:space="preserve">Ya, 0–4</x:t>
  </x:si>
  <x:si>
    <x:t xml:space="preserve">BUKTI BELUM MEMADAI</x:t>
  </x:si>
  <x:si>
    <x:t xml:space="preserve">Sudah waktunya dinilai tetapi fakta belum dapat dipastikan karena evidence belum cukup.</x:t>
  </x:si>
  <x:si>
    <x:t xml:space="preserve">Tidak</x:t>
  </x:si>
  <x:si>
    <x:t xml:space="preserve">BELUM DAPAT DINILAI</x:t>
  </x:si>
  <x:si>
    <x:t xml:space="preserve">Digunakan bila secara objektif belum cukup waktu bagi indikator untuk menghasilkan hasil/manfaat. Ini terutama relevan pada masa implementasi awal untuk outcome dan kontribusi/dampak.</x:t>
  </x:si>
  <x:si>
    <x:t xml:space="preserve">4. ATURAN SKOR</x:t>
  </x:si>
  <x:si>
    <x:t xml:space="preserve">Hanya jika indikator sudah dapat dinilai, evidence cukup, dan secara faktual unsur tidak terpenuhi.</x:t>
  </x:si>
  <x:si>
    <x:t xml:space="preserve">Bukan untuk menutupi kinerja rendah. Jika sudah cukup waktu dan tidak ada hasil, gunakan skor 0 sesuai rubrik.</x:t>
  </x:si>
  <x:si>
    <x:t xml:space="preserve">Bukan skor 0; harus diikuti tindakan verifikasi/melengkapi evidence.</x:t>
  </x:si>
  <x:si>
    <x:t xml:space="preserve">Hanya muncul jika seluruh 7 indikator dapat dinilai.</x:t>
  </x:si>
  <x:si>
    <x:t xml:space="preserve">Masa Implementasi Awal</x:t>
  </x:si>
  <x:si>
    <x:t xml:space="preserve">Digunakan bila kerja sama masih baru sehingga sebagian indikator hasil (terutama outcome dan kontribusi/dampak) secara objektif belum layak diberi skor. Indikator yang sudah matang tetap dapat dinilai.</x:t>
  </x:si>
  <x:si>
    <x:t xml:space="preserve">Nilai final/kategori belum ditetapkan sampai seluruh indikator hasil memasuki periode penilaian yang memadai.</x:t>
  </x:si>
  <x:si>
    <x:t xml:space="preserve">5. ESTIMASI WAKTU</x:t>
  </x:si>
  <x:si>
    <x:t xml:space="preserve">Kondisi Pengguna</x:t>
  </x:si>
  <x:si>
    <x:t xml:space="preserve">Estimasi Waktu per Naskah</x:t>
  </x:si>
  <x:si>
    <x:t xml:space="preserve">Pertama kali, evidence belum tertata</x:t>
  </x:si>
  <x:si>
    <x:t xml:space="preserve">60–120 menit atau lebih</x:t>
  </x:si>
  <x:si>
    <x:t xml:space="preserve">Pertama kali, evidence sudah tersedia</x:t>
  </x:si>
  <x:si>
    <x:t xml:space="preserve">45–75 menit</x:t>
  </x:si>
  <x:si>
    <x:t xml:space="preserve">Sudah memahami instrumen dan evidence siap</x:t>
  </x:si>
  <x:si>
    <x:t xml:space="preserve">25–45 menit</x:t>
  </x:si>
  <x:si>
    <x:t xml:space="preserve">Update berkala setelah data tertata</x:t>
  </x:si>
  <x:si>
    <x:t xml:space="preserve">15–30 menit</x:t>
  </x:si>
  <x:si>
    <x:t xml:space="preserve">6. CARA MEMBACA HASIL</x:t>
  </x:si>
  <x:si>
    <x:t xml:space="preserve">Situasi</x:t>
  </x:si>
  <x:si>
    <x:t xml:space="preserve">Makna</x:t>
  </x:si>
  <x:si>
    <x:t xml:space="preserve">Banyak BDN karena belum cukup waktu</x:t>
  </x:si>
  <x:si>
    <x:t xml:space="preserve">Normal; jadwalkan review berikutnya.</x:t>
  </x:si>
  <x:si>
    <x:t xml:space="preserve">Banyak bukti belum memadai</x:t>
  </x:si>
  <x:si>
    <x:t xml:space="preserve">Ada gap tata kelola evidence; perlu verifikasi/perbaikan dokumentasi.</x:t>
  </x:si>
  <x:si>
    <x:t xml:space="preserve">Banyak skor 0 setelah cukup waktu</x:t>
  </x:si>
  <x:si>
    <x:t xml:space="preserve">Masalah pelaksanaan/hasil kerja sama; perlu tindakan korektif atau keputusan keberlanjutan.</x:t>
  </x:si>
  <x:si>
    <x:t xml:space="preserve">Warning tinggi meski nilai baik</x:t>
  </x:si>
  <x:si>
    <x:t xml:space="preserve">Tetap perlu tindakan; Early Warning memang terpisah dari nilai Scorecard.</x:t>
  </x:si>
  <x:si>
    <x:t xml:space="preserve">Intervensi = YA</x:t>
  </x:si>
  <x:si>
    <x:t xml:space="preserve">Ada isu/keputusan yang membutuhkan kewenangan/arahan pimpinan.</x:t>
  </x:si>
  <x:si>
    <x:t xml:space="preserve">CONTOH PENGISIAN — UNTUK PENGGUNA BARU</x:t>
  </x:si>
  <x:si>
    <x:t xml:space="preserve">Contoh membedakan kerja sama lama yang pasif dengan kerja sama baru yang hasilnya memang belum jatuh tempo.</x:t>
  </x:si>
  <x:si>
    <x:t xml:space="preserve">CONTOH A — PKS SUDAH CUKUP LAMA, TETAPI TIDAK AKTIF</x:t>
  </x:si>
  <x:si>
    <x:t xml:space="preserve">Temuan</x:t>
  </x:si>
  <x:si>
    <x:t xml:space="preserve">Skor</x:t>
  </x:si>
  <x:si>
    <x:t xml:space="preserve">Nilai</x:t>
  </x:si>
  <x:si>
    <x:t xml:space="preserve">I1</x:t>
  </x:si>
  <x:si>
    <x:t xml:space="preserve">PIC diketahui, tetapi tidak ada rencana tindak lanjut yang jelas.</x:t>
  </x:si>
  <x:si>
    <x:t xml:space="preserve">Pengelolaan lemah</x:t>
  </x:si>
  <x:si>
    <x:t xml:space="preserve">Tetapkan tindak lanjut/owner.</x:t>
  </x:si>
  <x:si>
    <x:t xml:space="preserve">I2</x:t>
  </x:si>
  <x:si>
    <x:t xml:space="preserve">Tidak ada kegiatan setelah penandatanganan.</x:t>
  </x:si>
  <x:si>
    <x:t xml:space="preserve">Tidak ada implementasi</x:t>
  </x:si>
  <x:si>
    <x:t xml:space="preserve">Aktivasi atau evaluasi keberlanjutan.</x:t>
  </x:si>
  <x:si>
    <x:t xml:space="preserve">I3</x:t>
  </x:si>
  <x:si>
    <x:t xml:space="preserve">Tidak ada output padahal periode sudah memadai.</x:t>
  </x:si>
  <x:si>
    <x:t xml:space="preserve">Output tidak tercapai</x:t>
  </x:si>
  <x:si>
    <x:t xml:space="preserve">Tentukan output prioritas.</x:t>
  </x:si>
  <x:si>
    <x:t xml:space="preserve">I4</x:t>
  </x:si>
  <x:si>
    <x:t xml:space="preserve">Tidak ada manfaat/perubahan setelah periode memadai.</x:t>
  </x:si>
  <x:si>
    <x:t xml:space="preserve">Outcome tidak terbentuk</x:t>
  </x:si>
  <x:si>
    <x:t xml:space="preserve">Perbaiki implementasi/evaluasi kelanjutan.</x:t>
  </x:si>
  <x:si>
    <x:t xml:space="preserve">I5</x:t>
  </x:si>
  <x:si>
    <x:t xml:space="preserve">Tidak ditemukan kontribusi terhadap kinerja/pelayanan.</x:t>
  </x:si>
  <x:si>
    <x:t xml:space="preserve">Kontribusi belum terbukti</x:t>
  </x:si>
  <x:si>
    <x:t xml:space="preserve">Kaji relevansi dan nilai strategis.</x:t>
  </x:si>
  <x:si>
    <x:t xml:space="preserve">I6</x:t>
  </x:si>
  <x:si>
    <x:t xml:space="preserve">Verifikasi lengkap menunjukkan memang tidak ada implementasi.</x:t>
  </x:si>
  <x:si>
    <x:t xml:space="preserve">Evidence cukup untuk menyimpulkan kondisi</x:t>
  </x:si>
  <x:si>
    <x:t xml:space="preserve">Pertahankan keterlacakan data.</x:t>
  </x:si>
  <x:si>
    <x:t xml:space="preserve">I7</x:t>
  </x:si>
  <x:si>
    <x:t xml:space="preserve">Kerja sama pasif; tidak ada langkah keberlanjutan.</x:t>
  </x:si>
  <x:si>
    <x:t xml:space="preserve">Risiko keberlanjutan tinggi</x:t>
  </x:si>
  <x:si>
    <x:t xml:space="preserve">Tentukan lanjut/perbaiki/hentikan.</x:t>
  </x:si>
  <x:si>
    <x:t xml:space="preserve">CONTOH B — MASA IMPLEMENTASI AWAL: HASIL BELUM MEMASUKI PERIODE PENILAIAN</x:t>
  </x:si>
  <x:si>
    <x:t xml:space="preserve">Tanggung jawab, rencana awal, dan koordinasi sudah jelas.</x:t>
  </x:si>
  <x:si>
    <x:t xml:space="preserve">Kesiapan baik</x:t>
  </x:si>
  <x:si>
    <x:t xml:space="preserve">Lanjutkan.</x:t>
  </x:si>
  <x:si>
    <x:t xml:space="preserve">Langkah persiapan sudah berjalan.</x:t>
  </x:si>
  <x:si>
    <x:t xml:space="preserve">Implementasi awal</x:t>
  </x:si>
  <x:si>
    <x:t xml:space="preserve">Pantau tindak lanjut.</x:t>
  </x:si>
  <x:si>
    <x:t xml:space="preserve">Output utama dijadwalkan pada periode berikutnya.</x:t>
  </x:si>
  <x:si>
    <x:t xml:space="preserve">Belum jatuh tempo</x:t>
  </x:si>
  <x:si>
    <x:t xml:space="preserve">Review pada jadwal output.</x:t>
  </x:si>
  <x:si>
    <x:t xml:space="preserve">Outcome belum mungkin terlihat.</x:t>
  </x:si>
  <x:si>
    <x:t xml:space="preserve">Belum matang</x:t>
  </x:si>
  <x:si>
    <x:t xml:space="preserve">Review setelah output tersedia.</x:t>
  </x:si>
  <x:si>
    <x:t xml:space="preserve">Kontribusi/dampak belum mungkin diukur.</x:t>
  </x:si>
  <x:si>
    <x:t xml:space="preserve">Review setelah outcome tersedia.</x:t>
  </x:si>
  <x:si>
    <x:t xml:space="preserve">Dokumen/evidence persiapan dapat ditelusuri.</x:t>
  </x:si>
  <x:si>
    <x:t xml:space="preserve">Evidence baik</x:t>
  </x:si>
  <x:si>
    <x:t xml:space="preserve">Pertahankan.</x:t>
  </x:si>
  <x:si>
    <x:t xml:space="preserve">Risiko utama telah diidentifikasi dan ditangani.</x:t>
  </x:si>
  <x:si>
    <x:t xml:space="preserve">Risiko terkendali</x:t>
  </x:si>
  <x:si>
    <x:t xml:space="preserve">Pantau perubahan.</x:t>
  </x:si>
</x:sst>
</file>

<file path=xl/styles.xml><?xml version="1.0" encoding="utf-8"?>
<x:styleSheet xmlns:x="http://schemas.openxmlformats.org/spreadsheetml/2006/main">
  <x:numFmts count="1">
    <x:numFmt numFmtId="164" formatCode="dd\ mmm\ yyyy"/>
  </x:numFmts>
  <x:fonts count="10">
    <x:font>
      <x:sz val="11"/>
      <x:name val="Carlito"/>
    </x:font>
    <x:font>
      <x:b/>
      <x:sz val="15"/>
      <x:color rgb="FFFFFFFF"/>
      <x:name val="Carlito"/>
    </x:font>
    <x:font>
      <x:b/>
      <x:sz val="10"/>
      <x:color rgb="FFFFFFFF"/>
      <x:name val="Carlito"/>
    </x:font>
    <x:font>
      <x:b/>
      <x:sz val="11"/>
      <x:color rgb="FF1F1F1F"/>
      <x:name val="Carlito"/>
    </x:font>
    <x:font>
      <x:b/>
      <x:sz val="11"/>
      <x:color rgb="FFFFFFFF"/>
      <x:name val="Carlito"/>
    </x:font>
    <x:font>
      <x:b/>
      <x:sz val="11"/>
      <x:name val="Carlito"/>
    </x:font>
    <x:font>
      <x:b/>
      <x:sz val="14"/>
      <x:color rgb="FFFFFFFF"/>
      <x:name val="Carlito"/>
    </x:font>
    <x:font>
      <x:i/>
      <x:sz val="10"/>
      <x:color rgb="FF1F1F1F"/>
      <x:name val="Carlito"/>
    </x:font>
    <x:font>
      <x:b/>
      <x:sz val="10"/>
      <x:color rgb="FF1F1F1F"/>
      <x:name val="Carlito"/>
    </x:font>
    <x:font>
      <x:sz val="11"/>
      <x:color rgb="FF1F1F1F"/>
      <x:name val="Carlito"/>
    </x:font>
  </x:fonts>
  <x:fills count="22">
    <x:fill>
      <x:patternFill patternType="none"/>
    </x:fill>
    <x:fill>
      <x:patternFill patternType="gray125"/>
    </x:fill>
    <x:fill>
      <x:patternFill patternType="solid">
        <x:fgColor rgb="FF163A5F"/>
      </x:patternFill>
    </x:fill>
    <x:fill>
      <x:patternFill patternType="solid">
        <x:fgColor rgb="FF1F4E78"/>
      </x:patternFill>
    </x:fill>
    <x:fill>
      <x:patternFill patternType="solid">
        <x:fgColor rgb="FFEEF5FB"/>
      </x:patternFill>
    </x:fill>
    <x:fill>
      <x:patternFill patternType="solid">
        <x:fgColor rgb="FFFFF2CC"/>
      </x:patternFill>
    </x:fill>
    <x:fill>
      <x:patternFill patternType="solid">
        <x:fgColor rgb="FFD9EAF7"/>
      </x:patternFill>
    </x:fill>
    <x:fill>
      <x:patternFill patternType="solid">
        <x:fgColor rgb="FFF5E8BF"/>
      </x:patternFill>
    </x:fill>
    <x:fill>
      <x:patternFill patternType="solid">
        <x:fgColor rgb="FF163A5F"/>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D9EAF7"/>
      </x:patternFill>
    </x:fill>
    <x:fill>
      <x:patternFill patternType="solid">
        <x:fgColor theme="1" tint="0.49998"/>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E7E6E6"/>
      </x:patternFill>
    </x:fill>
    <x:fill>
      <x:patternFill patternType="solid">
        <x:fgColor rgb="FFEEF5FB"/>
      </x:patternFill>
    </x:fill>
    <x:fill>
      <x:patternFill patternType="solid">
        <x:fgColor rgb="FFFFFFFF"/>
      </x:patternFill>
    </x:fill>
  </x:fills>
  <x:borders count="68">
    <x:border/>
    <x:border/>
    <x:border/>
    <x:border/>
    <x:border/>
    <x:border/>
    <x:border/>
    <x:border/>
    <x:border/>
    <x:border/>
    <x:border/>
    <x:border/>
    <x:border/>
    <x:border/>
    <x:border/>
    <x:border/>
    <x:border/>
    <x:border/>
    <x:border/>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indexed="64"/>
      </x:left>
      <x:right style="thin">
        <x:color indexed="64"/>
      </x:right>
      <x:bottom style="thin">
        <x:color rgb="FFB4C6E7"/>
      </x:bottom>
    </x:border>
    <x:border>
      <x:left style="thin">
        <x:color indexed="64"/>
      </x:left>
      <x:right style="thin">
        <x:color indexed="64"/>
      </x:right>
      <x:bottom style="thin">
        <x:color rgb="FFB4C6E7"/>
      </x:bottom>
    </x:border>
  </x:borders>
  <x:cellStyleXfs count="1">
    <x:xf numFmtId="0" fontId="0" fillId="0" borderId="0"/>
  </x:cellStyleXfs>
  <x:cellXfs count="721">
    <x:xf numFmtId="0" fontId="0" fillId="0" borderId="0" xfId="0"/>
    <x:xf numFmtId="0" fontId="1" fillId="2" borderId="0" xfId="0" applyFont="1" applyFill="1" applyAlignment="1">
      <x:alignment vertical="center"/>
    </x:xf>
    <x:xf numFmtId="0" fontId="2" fillId="3" borderId="0" xfId="0" applyFont="1" applyFill="1" applyAlignment="1">
      <x:alignment vertical="center" wrapText="1"/>
    </x:xf>
    <x:xf numFmtId="0" fontId="3" fillId="4" borderId="1" xfId="0" applyFont="1" applyFill="1" applyBorder="1" applyAlignment="1">
      <x:alignment vertical="center"/>
    </x:xf>
    <x:xf numFmtId="0" fontId="0" fillId="5" borderId="2" xfId="0" applyFill="1" applyBorder="1"/>
    <x:xf numFmtId="0" fontId="0" fillId="6" borderId="3" xfId="0" applyFill="1" applyBorder="1"/>
    <x:xf numFmtId="0" fontId="3" fillId="7" borderId="0" xfId="0" applyFont="1" applyFill="1" applyAlignment="1">
      <x:alignment vertical="center"/>
    </x:xf>
    <x:xf numFmtId="0" fontId="0" fillId="0" borderId="6" xfId="0" applyBorder="1"/>
    <x:xf numFmtId="0" fontId="3" fillId="4" borderId="4" xfId="0" applyFont="1" applyFill="1" applyBorder="1" applyAlignment="1">
      <x:alignment vertical="center"/>
    </x:xf>
    <x:xf numFmtId="0" fontId="0" fillId="5" borderId="5" xfId="0" applyFill="1" applyBorder="1" applyAlignment="1">
      <x:alignment vertical="top" wrapText="1"/>
    </x:xf>
    <x:xf numFmtId="0" fontId="0" fillId="5" borderId="6" xfId="0" applyFill="1" applyBorder="1" applyAlignment="1">
      <x:alignment vertical="top" wrapText="1"/>
    </x:xf>
    <x:xf numFmtId="0" fontId="0" fillId="5" borderId="0" xfId="0" applyFill="1" applyAlignment="1">
      <x:alignment vertical="top" wrapText="1"/>
    </x:xf>
    <x:xf numFmtId="0" fontId="0" fillId="5" borderId="8" xfId="0" applyFill="1" applyBorder="1" applyAlignment="1">
      <x:alignment vertical="top" wrapText="1"/>
    </x:xf>
    <x:xf numFmtId="0" fontId="0" fillId="5" borderId="10" xfId="0" applyFill="1" applyBorder="1" applyAlignment="1">
      <x:alignment vertical="top" wrapText="1"/>
    </x:xf>
    <x:xf numFmtId="0" fontId="0" fillId="5" borderId="11" xfId="0" applyFill="1" applyBorder="1" applyAlignment="1">
      <x:alignment vertical="top" wrapText="1"/>
    </x:xf>
    <x:xf numFmtId="0" fontId="4" fillId="3" borderId="0" xfId="0" applyFont="1" applyFill="1" applyAlignment="1">
      <x:alignment horizontal="center" vertical="center" wrapText="1"/>
    </x:xf>
    <x:xf numFmtId="0" fontId="0" fillId="0" borderId="4" xfId="0" applyBorder="1" applyAlignment="1">
      <x:alignment wrapText="1"/>
    </x:xf>
    <x:xf numFmtId="0" fontId="0" fillId="0" borderId="5" xfId="0" applyBorder="1" applyAlignment="1">
      <x:alignment wrapText="1"/>
    </x:xf>
    <x:xf numFmtId="0" fontId="0" fillId="0" borderId="6" xfId="0" applyBorder="1" applyAlignment="1">
      <x:alignment wrapText="1"/>
    </x:xf>
    <x:xf numFmtId="0" fontId="0" fillId="0" borderId="7" xfId="0" applyBorder="1" applyAlignment="1">
      <x:alignment wrapText="1"/>
    </x:xf>
    <x:xf numFmtId="0" fontId="0" fillId="0" borderId="0" xfId="0" applyAlignment="1">
      <x:alignment wrapText="1"/>
    </x:xf>
    <x:xf numFmtId="0" fontId="0" fillId="0" borderId="8" xfId="0" applyBorder="1" applyAlignment="1">
      <x:alignment wrapText="1"/>
    </x:xf>
    <x:xf numFmtId="0" fontId="0" fillId="0" borderId="9" xfId="0" applyBorder="1" applyAlignment="1">
      <x:alignment wrapText="1"/>
    </x:xf>
    <x:xf numFmtId="0" fontId="0" fillId="0" borderId="10" xfId="0" applyBorder="1" applyAlignment="1">
      <x:alignment wrapText="1"/>
    </x:xf>
    <x:xf numFmtId="0" fontId="0" fillId="0" borderId="11" xfId="0" applyBorder="1" applyAlignment="1">
      <x:alignment wrapText="1"/>
    </x:xf>
    <x:xf numFmtId="0" fontId="0" fillId="0" borderId="5" xfId="0" applyBorder="1" applyAlignment="1">
      <x:alignment vertical="top" wrapText="1"/>
    </x:xf>
    <x:xf numFmtId="0" fontId="0" fillId="0" borderId="6" xfId="0" applyBorder="1" applyAlignment="1">
      <x:alignment vertical="top" wrapText="1"/>
    </x:xf>
    <x:xf numFmtId="0" fontId="0" fillId="0" borderId="0" xfId="0" applyAlignment="1">
      <x:alignment vertical="top" wrapText="1"/>
    </x:xf>
    <x:xf numFmtId="0" fontId="0" fillId="0" borderId="8" xfId="0" applyBorder="1" applyAlignment="1">
      <x:alignment vertical="top" wrapText="1"/>
    </x:xf>
    <x:xf numFmtId="0" fontId="0" fillId="0" borderId="10" xfId="0" applyBorder="1" applyAlignment="1">
      <x:alignment vertical="top" wrapText="1"/>
    </x:xf>
    <x:xf numFmtId="0" fontId="0" fillId="0" borderId="11" xfId="0" applyBorder="1" applyAlignment="1">
      <x:alignment vertical="top" wrapText="1"/>
    </x:xf>
    <x:xf numFmtId="0" fontId="3" fillId="6" borderId="0" xfId="0" applyFont="1" applyFill="1" applyAlignment="1">
      <x:alignment vertical="center"/>
    </x:xf>
    <x:xf numFmtId="0" fontId="3" fillId="4" borderId="4" xfId="0" applyFont="1" applyFill="1" applyBorder="1" applyAlignment="1">
      <x:alignment vertical="center" wrapText="1"/>
    </x:xf>
    <x:xf numFmtId="0" fontId="3" fillId="4" borderId="7" xfId="0" applyFont="1" applyFill="1" applyBorder="1" applyAlignment="1">
      <x:alignment vertical="center" wrapText="1"/>
    </x:xf>
    <x:xf numFmtId="0" fontId="3" fillId="4" borderId="9" xfId="0" applyFont="1" applyFill="1" applyBorder="1" applyAlignment="1">
      <x:alignment vertical="center" wrapText="1"/>
    </x:xf>
    <x:xf numFmtId="0" fontId="4" fillId="3" borderId="4" xfId="0" applyFont="1" applyFill="1" applyBorder="1" applyAlignment="1">
      <x:alignment horizontal="center" vertical="center" wrapText="1"/>
    </x:xf>
    <x:xf numFmtId="0" fontId="4" fillId="3" borderId="6" xfId="0" applyFont="1" applyFill="1" applyBorder="1" applyAlignment="1">
      <x:alignment horizontal="center" vertical="center" wrapText="1"/>
    </x:xf>
    <x:xf numFmtId="0" fontId="4" fillId="3" borderId="5" xfId="0" applyFont="1" applyFill="1" applyBorder="1" applyAlignment="1">
      <x:alignment horizontal="center" vertical="center" wrapText="1"/>
    </x:xf>
    <x:xf numFmtId="0" fontId="6" fillId="8" borderId="0" xfId="0" applyFont="1" applyFill="1"/>
    <x:xf numFmtId="0" fontId="0" fillId="9" borderId="0" xfId="0" applyFill="1"/>
    <x:xf numFmtId="0" fontId="4" fillId="10" borderId="12" xfId="0" applyFont="1" applyFill="1" applyBorder="1" applyAlignment="1">
      <x:alignment wrapText="1"/>
    </x:xf>
    <x:xf numFmtId="0" fontId="4" fillId="10" borderId="13" xfId="0" applyFont="1" applyFill="1" applyBorder="1" applyAlignment="1">
      <x:alignment wrapText="1"/>
    </x:xf>
    <x:xf numFmtId="0" fontId="4" fillId="10" borderId="14" xfId="0" applyFont="1" applyFill="1" applyBorder="1" applyAlignment="1">
      <x:alignment wrapText="1"/>
    </x:xf>
    <x:xf numFmtId="0" fontId="0" fillId="0" borderId="15" xfId="0" applyBorder="1" applyAlignment="1">
      <x:alignment vertical="top" wrapText="1"/>
    </x:xf>
    <x:xf numFmtId="0" fontId="0" fillId="0" borderId="16" xfId="0" applyBorder="1" applyAlignment="1">
      <x:alignment vertical="top" wrapText="1"/>
    </x:xf>
    <x:xf numFmtId="0" fontId="0" fillId="0" borderId="17" xfId="0" applyBorder="1" applyAlignment="1">
      <x:alignment vertical="top" wrapText="1"/>
    </x:xf>
    <x:xf numFmtId="0" fontId="0" fillId="0" borderId="18" xfId="0" applyBorder="1" applyAlignment="1">
      <x:alignment vertical="top" wrapText="1"/>
    </x:xf>
    <x:xf numFmtId="0" fontId="0" fillId="0" borderId="19" xfId="0" applyBorder="1" applyAlignment="1">
      <x:alignment vertical="top" wrapText="1"/>
    </x:xf>
    <x:xf numFmtId="0" fontId="7" fillId="12" borderId="0" xfId="0" applyFont="1" applyFill="1"/>
    <x:xf numFmtId="0" fontId="4" fillId="13" borderId="0" xfId="0" applyFont="1" applyFill="1" applyAlignment="1">
      <x:alignment wrapText="1"/>
    </x:xf>
    <x:xf numFmtId="0" fontId="6" fillId="11" borderId="21" xfId="0" applyFont="1" applyFill="1" applyBorder="1"/>
    <x:xf numFmtId="0" fontId="6" fillId="11" borderId="22" xfId="0" applyFont="1" applyFill="1" applyBorder="1"/>
    <x:xf numFmtId="0" fontId="6" fillId="11" borderId="23" xfId="0" applyFont="1" applyFill="1" applyBorder="1"/>
    <x:xf numFmtId="0" fontId="7" fillId="12" borderId="24" xfId="0" applyFont="1" applyFill="1" applyBorder="1"/>
    <x:xf numFmtId="0" fontId="7" fillId="12" borderId="25" xfId="0" applyFont="1" applyFill="1" applyBorder="1"/>
    <x:xf numFmtId="0" fontId="0" fillId="0" borderId="24" xfId="0" applyBorder="1"/>
    <x:xf numFmtId="0" fontId="0" fillId="0" borderId="25" xfId="0" applyBorder="1"/>
    <x:xf numFmtId="0" fontId="4" fillId="13" borderId="24" xfId="0" applyFont="1" applyFill="1" applyBorder="1" applyAlignment="1">
      <x:alignment wrapText="1"/>
    </x:xf>
    <x:xf numFmtId="0" fontId="4" fillId="13" borderId="25" xfId="0" applyFont="1" applyFill="1" applyBorder="1" applyAlignment="1">
      <x:alignment wrapText="1"/>
    </x:xf>
    <x:xf numFmtId="0" fontId="0" fillId="0" borderId="24" xfId="0" applyBorder="1" applyAlignment="1">
      <x:alignment wrapText="1"/>
    </x:xf>
    <x:xf numFmtId="0" fontId="0" fillId="0" borderId="25" xfId="0" applyBorder="1" applyAlignment="1">
      <x:alignment wrapText="1"/>
    </x:xf>
    <x:xf numFmtId="0" fontId="0" fillId="0" borderId="26" xfId="0" applyBorder="1" applyAlignment="1">
      <x:alignment wrapText="1"/>
    </x:xf>
    <x:xf numFmtId="0" fontId="0" fillId="0" borderId="27" xfId="0" applyBorder="1" applyAlignment="1">
      <x:alignment wrapText="1"/>
    </x:xf>
    <x:xf numFmtId="0" fontId="0" fillId="0" borderId="28" xfId="0" applyBorder="1" applyAlignment="1">
      <x:alignment wrapText="1"/>
    </x:xf>
    <x:xf numFmtId="0" fontId="3" fillId="4" borderId="4" xfId="0" applyFont="1" applyFill="1" applyBorder="1" applyAlignment="1">
      <x:alignment vertical="top"/>
    </x:xf>
    <x:xf numFmtId="0" fontId="3" fillId="4" borderId="5" xfId="0" applyFont="1" applyFill="1" applyBorder="1" applyAlignment="1">
      <x:alignment vertical="top"/>
    </x:xf>
    <x:xf numFmtId="0" fontId="3" fillId="4" borderId="7" xfId="0" applyFont="1" applyFill="1" applyBorder="1" applyAlignment="1">
      <x:alignment vertical="top"/>
    </x:xf>
    <x:xf numFmtId="0" fontId="3" fillId="4" borderId="0" xfId="0" applyFont="1" applyFill="1" applyAlignment="1">
      <x:alignment vertical="top"/>
    </x:xf>
    <x:xf numFmtId="0" fontId="3" fillId="4" borderId="9" xfId="0" applyFont="1" applyFill="1" applyBorder="1" applyAlignment="1">
      <x:alignment vertical="top"/>
    </x:xf>
    <x:xf numFmtId="0" fontId="3" fillId="4" borderId="10" xfId="0" applyFont="1" applyFill="1" applyBorder="1" applyAlignment="1">
      <x:alignment vertical="top"/>
    </x:xf>
    <x:xf numFmtId="0" fontId="5" fillId="0" borderId="29" xfId="0" applyFont="1" applyBorder="1" applyAlignment="1">
      <x:alignment vertical="top" wrapText="1"/>
    </x:xf>
    <x:xf numFmtId="0" fontId="5" fillId="0" borderId="29" xfId="0" applyFont="1" applyBorder="1" applyAlignment="1">
      <x:alignment horizontal="center" vertical="top" wrapText="1"/>
    </x:xf>
    <x:xf numFmtId="0" fontId="0" fillId="0" borderId="29" xfId="0" applyBorder="1" applyAlignment="1">
      <x:alignment vertical="top" wrapText="1"/>
    </x:xf>
    <x:xf numFmtId="0" fontId="0" fillId="5" borderId="29" xfId="0" applyFill="1" applyBorder="1" applyAlignment="1">
      <x:alignment vertical="top" wrapText="1"/>
    </x:xf>
    <x:xf numFmtId="0" fontId="0" fillId="6" borderId="29" xfId="0" applyFill="1" applyBorder="1" applyAlignment="1">
      <x:alignment vertical="center" wrapText="1"/>
    </x:xf>
    <x:xf numFmtId="0" fontId="3" fillId="4" borderId="29" xfId="0" applyFont="1" applyFill="1" applyBorder="1" applyAlignment="1">
      <x:alignment vertical="center"/>
    </x:xf>
    <x:xf numFmtId="0" fontId="0" fillId="6" borderId="29" xfId="0" applyFill="1" applyBorder="1" applyAlignment="1">
      <x:alignment horizontal="center" vertical="center" wrapText="1"/>
    </x:xf>
    <x:xf numFmtId="0" fontId="0" fillId="0" borderId="0" xfId="0" applyAlignment="1">
      <x:alignment horizontal="center" vertical="top" wrapText="1"/>
    </x:xf>
    <x:xf numFmtId="0" fontId="0" fillId="0" borderId="5" xfId="0" applyBorder="1" applyAlignment="1">
      <x:alignment horizontal="center" vertical="top" wrapText="1"/>
    </x:xf>
    <x:xf numFmtId="0" fontId="3" fillId="4" borderId="29" xfId="0" applyFont="1" applyFill="1" applyBorder="1" applyAlignment="1">
      <x:alignment vertical="center" wrapText="1"/>
    </x:xf>
    <x:xf numFmtId="0" fontId="0" fillId="0" borderId="29" xfId="0" applyBorder="1" applyAlignment="1">
      <x:alignment horizontal="center" vertical="top" wrapText="1"/>
    </x:xf>
    <x:xf numFmtId="0" fontId="3" fillId="0" borderId="0" xfId="0" applyFont="1" applyAlignment="1">
      <x:alignment vertical="center"/>
    </x:xf>
    <x:xf numFmtId="164" fontId="0" fillId="5" borderId="29" xfId="0" applyNumberFormat="1" applyFill="1" applyBorder="1" applyAlignment="1">
      <x:alignment vertical="top" wrapText="1"/>
    </x:xf>
    <x:xf numFmtId="0" fontId="0" fillId="0" borderId="0" xfId="0" applyAlignment="1">
      <x:alignment vertical="top"/>
    </x:xf>
    <x:xf numFmtId="0" fontId="0" fillId="6" borderId="29" xfId="0" applyFill="1" applyBorder="1" applyAlignment="1">
      <x:alignment vertical="top" wrapText="1"/>
    </x:xf>
    <x:xf numFmtId="0" fontId="0" fillId="5" borderId="29" xfId="0" applyFill="1" applyBorder="1" applyAlignment="1">
      <x:alignment horizontal="left" vertical="top" wrapText="1"/>
    </x:xf>
    <x:xf numFmtId="0" fontId="3" fillId="4" borderId="29" xfId="0" applyFont="1" applyFill="1" applyBorder="1" applyAlignment="1">
      <x:alignment vertical="top" wrapText="1"/>
    </x:xf>
    <x:xf numFmtId="0" fontId="3" fillId="4" borderId="29" xfId="0" applyFont="1" applyFill="1" applyBorder="1" applyAlignment="1">
      <x:alignment horizontal="left" vertical="top" wrapText="1"/>
    </x:xf>
    <x:xf numFmtId="0" fontId="0" fillId="0" borderId="20" xfId="0" applyBorder="1" applyAlignment="1">
      <x:alignment horizontal="center"/>
    </x:xf>
    <x:xf numFmtId="0" fontId="3" fillId="0" borderId="29" xfId="0" applyFont="1" applyBorder="1" applyAlignment="1">
      <x:alignment horizontal="center" vertical="center"/>
    </x:xf>
    <x:xf numFmtId="0" fontId="0" fillId="0" borderId="29" xfId="0" applyBorder="1" applyAlignment="1">
      <x:alignment horizontal="center" vertical="top" wrapText="1"/>
    </x:xf>
    <x:xf numFmtId="164" fontId="0" fillId="0" borderId="29" xfId="0" applyNumberFormat="1" applyBorder="1" applyAlignment="1">
      <x:alignment horizontal="center" vertical="top" wrapText="1"/>
    </x:xf>
    <x:xf numFmtId="0" fontId="3" fillId="0" borderId="29" xfId="0" applyFont="1" applyBorder="1" applyAlignment="1">
      <x:alignment vertical="center"/>
    </x:xf>
    <x:xf numFmtId="0" fontId="0" fillId="0" borderId="7" xfId="0" applyBorder="1" applyAlignment="1">
      <x:alignment vertical="top" wrapText="1"/>
    </x:xf>
    <x:xf numFmtId="0" fontId="0" fillId="0" borderId="9" xfId="0" applyBorder="1" applyAlignment="1">
      <x:alignment vertical="top" wrapText="1"/>
    </x:xf>
    <x:xf numFmtId="164" fontId="0" fillId="0" borderId="29" xfId="0" applyNumberFormat="1" applyBorder="1" applyAlignment="1">
      <x:alignment vertical="top" wrapText="1"/>
    </x:xf>
    <x:xf numFmtId="0" fontId="8" fillId="14" borderId="0" xfId="0" applyFont="1" applyFill="1" applyAlignment="1">
      <x:alignment vertical="top" wrapText="1"/>
    </x:xf>
    <x:xf numFmtId="0" fontId="0" fillId="0" borderId="29" xfId="0" applyBorder="1" applyAlignment="1">
      <x:alignment horizontal="center" vertical="top" wrapText="1"/>
    </x:xf>
    <x:xf numFmtId="0" fontId="0" fillId="6" borderId="30" xfId="0" applyFill="1" applyBorder="1" applyAlignment="1">
      <x:alignment horizontal="center" vertical="center" wrapText="1"/>
    </x:xf>
    <x:xf numFmtId="0" fontId="0" fillId="6" borderId="31" xfId="0" applyFill="1" applyBorder="1" applyAlignment="1">
      <x:alignment horizontal="center" vertical="center" wrapText="1"/>
    </x:xf>
    <x:xf numFmtId="0" fontId="0" fillId="6" borderId="29" xfId="0" applyFill="1" applyBorder="1" applyAlignment="1">
      <x:alignment horizontal="center" vertical="center" wrapText="1"/>
    </x:xf>
    <x:xf numFmtId="0" fontId="0" fillId="15" borderId="29" xfId="0" applyFill="1" applyBorder="1" applyAlignment="1">
      <x:alignment horizontal="center" vertical="center" wrapText="1"/>
    </x:xf>
    <x:xf numFmtId="2" fontId="0" fillId="6" borderId="30" xfId="0" applyNumberFormat="1" applyFill="1" applyBorder="1" applyAlignment="1">
      <x:alignment horizontal="center" vertical="center" wrapText="1"/>
    </x:xf>
    <x:xf numFmtId="2" fontId="0" fillId="6" borderId="31" xfId="0" applyNumberFormat="1" applyFill="1" applyBorder="1" applyAlignment="1">
      <x:alignment horizontal="center" vertical="center" wrapText="1"/>
    </x:xf>
    <x:xf numFmtId="2" fontId="0" fillId="15" borderId="30" xfId="0" applyNumberFormat="1" applyFill="1" applyBorder="1" applyAlignment="1">
      <x:alignment horizontal="center" vertical="center" wrapText="1"/>
    </x:xf>
    <x:xf numFmtId="2" fontId="0" fillId="15" borderId="31" xfId="0" applyNumberFormat="1" applyFill="1" applyBorder="1" applyAlignment="1">
      <x:alignment horizontal="center" vertical="center" wrapText="1"/>
    </x:xf>
    <x:xf numFmtId="0" fontId="0" fillId="5" borderId="5" xfId="0" applyFill="1" applyBorder="1" applyAlignment="1">
      <x:alignment horizontal="center" vertical="top" wrapText="1"/>
    </x:xf>
    <x:xf numFmtId="0" fontId="0" fillId="5" borderId="0" xfId="0" applyFill="1" applyAlignment="1">
      <x:alignment horizontal="center" vertical="top" wrapText="1"/>
    </x:xf>
    <x:xf numFmtId="0" fontId="0" fillId="5" borderId="10" xfId="0" applyFill="1" applyBorder="1" applyAlignment="1">
      <x:alignment horizontal="center" vertical="top" wrapText="1"/>
    </x:xf>
    <x:xf numFmtId="0" fontId="0" fillId="5" borderId="29" xfId="0" applyFill="1" applyBorder="1" applyAlignment="1">
      <x:alignment horizontal="left" vertical="top" wrapText="1"/>
    </x:xf>
    <x:xf numFmtId="0" fontId="3" fillId="4" borderId="29" xfId="0" applyFont="1" applyFill="1" applyBorder="1" applyAlignment="1">
      <x:alignment horizontal="left" vertical="top" wrapText="1"/>
    </x:xf>
    <x:xf numFmtId="0" fontId="0" fillId="0" borderId="29" xfId="0" applyBorder="1" applyAlignment="1">
      <x:alignment horizontal="center" vertical="center" wrapText="1"/>
    </x:xf>
    <x:xf numFmtId="0" fontId="3" fillId="4" borderId="32" xfId="0" applyFont="1" applyFill="1" applyBorder="1" applyAlignment="1">
      <x:alignment horizontal="center" vertical="center" wrapText="1"/>
    </x:xf>
    <x:xf numFmtId="0" fontId="3" fillId="4" borderId="33" xfId="0" applyFont="1" applyFill="1" applyBorder="1" applyAlignment="1">
      <x:alignment horizontal="center" vertical="center" wrapText="1"/>
    </x:xf>
    <x:xf numFmtId="0" fontId="2" fillId="3" borderId="0" xfId="0" applyFont="1" applyFill="1" applyAlignment="1">
      <x:alignment horizontal="center" vertical="center" wrapText="1"/>
    </x:xf>
    <x:xf numFmtId="0" fontId="2" fillId="3" borderId="0" xfId="0" applyFont="1" applyFill="1" applyAlignment="1">
      <x:alignment horizontal="center" vertical="center" wrapText="1"/>
    </x:xf>
    <x:xf numFmtId="0" fontId="1" fillId="2" borderId="0" xfId="0" applyFont="1" applyFill="1" applyAlignment="1">
      <x:alignment horizontal="center" vertical="center"/>
    </x:xf>
    <x:xf numFmtId="0" fontId="5" fillId="0" borderId="4" xfId="0" applyFont="1" applyBorder="1" applyAlignment="1">
      <x:alignment horizontal="center" vertical="top" wrapText="1"/>
    </x:xf>
    <x:xf numFmtId="0" fontId="5" fillId="0" borderId="5" xfId="0" applyFont="1" applyBorder="1" applyAlignment="1">
      <x:alignment horizontal="center" vertical="top" wrapText="1"/>
    </x:xf>
    <x:xf numFmtId="0" fontId="0" fillId="0" borderId="6" xfId="0" applyBorder="1" applyAlignment="1">
      <x:alignment horizontal="center" vertical="top" wrapText="1"/>
    </x:xf>
    <x:xf numFmtId="0" fontId="5" fillId="0" borderId="7" xfId="0" applyFont="1" applyBorder="1" applyAlignment="1">
      <x:alignment horizontal="center" vertical="top" wrapText="1"/>
    </x:xf>
    <x:xf numFmtId="0" fontId="5" fillId="0" borderId="0" xfId="0" applyFont="1" applyAlignment="1">
      <x:alignment horizontal="center" vertical="top" wrapText="1"/>
    </x:xf>
    <x:xf numFmtId="0" fontId="0" fillId="0" borderId="8" xfId="0" applyBorder="1" applyAlignment="1">
      <x:alignment horizontal="center" vertical="top" wrapText="1"/>
    </x:xf>
    <x:xf numFmtId="0" fontId="5" fillId="0" borderId="9" xfId="0" applyFont="1" applyBorder="1" applyAlignment="1">
      <x:alignment horizontal="center" vertical="top" wrapText="1"/>
    </x:xf>
    <x:xf numFmtId="0" fontId="5" fillId="0" borderId="10" xfId="0" applyFont="1" applyBorder="1" applyAlignment="1">
      <x:alignment horizontal="center" vertical="top" wrapText="1"/>
    </x:xf>
    <x:xf numFmtId="0" fontId="0" fillId="0" borderId="10" xfId="0" applyBorder="1" applyAlignment="1">
      <x:alignment horizontal="center" vertical="top" wrapText="1"/>
    </x:xf>
    <x:xf numFmtId="0" fontId="0" fillId="0" borderId="11" xfId="0" applyBorder="1" applyAlignment="1">
      <x:alignment horizontal="center" vertical="top" wrapText="1"/>
    </x:xf>
    <x:xf numFmtId="0" fontId="0" fillId="0" borderId="0" xfId="0" applyAlignment="1">
      <x:alignment horizontal="center"/>
    </x:xf>
    <x:xf numFmtId="0" fontId="0" fillId="0" borderId="20" xfId="0" applyBorder="1"/>
    <x:xf numFmtId="0" fontId="0" fillId="0" borderId="20" xfId="0" applyBorder="1" applyAlignment="1">
      <x:alignment wrapText="1"/>
    </x:xf>
    <x:xf numFmtId="0" fontId="0" fillId="0" borderId="34" xfId="0" applyBorder="1"/>
    <x:xf numFmtId="0" fontId="0" fillId="5" borderId="29" xfId="0" applyFill="1" applyBorder="1" applyAlignment="1">
      <x:alignment horizontal="center" vertical="top" wrapText="1"/>
    </x:xf>
    <x:xf numFmtId="0" fontId="3" fillId="4" borderId="29" xfId="0" applyFont="1" applyFill="1" applyBorder="1" applyAlignment="1">
      <x:alignment horizontal="center" vertical="center"/>
    </x:xf>
    <x:xf numFmtId="0" fontId="3" fillId="4" borderId="32" xfId="0" applyFont="1" applyFill="1" applyBorder="1" applyAlignment="1">
      <x:alignment horizontal="center" vertical="center"/>
    </x:xf>
    <x:xf numFmtId="0" fontId="3" fillId="4" borderId="35" xfId="0" applyFont="1" applyFill="1" applyBorder="1" applyAlignment="1">
      <x:alignment horizontal="center" vertical="center"/>
    </x:xf>
    <x:xf numFmtId="0" fontId="3" fillId="4" borderId="33" xfId="0" applyFont="1" applyFill="1" applyBorder="1" applyAlignment="1">
      <x:alignment horizontal="center" vertical="center"/>
    </x:xf>
    <x:xf numFmtId="2" fontId="0" fillId="6" borderId="29" xfId="0" applyNumberFormat="1" applyFill="1" applyBorder="1" applyAlignment="1">
      <x:alignment horizontal="center" vertical="center" wrapText="1"/>
    </x:xf>
    <x:xf numFmtId="0" fontId="3" fillId="4" borderId="29" xfId="0" applyFont="1" applyFill="1" applyBorder="1" applyAlignment="1">
      <x:alignment vertical="top"/>
    </x:xf>
    <x:xf numFmtId="2" fontId="0" fillId="6" borderId="29" xfId="0" applyNumberFormat="1" applyFill="1" applyBorder="1" applyAlignment="1">
      <x:alignment vertical="top" wrapText="1"/>
    </x:xf>
    <x:xf numFmtId="164" fontId="0" fillId="5" borderId="29" xfId="0" applyNumberFormat="1" applyFill="1" applyBorder="1" applyAlignment="1">
      <x:alignment horizontal="left" vertical="top" wrapText="1"/>
    </x:xf>
    <x:xf numFmtId="0" fontId="3" fillId="4" borderId="32" xfId="0" applyFont="1" applyFill="1" applyBorder="1" applyAlignment="1">
      <x:alignment horizontal="center" vertical="top"/>
    </x:xf>
    <x:xf numFmtId="0" fontId="3" fillId="4" borderId="35" xfId="0" applyFont="1" applyFill="1" applyBorder="1" applyAlignment="1">
      <x:alignment horizontal="center" vertical="top"/>
    </x:xf>
    <x:xf numFmtId="0" fontId="3" fillId="4" borderId="33" xfId="0" applyFont="1" applyFill="1" applyBorder="1" applyAlignment="1">
      <x:alignment horizontal="center" vertical="top"/>
    </x:xf>
    <x:xf numFmtId="0" fontId="3" fillId="0" borderId="29" xfId="0" applyFont="1" applyBorder="1" applyAlignment="1">
      <x:alignment vertical="top"/>
    </x:xf>
    <x:xf numFmtId="0" fontId="3" fillId="0" borderId="29" xfId="0" applyFont="1" applyBorder="1" applyAlignment="1">
      <x:alignment horizontal="left" vertical="top" wrapText="1"/>
    </x:xf>
    <x:xf numFmtId="0" fontId="0" fillId="0" borderId="36" xfId="0" applyNumberFormat="1" applyFont="1" applyFill="1" applyBorder="1"/>
    <x:xf numFmtId="0" fontId="1" fillId="2" borderId="36" xfId="0" applyNumberFormat="1" applyFont="1" applyFill="1" applyBorder="1" applyAlignment="1">
      <x:alignment vertical="center"/>
    </x:xf>
    <x:xf numFmtId="0" fontId="2" fillId="3" borderId="36" xfId="0" applyNumberFormat="1" applyFont="1" applyFill="1" applyBorder="1" applyAlignment="1">
      <x:alignment vertical="center" wrapText="1"/>
    </x:xf>
    <x:xf numFmtId="0" fontId="3" fillId="4" borderId="36" xfId="0" applyNumberFormat="1" applyFont="1" applyFill="1" applyBorder="1" applyAlignment="1">
      <x:alignment vertical="center"/>
    </x:xf>
    <x:xf numFmtId="0" fontId="0" fillId="5" borderId="36" xfId="0" applyNumberFormat="1" applyFont="1" applyFill="1" applyBorder="1"/>
    <x:xf numFmtId="0" fontId="0" fillId="6" borderId="36" xfId="0" applyNumberFormat="1" applyFont="1" applyFill="1" applyBorder="1"/>
    <x:xf numFmtId="0" fontId="3" fillId="7" borderId="36" xfId="0" applyNumberFormat="1" applyFont="1" applyFill="1" applyBorder="1" applyAlignment="1">
      <x:alignment vertical="center"/>
    </x:xf>
    <x:xf numFmtId="0" fontId="0" fillId="5" borderId="36" xfId="0" applyNumberFormat="1" applyFont="1" applyFill="1" applyBorder="1" applyAlignment="1">
      <x:alignment vertical="top" wrapText="1"/>
    </x:xf>
    <x:xf numFmtId="0" fontId="4" fillId="3" borderId="36" xfId="0" applyNumberFormat="1" applyFont="1" applyFill="1" applyBorder="1" applyAlignment="1">
      <x:alignment horizontal="center" vertical="center" wrapText="1"/>
    </x:xf>
    <x:xf numFmtId="0" fontId="0" fillId="0" borderId="36" xfId="0" applyNumberFormat="1" applyFont="1" applyFill="1" applyBorder="1" applyAlignment="1">
      <x:alignment wrapText="1"/>
    </x:xf>
    <x:xf numFmtId="0" fontId="0" fillId="0" borderId="36" xfId="0" applyNumberFormat="1" applyFont="1" applyFill="1" applyBorder="1" applyAlignment="1">
      <x:alignment vertical="top" wrapText="1"/>
    </x:xf>
    <x:xf numFmtId="0" fontId="3" fillId="6" borderId="36" xfId="0" applyNumberFormat="1" applyFont="1" applyFill="1" applyBorder="1" applyAlignment="1">
      <x:alignment vertical="center"/>
    </x:xf>
    <x:xf numFmtId="0" fontId="3" fillId="4" borderId="36" xfId="0" applyNumberFormat="1" applyFont="1" applyFill="1" applyBorder="1" applyAlignment="1">
      <x:alignment vertical="center" wrapText="1"/>
    </x:xf>
    <x:xf numFmtId="0" fontId="6" fillId="2" borderId="36" xfId="0" applyNumberFormat="1" applyFont="1" applyFill="1" applyBorder="1"/>
    <x:xf numFmtId="0" fontId="4" fillId="3" borderId="36" xfId="0" applyNumberFormat="1" applyFont="1" applyFill="1" applyBorder="1" applyAlignment="1">
      <x:alignment wrapText="1"/>
    </x:xf>
    <x:xf numFmtId="0" fontId="7" fillId="6" borderId="36" xfId="0" applyNumberFormat="1" applyFont="1" applyFill="1" applyBorder="1"/>
    <x:xf numFmtId="0" fontId="4" fillId="13" borderId="36" xfId="0" applyNumberFormat="1" applyFont="1" applyFill="1" applyBorder="1" applyAlignment="1">
      <x:alignment wrapText="1"/>
    </x:xf>
    <x:xf numFmtId="0" fontId="6" fillId="11" borderId="37" xfId="0" applyNumberFormat="1" applyFont="1" applyFill="1" applyBorder="1"/>
    <x:xf numFmtId="0" fontId="6" fillId="11" borderId="38" xfId="0" applyNumberFormat="1" applyFont="1" applyFill="1" applyBorder="1"/>
    <x:xf numFmtId="0" fontId="6" fillId="11" borderId="39" xfId="0" applyNumberFormat="1" applyFont="1" applyFill="1" applyBorder="1"/>
    <x:xf numFmtId="0" fontId="7" fillId="6" borderId="40" xfId="0" applyNumberFormat="1" applyFont="1" applyFill="1" applyBorder="1"/>
    <x:xf numFmtId="0" fontId="7" fillId="6" borderId="41"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4" fillId="13" borderId="40" xfId="0" applyNumberFormat="1" applyFont="1" applyFill="1" applyBorder="1" applyAlignment="1">
      <x:alignment wrapText="1"/>
    </x:xf>
    <x:xf numFmtId="0" fontId="4" fillId="13" borderId="41"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3" fillId="4" borderId="36" xfId="0" applyNumberFormat="1" applyFont="1" applyFill="1" applyBorder="1" applyAlignment="1">
      <x:alignment vertical="top"/>
    </x:xf>
    <x:xf numFmtId="0" fontId="5" fillId="0" borderId="45" xfId="0" applyNumberFormat="1" applyFont="1" applyFill="1" applyBorder="1" applyAlignment="1">
      <x:alignment vertical="top" wrapText="1"/>
    </x:xf>
    <x:xf numFmtId="0" fontId="5" fillId="0" borderId="45" xfId="0" applyNumberFormat="1" applyFont="1" applyFill="1" applyBorder="1" applyAlignment="1">
      <x:alignment horizontal="center" vertical="top" wrapText="1"/>
    </x:xf>
    <x:xf numFmtId="0" fontId="0" fillId="0" borderId="45" xfId="0" applyNumberFormat="1" applyFont="1" applyFill="1" applyBorder="1" applyAlignment="1">
      <x:alignment vertical="top" wrapText="1"/>
    </x:xf>
    <x:xf numFmtId="0" fontId="0" fillId="5" borderId="45" xfId="0" applyNumberFormat="1" applyFont="1" applyFill="1" applyBorder="1" applyAlignment="1">
      <x:alignment vertical="top" wrapText="1"/>
    </x:xf>
    <x:xf numFmtId="0" fontId="0" fillId="6" borderId="45" xfId="0" applyNumberFormat="1" applyFont="1" applyFill="1" applyBorder="1" applyAlignment="1">
      <x:alignment vertical="center" wrapText="1"/>
    </x:xf>
    <x:xf numFmtId="0" fontId="3" fillId="4" borderId="45" xfId="0" applyNumberFormat="1" applyFont="1" applyFill="1" applyBorder="1" applyAlignment="1">
      <x:alignment vertical="center"/>
    </x:xf>
    <x:xf numFmtId="0" fontId="0" fillId="6" borderId="45" xfId="0" applyNumberFormat="1" applyFont="1" applyFill="1" applyBorder="1" applyAlignment="1">
      <x:alignment horizontal="center" vertical="center" wrapText="1"/>
    </x:xf>
    <x:xf numFmtId="0" fontId="0" fillId="0" borderId="36" xfId="0" applyNumberFormat="1" applyFont="1" applyFill="1" applyBorder="1" applyAlignment="1">
      <x:alignment horizontal="center" vertical="top" wrapText="1"/>
    </x:xf>
    <x:xf numFmtId="0" fontId="3" fillId="4" borderId="45" xfId="0" applyNumberFormat="1" applyFont="1" applyFill="1" applyBorder="1" applyAlignment="1">
      <x:alignment vertical="center" wrapText="1"/>
    </x:xf>
    <x:xf numFmtId="0" fontId="0" fillId="0" borderId="45" xfId="0" applyNumberFormat="1" applyFont="1" applyFill="1" applyBorder="1" applyAlignment="1">
      <x:alignment horizontal="center" vertical="top" wrapText="1"/>
    </x:xf>
    <x:xf numFmtId="0" fontId="3" fillId="0" borderId="36" xfId="0" applyNumberFormat="1" applyFont="1" applyFill="1" applyBorder="1" applyAlignment="1">
      <x:alignment vertical="center"/>
    </x:xf>
    <x:xf numFmtId="164" fontId="0" fillId="5" borderId="45" xfId="0" applyNumberFormat="1" applyFont="1" applyFill="1" applyBorder="1" applyAlignment="1">
      <x:alignment vertical="top" wrapText="1"/>
    </x:xf>
    <x:xf numFmtId="0" fontId="0" fillId="0" borderId="36" xfId="0" applyNumberFormat="1" applyFont="1" applyFill="1" applyBorder="1" applyAlignment="1">
      <x:alignment vertical="top"/>
    </x:xf>
    <x:xf numFmtId="0" fontId="0" fillId="6" borderId="45" xfId="0" applyNumberFormat="1" applyFont="1" applyFill="1" applyBorder="1" applyAlignment="1">
      <x:alignment vertical="top" wrapText="1"/>
    </x:xf>
    <x:xf numFmtId="0" fontId="0" fillId="5" borderId="45" xfId="0" applyNumberFormat="1" applyFont="1" applyFill="1" applyBorder="1" applyAlignment="1">
      <x:alignment horizontal="left" vertical="top" wrapText="1"/>
    </x:xf>
    <x:xf numFmtId="0" fontId="3" fillId="4" borderId="45" xfId="0" applyNumberFormat="1" applyFont="1" applyFill="1" applyBorder="1" applyAlignment="1">
      <x:alignment vertical="top" wrapText="1"/>
    </x:xf>
    <x:xf numFmtId="0" fontId="3" fillId="4" borderId="45" xfId="0" applyNumberFormat="1" applyFont="1" applyFill="1" applyBorder="1" applyAlignment="1">
      <x:alignment horizontal="left" vertical="top" wrapText="1"/>
    </x:xf>
    <x:xf numFmtId="0" fontId="0" fillId="0" borderId="36" xfId="0" applyNumberFormat="1" applyFont="1" applyFill="1" applyBorder="1" applyAlignment="1">
      <x:alignment horizontal="center"/>
    </x:xf>
    <x:xf numFmtId="0" fontId="3" fillId="0" borderId="45" xfId="0" applyNumberFormat="1" applyFont="1" applyFill="1" applyBorder="1" applyAlignment="1">
      <x:alignment horizontal="center" vertical="center"/>
    </x:xf>
    <x:xf numFmtId="164" fontId="0" fillId="0" borderId="45" xfId="0" applyNumberFormat="1" applyFont="1" applyFill="1" applyBorder="1" applyAlignment="1">
      <x:alignment horizontal="center" vertical="top" wrapText="1"/>
    </x:xf>
    <x:xf numFmtId="0" fontId="3" fillId="0" borderId="45" xfId="0" applyNumberFormat="1" applyFont="1" applyFill="1" applyBorder="1" applyAlignment="1">
      <x:alignment vertical="center"/>
    </x:xf>
    <x:xf numFmtId="164" fontId="0" fillId="0" borderId="45" xfId="0" applyNumberFormat="1" applyFont="1" applyFill="1" applyBorder="1" applyAlignment="1">
      <x:alignment vertical="top" wrapText="1"/>
    </x:xf>
    <x:xf numFmtId="0" fontId="8" fillId="6" borderId="36" xfId="0" applyNumberFormat="1" applyFont="1" applyFill="1" applyBorder="1" applyAlignment="1">
      <x:alignment vertical="top" wrapText="1"/>
    </x:xf>
    <x:xf numFmtId="0" fontId="0" fillId="6" borderId="46" xfId="0" applyNumberFormat="1" applyFont="1" applyFill="1" applyBorder="1" applyAlignment="1">
      <x:alignment horizontal="center" vertical="center" wrapText="1"/>
    </x:xf>
    <x:xf numFmtId="0" fontId="0" fillId="6" borderId="47" xfId="0" applyNumberFormat="1" applyFont="1" applyFill="1" applyBorder="1" applyAlignment="1">
      <x:alignment horizontal="center" vertical="center" wrapText="1"/>
    </x:xf>
    <x:xf numFmtId="0" fontId="0" fillId="15" borderId="45" xfId="0" applyNumberFormat="1" applyFont="1" applyFill="1" applyBorder="1" applyAlignment="1">
      <x:alignment horizontal="center" vertical="center" wrapText="1"/>
    </x:xf>
    <x:xf numFmtId="2" fontId="0" fillId="6" borderId="46" xfId="0" applyNumberFormat="1" applyFont="1" applyFill="1" applyBorder="1" applyAlignment="1">
      <x:alignment horizontal="center" vertical="center" wrapText="1"/>
    </x:xf>
    <x:xf numFmtId="2" fontId="0" fillId="6" borderId="47" xfId="0" applyNumberFormat="1" applyFont="1" applyFill="1" applyBorder="1" applyAlignment="1">
      <x:alignment horizontal="center" vertical="center" wrapText="1"/>
    </x:xf>
    <x:xf numFmtId="2" fontId="0" fillId="15" borderId="46" xfId="0" applyNumberFormat="1" applyFont="1" applyFill="1" applyBorder="1" applyAlignment="1">
      <x:alignment horizontal="center" vertical="center" wrapText="1"/>
    </x:xf>
    <x:xf numFmtId="2" fontId="0" fillId="15" borderId="47" xfId="0" applyNumberFormat="1" applyFont="1" applyFill="1" applyBorder="1" applyAlignment="1">
      <x:alignment horizontal="center" vertical="center" wrapText="1"/>
    </x:xf>
    <x:xf numFmtId="0" fontId="0" fillId="5" borderId="36"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center" wrapText="1"/>
    </x:xf>
    <x:xf numFmtId="0" fontId="3" fillId="4" borderId="48" xfId="0" applyNumberFormat="1" applyFont="1" applyFill="1" applyBorder="1" applyAlignment="1">
      <x:alignment horizontal="center" vertical="center" wrapText="1"/>
    </x:xf>
    <x:xf numFmtId="0" fontId="3" fillId="4" borderId="49" xfId="0" applyNumberFormat="1" applyFont="1" applyFill="1" applyBorder="1" applyAlignment="1">
      <x:alignment horizontal="center" vertical="center" wrapText="1"/>
    </x:xf>
    <x:xf numFmtId="0" fontId="2" fillId="3" borderId="36" xfId="0" applyNumberFormat="1" applyFont="1" applyFill="1" applyBorder="1" applyAlignment="1">
      <x:alignment horizontal="center" vertical="center" wrapText="1"/>
    </x:xf>
    <x:xf numFmtId="0" fontId="1" fillId="2" borderId="36" xfId="0" applyNumberFormat="1" applyFont="1" applyFill="1" applyBorder="1" applyAlignment="1">
      <x:alignment horizontal="center" vertical="center"/>
    </x:xf>
    <x:xf numFmtId="0" fontId="5" fillId="0" borderId="36" xfId="0" applyNumberFormat="1" applyFont="1" applyFill="1" applyBorder="1" applyAlignment="1">
      <x:alignment horizontal="center" vertical="top" wrapText="1"/>
    </x:xf>
    <x:xf numFmtId="0" fontId="0" fillId="0" borderId="50" xfId="0" applyNumberFormat="1" applyFont="1" applyFill="1" applyBorder="1"/>
    <x:xf numFmtId="0" fontId="0" fillId="5" borderId="45" xfId="0" applyNumberFormat="1" applyFont="1" applyFill="1" applyBorder="1" applyAlignment="1">
      <x:alignment horizontal="center" vertical="top" wrapText="1"/>
    </x:xf>
    <x:xf numFmtId="0" fontId="3" fillId="4" borderId="45" xfId="0" applyNumberFormat="1" applyFont="1" applyFill="1" applyBorder="1" applyAlignment="1">
      <x:alignment horizontal="center" vertical="center"/>
    </x:xf>
    <x:xf numFmtId="0" fontId="3" fillId="4" borderId="48" xfId="0" applyNumberFormat="1" applyFont="1" applyFill="1" applyBorder="1" applyAlignment="1">
      <x:alignment horizontal="center" vertical="center"/>
    </x:xf>
    <x:xf numFmtId="0" fontId="3" fillId="4" borderId="51" xfId="0" applyNumberFormat="1" applyFont="1" applyFill="1" applyBorder="1" applyAlignment="1">
      <x:alignment horizontal="center" vertical="center"/>
    </x:xf>
    <x:xf numFmtId="0" fontId="3" fillId="4" borderId="49" xfId="0" applyNumberFormat="1" applyFont="1" applyFill="1" applyBorder="1" applyAlignment="1">
      <x:alignment horizontal="center" vertical="center"/>
    </x:xf>
    <x:xf numFmtId="2" fontId="0" fillId="6" borderId="45" xfId="0" applyNumberFormat="1" applyFont="1" applyFill="1" applyBorder="1" applyAlignment="1">
      <x:alignment horizontal="center" vertical="center" wrapText="1"/>
    </x:xf>
    <x:xf numFmtId="0" fontId="3" fillId="4" borderId="45" xfId="0" applyNumberFormat="1" applyFont="1" applyFill="1" applyBorder="1" applyAlignment="1">
      <x:alignment vertical="top"/>
    </x:xf>
    <x:xf numFmtId="2" fontId="0" fillId="6" borderId="45" xfId="0" applyNumberFormat="1" applyFont="1" applyFill="1" applyBorder="1" applyAlignment="1">
      <x:alignment vertical="top" wrapText="1"/>
    </x:xf>
    <x:xf numFmtId="164" fontId="0" fillId="5" borderId="45" xfId="0" applyNumberFormat="1" applyFont="1" applyFill="1" applyBorder="1" applyAlignment="1">
      <x:alignment horizontal="left" vertical="top" wrapText="1"/>
    </x:xf>
    <x:xf numFmtId="0" fontId="3" fillId="4" borderId="48" xfId="0" applyNumberFormat="1" applyFont="1" applyFill="1" applyBorder="1" applyAlignment="1">
      <x:alignment horizontal="center" vertical="top"/>
    </x:xf>
    <x:xf numFmtId="0" fontId="3" fillId="4" borderId="51" xfId="0" applyNumberFormat="1" applyFont="1" applyFill="1" applyBorder="1" applyAlignment="1">
      <x:alignment horizontal="center" vertical="top"/>
    </x:xf>
    <x:xf numFmtId="0" fontId="3" fillId="4" borderId="49" xfId="0" applyNumberFormat="1" applyFont="1" applyFill="1" applyBorder="1" applyAlignment="1">
      <x:alignment horizontal="center" vertical="top"/>
    </x:xf>
    <x:xf numFmtId="0" fontId="3" fillId="0" borderId="45" xfId="0" applyNumberFormat="1" applyFont="1" applyFill="1" applyBorder="1" applyAlignment="1">
      <x:alignment vertical="top"/>
    </x:xf>
    <x:xf numFmtId="0" fontId="3" fillId="0" borderId="45" xfId="0" applyNumberFormat="1" applyFont="1" applyFill="1" applyBorder="1" applyAlignment="1">
      <x:alignment horizontal="left" vertical="top" wrapText="1"/>
    </x:xf>
    <x:xf numFmtId="0" fontId="0" fillId="16" borderId="0" xfId="0" applyNumberFormat="1" applyFont="1" applyFill="1" applyBorder="1"/>
    <x:xf numFmtId="0" fontId="0" fillId="16" borderId="36" xfId="0" applyNumberFormat="1" applyFont="1" applyFill="1" applyBorder="1"/>
    <x:xf numFmtId="0" fontId="8" fillId="16" borderId="0" xfId="0" applyNumberFormat="1" applyFont="1" applyFill="1" applyBorder="1"/>
    <x:xf numFmtId="0" fontId="8" fillId="16" borderId="36" xfId="0" applyNumberFormat="1" applyFont="1" applyFill="1" applyBorder="1"/>
    <x:xf numFmtId="0" fontId="0" fillId="17" borderId="0" xfId="0" applyNumberFormat="1" applyFont="1" applyFill="1" applyBorder="1"/>
    <x:xf numFmtId="0" fontId="0" fillId="17" borderId="36" xfId="0" applyNumberFormat="1" applyFont="1" applyFill="1" applyBorder="1"/>
    <x:xf numFmtId="0" fontId="8" fillId="17" borderId="0" xfId="0" applyNumberFormat="1" applyFont="1" applyFill="1" applyBorder="1"/>
    <x:xf numFmtId="0" fontId="8" fillId="17" borderId="36" xfId="0" applyNumberFormat="1" applyFont="1" applyFill="1" applyBorder="1"/>
    <x:xf numFmtId="0" fontId="0" fillId="18" borderId="0" xfId="0" applyNumberFormat="1" applyFont="1" applyFill="1" applyBorder="1"/>
    <x:xf numFmtId="0" fontId="0" fillId="18" borderId="36" xfId="0" applyNumberFormat="1" applyFont="1" applyFill="1" applyBorder="1"/>
    <x:xf numFmtId="0" fontId="8" fillId="18" borderId="0" xfId="0" applyNumberFormat="1" applyFont="1" applyFill="1" applyBorder="1"/>
    <x:xf numFmtId="0" fontId="8" fillId="18" borderId="36" xfId="0" applyNumberFormat="1" applyFont="1" applyFill="1" applyBorder="1"/>
    <x:xf numFmtId="0" fontId="0" fillId="19" borderId="0" xfId="0" applyNumberFormat="1" applyFont="1" applyFill="1" applyBorder="1"/>
    <x:xf numFmtId="0" fontId="0" fillId="19" borderId="36" xfId="0" applyNumberFormat="1" applyFont="1" applyFill="1" applyBorder="1"/>
    <x:xf numFmtId="0" fontId="8" fillId="19" borderId="0" xfId="0" applyNumberFormat="1" applyFont="1" applyFill="1" applyBorder="1"/>
    <x:xf numFmtId="0" fontId="8" fillId="19" borderId="36" xfId="0" applyNumberFormat="1" applyFont="1" applyFill="1" applyBorder="1"/>
    <x:xf numFmtId="0" fontId="0" fillId="20" borderId="0" xfId="0" applyNumberFormat="1" applyFont="1" applyFill="1" applyBorder="1" applyAlignment="1">
      <x:alignment horizontal="center" vertical="top" wrapText="1"/>
    </x:xf>
    <x:xf numFmtId="0" fontId="0" fillId="20" borderId="36" xfId="0" applyNumberFormat="1" applyFont="1" applyFill="1" applyBorder="1" applyAlignment="1">
      <x:alignment horizontal="center" vertical="top" wrapText="1"/>
    </x:xf>
    <x:xf numFmtId="0" fontId="0" fillId="20" borderId="0" xfId="0" applyNumberFormat="1" applyFont="1" applyFill="1" applyBorder="1" applyAlignment="1">
      <x:alignment vertical="top" wrapText="1"/>
    </x:xf>
    <x:xf numFmtId="0" fontId="0" fillId="20" borderId="36" xfId="0" applyNumberFormat="1" applyFont="1" applyFill="1" applyBorder="1" applyAlignment="1">
      <x:alignment vertical="top" wrapText="1"/>
    </x:xf>
    <x:xf numFmtId="0" fontId="0" fillId="16" borderId="0" xfId="0" applyNumberFormat="1" applyFont="1" applyFill="1" applyBorder="1" applyAlignment="1">
      <x:alignment horizontal="center" vertical="top" wrapText="1"/>
    </x:xf>
    <x:xf numFmtId="0" fontId="0" fillId="16" borderId="36" xfId="0" applyNumberFormat="1" applyFont="1" applyFill="1" applyBorder="1" applyAlignment="1">
      <x:alignment horizontal="center" vertical="top" wrapText="1"/>
    </x:xf>
    <x:xf numFmtId="0" fontId="0" fillId="16" borderId="0" xfId="0" applyNumberFormat="1" applyFont="1" applyFill="1" applyBorder="1" applyAlignment="1">
      <x:alignment vertical="top" wrapText="1"/>
    </x:xf>
    <x:xf numFmtId="0" fontId="0" fillId="16" borderId="36" xfId="0" applyNumberFormat="1" applyFont="1" applyFill="1" applyBorder="1" applyAlignment="1">
      <x:alignment vertical="top" wrapText="1"/>
    </x:xf>
    <x:xf numFmtId="0" fontId="0" fillId="17" borderId="29" xfId="0" applyNumberFormat="1" applyFont="1" applyFill="1" applyBorder="1" applyAlignment="1">
      <x:alignment vertical="top" wrapText="1"/>
    </x:xf>
    <x:xf numFmtId="0" fontId="0" fillId="17" borderId="45" xfId="0" applyNumberFormat="1" applyFont="1" applyFill="1" applyBorder="1" applyAlignment="1">
      <x:alignment vertical="top" wrapText="1"/>
    </x:xf>
    <x:xf numFmtId="0" fontId="0" fillId="20" borderId="29" xfId="0" applyNumberFormat="1" applyFont="1" applyFill="1" applyBorder="1" applyAlignment="1">
      <x:alignment vertical="top" wrapText="1"/>
    </x:xf>
    <x:xf numFmtId="0" fontId="0" fillId="20" borderId="45" xfId="0" applyNumberFormat="1" applyFont="1" applyFill="1" applyBorder="1" applyAlignment="1">
      <x:alignment vertical="top" wrapText="1"/>
    </x:xf>
    <x:xf numFmtId="0" fontId="0" fillId="16" borderId="29" xfId="0" applyNumberFormat="1" applyFont="1" applyFill="1" applyBorder="1" applyAlignment="1">
      <x:alignment vertical="top" wrapText="1"/>
    </x:xf>
    <x:xf numFmtId="0" fontId="0" fillId="16" borderId="45" xfId="0" applyNumberFormat="1" applyFont="1" applyFill="1" applyBorder="1" applyAlignment="1">
      <x:alignment vertical="top" wrapText="1"/>
    </x:xf>
    <x:xf numFmtId="0" fontId="0" fillId="17" borderId="29" xfId="0" applyNumberFormat="1" applyFont="1" applyFill="1" applyBorder="1" applyAlignment="1">
      <x:alignment vertical="center" wrapText="1"/>
    </x:xf>
    <x:xf numFmtId="0" fontId="0" fillId="17" borderId="45" xfId="0" applyNumberFormat="1" applyFont="1" applyFill="1" applyBorder="1" applyAlignment="1">
      <x:alignment vertical="center" wrapText="1"/>
    </x:xf>
    <x:xf numFmtId="0" fontId="0" fillId="18" borderId="29" xfId="0" applyNumberFormat="1" applyFont="1" applyFill="1" applyBorder="1" applyAlignment="1">
      <x:alignment vertical="top" wrapText="1"/>
    </x:xf>
    <x:xf numFmtId="0" fontId="0" fillId="18" borderId="45" xfId="0" applyNumberFormat="1" applyFont="1" applyFill="1" applyBorder="1" applyAlignment="1">
      <x:alignment vertical="top" wrapText="1"/>
    </x:xf>
    <x:xf numFmtId="0" fontId="0" fillId="19" borderId="29" xfId="0" applyNumberFormat="1" applyFont="1" applyFill="1" applyBorder="1" applyAlignment="1">
      <x:alignment vertical="top" wrapText="1"/>
    </x:xf>
    <x:xf numFmtId="0" fontId="0" fillId="19" borderId="45" xfId="0" applyNumberFormat="1" applyFont="1" applyFill="1" applyBorder="1" applyAlignment="1">
      <x:alignment vertical="top" wrapText="1"/>
    </x:xf>
    <x:xf numFmtId="0" fontId="0" fillId="19" borderId="29" xfId="0" applyNumberFormat="1" applyFont="1" applyFill="1" applyBorder="1" applyAlignment="1">
      <x:alignment vertical="center" wrapText="1"/>
    </x:xf>
    <x:xf numFmtId="0" fontId="0" fillId="19" borderId="45" xfId="0" applyNumberFormat="1" applyFont="1" applyFill="1" applyBorder="1" applyAlignment="1">
      <x:alignment vertical="center" wrapText="1"/>
    </x:xf>
    <x:xf numFmtId="0" fontId="4" fillId="3" borderId="21" xfId="0" applyNumberFormat="1" applyFont="1" applyFill="1" applyBorder="1" applyAlignment="1">
      <x:alignment horizontal="center" vertical="center" wrapText="1"/>
    </x:xf>
    <x:xf numFmtId="0" fontId="4" fillId="3" borderId="22" xfId="0" applyNumberFormat="1" applyFont="1" applyFill="1" applyBorder="1" applyAlignment="1">
      <x:alignment horizontal="center" vertical="center" wrapText="1"/>
    </x:xf>
    <x:xf numFmtId="0" fontId="4" fillId="3" borderId="23" xfId="0" applyNumberFormat="1" applyFont="1" applyFill="1" applyBorder="1" applyAlignment="1">
      <x:alignment horizontal="center" vertical="center" wrapText="1"/>
    </x:xf>
    <x:xf numFmtId="0" fontId="5" fillId="0" borderId="52" xfId="0" applyNumberFormat="1" applyFont="1" applyFill="1" applyBorder="1" applyAlignment="1">
      <x:alignment vertical="top" wrapText="1"/>
    </x:xf>
    <x:xf numFmtId="0" fontId="5" fillId="0" borderId="29" xfId="0" applyNumberFormat="1" applyFont="1" applyFill="1" applyBorder="1" applyAlignment="1">
      <x:alignment horizontal="center" vertical="top" wrapText="1"/>
    </x:xf>
    <x:xf numFmtId="0" fontId="0" fillId="0" borderId="29" xfId="0" applyNumberFormat="1" applyFont="1" applyFill="1" applyBorder="1" applyAlignment="1">
      <x:alignment vertical="top" wrapText="1"/>
    </x:xf>
    <x:xf numFmtId="0" fontId="0" fillId="16" borderId="53" xfId="0" applyNumberFormat="1" applyFont="1" applyFill="1" applyBorder="1" applyAlignment="1">
      <x:alignment vertical="top" wrapText="1"/>
    </x:xf>
    <x:xf numFmtId="0" fontId="5" fillId="0" borderId="54" xfId="0" applyNumberFormat="1" applyFont="1" applyFill="1" applyBorder="1" applyAlignment="1">
      <x:alignment vertical="top" wrapText="1"/>
    </x:xf>
    <x:xf numFmtId="0" fontId="5" fillId="0" borderId="55" xfId="0" applyNumberFormat="1" applyFont="1" applyFill="1" applyBorder="1" applyAlignment="1">
      <x:alignment horizontal="center" vertical="top" wrapText="1"/>
    </x:xf>
    <x:xf numFmtId="0" fontId="0" fillId="0" borderId="55" xfId="0" applyNumberFormat="1" applyFont="1" applyFill="1" applyBorder="1" applyAlignment="1">
      <x:alignment vertical="top" wrapText="1"/>
    </x:xf>
    <x:xf numFmtId="0" fontId="0" fillId="17" borderId="55" xfId="0" applyNumberFormat="1" applyFont="1" applyFill="1" applyBorder="1" applyAlignment="1">
      <x:alignment vertical="top" wrapText="1"/>
    </x:xf>
    <x:xf numFmtId="0" fontId="0" fillId="20" borderId="55" xfId="0" applyNumberFormat="1" applyFont="1" applyFill="1" applyBorder="1" applyAlignment="1">
      <x:alignment vertical="top" wrapText="1"/>
    </x:xf>
    <x:xf numFmtId="0" fontId="0" fillId="18" borderId="55" xfId="0" applyNumberFormat="1" applyFont="1" applyFill="1" applyBorder="1" applyAlignment="1">
      <x:alignment vertical="top" wrapText="1"/>
    </x:xf>
    <x:xf numFmtId="0" fontId="0" fillId="16" borderId="55" xfId="0" applyNumberFormat="1" applyFont="1" applyFill="1" applyBorder="1" applyAlignment="1">
      <x:alignment vertical="top" wrapText="1"/>
    </x:xf>
    <x:xf numFmtId="0" fontId="0" fillId="17" borderId="55" xfId="0" applyNumberFormat="1" applyFont="1" applyFill="1" applyBorder="1" applyAlignment="1">
      <x:alignment vertical="center" wrapText="1"/>
    </x:xf>
    <x:xf numFmtId="0" fontId="0" fillId="16" borderId="56" xfId="0" applyNumberFormat="1" applyFont="1" applyFill="1" applyBorder="1" applyAlignment="1">
      <x:alignment vertical="top" wrapText="1"/>
    </x:xf>
    <x:xf numFmtId="0" fontId="4" fillId="3" borderId="37" xfId="0" applyNumberFormat="1" applyFont="1" applyFill="1" applyBorder="1" applyAlignment="1">
      <x:alignment horizontal="center" vertical="center" wrapText="1"/>
    </x:xf>
    <x:xf numFmtId="0" fontId="4" fillId="3" borderId="38" xfId="0" applyNumberFormat="1" applyFont="1" applyFill="1" applyBorder="1" applyAlignment="1">
      <x:alignment horizontal="center" vertical="center" wrapText="1"/>
    </x:xf>
    <x:xf numFmtId="0" fontId="4" fillId="3" borderId="39" xfId="0" applyNumberFormat="1" applyFont="1" applyFill="1" applyBorder="1" applyAlignment="1">
      <x:alignment horizontal="center" vertical="center" wrapText="1"/>
    </x:xf>
    <x:xf numFmtId="0" fontId="5" fillId="0" borderId="57" xfId="0" applyNumberFormat="1" applyFont="1" applyFill="1" applyBorder="1" applyAlignment="1">
      <x:alignment vertical="top" wrapText="1"/>
    </x:xf>
    <x:xf numFmtId="0" fontId="0" fillId="16" borderId="58" xfId="0" applyNumberFormat="1" applyFont="1" applyFill="1" applyBorder="1" applyAlignment="1">
      <x:alignment vertical="top" wrapText="1"/>
    </x:xf>
    <x:xf numFmtId="0" fontId="5" fillId="0" borderId="59" xfId="0" applyNumberFormat="1" applyFont="1" applyFill="1" applyBorder="1" applyAlignment="1">
      <x:alignment vertical="top" wrapText="1"/>
    </x:xf>
    <x:xf numFmtId="0" fontId="5" fillId="0" borderId="60" xfId="0" applyNumberFormat="1" applyFont="1" applyFill="1" applyBorder="1" applyAlignment="1">
      <x:alignment horizontal="center" vertical="top" wrapText="1"/>
    </x:xf>
    <x:xf numFmtId="0" fontId="0" fillId="0" borderId="60" xfId="0" applyNumberFormat="1" applyFont="1" applyFill="1" applyBorder="1" applyAlignment="1">
      <x:alignment vertical="top" wrapText="1"/>
    </x:xf>
    <x:xf numFmtId="0" fontId="0" fillId="17" borderId="60" xfId="0" applyNumberFormat="1" applyFont="1" applyFill="1" applyBorder="1" applyAlignment="1">
      <x:alignment vertical="top" wrapText="1"/>
    </x:xf>
    <x:xf numFmtId="0" fontId="0" fillId="20" borderId="60" xfId="0" applyNumberFormat="1" applyFont="1" applyFill="1" applyBorder="1" applyAlignment="1">
      <x:alignment vertical="top" wrapText="1"/>
    </x:xf>
    <x:xf numFmtId="0" fontId="0" fillId="18" borderId="60" xfId="0" applyNumberFormat="1" applyFont="1" applyFill="1" applyBorder="1" applyAlignment="1">
      <x:alignment vertical="top" wrapText="1"/>
    </x:xf>
    <x:xf numFmtId="0" fontId="0" fillId="16" borderId="60" xfId="0" applyNumberFormat="1" applyFont="1" applyFill="1" applyBorder="1" applyAlignment="1">
      <x:alignment vertical="top" wrapText="1"/>
    </x:xf>
    <x:xf numFmtId="0" fontId="0" fillId="17" borderId="60" xfId="0" applyNumberFormat="1" applyFont="1" applyFill="1" applyBorder="1" applyAlignment="1">
      <x:alignment vertical="center" wrapText="1"/>
    </x:xf>
    <x:xf numFmtId="0" fontId="0" fillId="16" borderId="61" xfId="0" applyNumberFormat="1" applyFont="1" applyFill="1" applyBorder="1" applyAlignment="1">
      <x:alignment vertical="top" wrapText="1"/>
    </x:xf>
    <x:xf numFmtId="0" fontId="0" fillId="18" borderId="29" xfId="0" applyNumberFormat="1" applyFont="1" applyFill="1" applyBorder="1" applyAlignment="1">
      <x:alignment horizontal="center" vertical="top" wrapText="1"/>
    </x:xf>
    <x:xf numFmtId="0" fontId="0" fillId="20" borderId="29" xfId="0" applyNumberFormat="1" applyFont="1" applyFill="1" applyBorder="1" applyAlignment="1">
      <x:alignment horizontal="center" vertical="top" wrapText="1"/>
    </x:xf>
    <x:xf numFmtId="0" fontId="0" fillId="16" borderId="29" xfId="0" applyNumberFormat="1" applyFont="1" applyFill="1" applyBorder="1" applyAlignment="1">
      <x:alignment horizontal="center" vertical="top" wrapText="1"/>
    </x:xf>
    <x:xf numFmtId="0" fontId="0" fillId="17" borderId="29" xfId="0" applyNumberFormat="1" applyFont="1" applyFill="1" applyBorder="1" applyAlignment="1">
      <x:alignment horizontal="center" vertical="top" wrapText="1"/>
    </x:xf>
    <x:xf numFmtId="0" fontId="0" fillId="19" borderId="29" xfId="0" applyNumberFormat="1" applyFont="1" applyFill="1" applyBorder="1" applyAlignment="1">
      <x:alignment horizontal="center" vertical="top" wrapText="1"/>
    </x:xf>
    <x:xf numFmtId="0" fontId="0" fillId="18" borderId="55" xfId="0" applyNumberFormat="1" applyFont="1" applyFill="1" applyBorder="1" applyAlignment="1">
      <x:alignment horizontal="center" vertical="top" wrapText="1"/>
    </x:xf>
    <x:xf numFmtId="0" fontId="0" fillId="20" borderId="55" xfId="0" applyNumberFormat="1" applyFont="1" applyFill="1" applyBorder="1" applyAlignment="1">
      <x:alignment horizontal="center" vertical="top" wrapText="1"/>
    </x:xf>
    <x:xf numFmtId="0" fontId="0" fillId="16" borderId="55" xfId="0" applyNumberFormat="1" applyFont="1" applyFill="1" applyBorder="1" applyAlignment="1">
      <x:alignment horizontal="center" vertical="top" wrapText="1"/>
    </x:xf>
    <x:xf numFmtId="0" fontId="0" fillId="17" borderId="55" xfId="0" applyNumberFormat="1" applyFont="1" applyFill="1" applyBorder="1" applyAlignment="1">
      <x:alignment horizontal="center" vertical="top" wrapText="1"/>
    </x:xf>
    <x:xf numFmtId="0" fontId="0" fillId="18" borderId="45" xfId="0" applyNumberFormat="1" applyFont="1" applyFill="1" applyBorder="1" applyAlignment="1">
      <x:alignment horizontal="center" vertical="top" wrapText="1"/>
    </x:xf>
    <x:xf numFmtId="0" fontId="0" fillId="20" borderId="45" xfId="0" applyNumberFormat="1" applyFont="1" applyFill="1" applyBorder="1" applyAlignment="1">
      <x:alignment horizontal="center" vertical="top" wrapText="1"/>
    </x:xf>
    <x:xf numFmtId="0" fontId="0" fillId="16" borderId="45" xfId="0" applyNumberFormat="1" applyFont="1" applyFill="1" applyBorder="1" applyAlignment="1">
      <x:alignment horizontal="center" vertical="top" wrapText="1"/>
    </x:xf>
    <x:xf numFmtId="0" fontId="0" fillId="17" borderId="45" xfId="0" applyNumberFormat="1" applyFont="1" applyFill="1" applyBorder="1" applyAlignment="1">
      <x:alignment horizontal="center" vertical="top" wrapText="1"/>
    </x:xf>
    <x:xf numFmtId="0" fontId="0" fillId="19" borderId="45" xfId="0" applyNumberFormat="1" applyFont="1" applyFill="1" applyBorder="1" applyAlignment="1">
      <x:alignment horizontal="center" vertical="top" wrapText="1"/>
    </x:xf>
    <x:xf numFmtId="0" fontId="0" fillId="18" borderId="60" xfId="0" applyNumberFormat="1" applyFont="1" applyFill="1" applyBorder="1" applyAlignment="1">
      <x:alignment horizontal="center" vertical="top" wrapText="1"/>
    </x:xf>
    <x:xf numFmtId="0" fontId="0" fillId="20" borderId="60" xfId="0" applyNumberFormat="1" applyFont="1" applyFill="1" applyBorder="1" applyAlignment="1">
      <x:alignment horizontal="center" vertical="top" wrapText="1"/>
    </x:xf>
    <x:xf numFmtId="0" fontId="0" fillId="16" borderId="60" xfId="0" applyNumberFormat="1" applyFont="1" applyFill="1" applyBorder="1" applyAlignment="1">
      <x:alignment horizontal="center" vertical="top" wrapText="1"/>
    </x:xf>
    <x:xf numFmtId="0" fontId="0" fillId="17" borderId="60" xfId="0" applyNumberFormat="1" applyFont="1" applyFill="1" applyBorder="1" applyAlignment="1">
      <x:alignment horizontal="center" vertical="top" wrapText="1"/>
    </x:xf>
    <x:xf numFmtId="0" fontId="0" fillId="18" borderId="29" xfId="0" applyNumberFormat="1" applyFont="1" applyFill="1" applyBorder="1" applyAlignment="1">
      <x:alignment horizontal="center" vertical="center" wrapText="1"/>
    </x:xf>
    <x:xf numFmtId="0" fontId="0" fillId="20" borderId="29" xfId="0" applyNumberFormat="1" applyFont="1" applyFill="1" applyBorder="1" applyAlignment="1">
      <x:alignment horizontal="center" vertical="center" wrapText="1"/>
    </x:xf>
    <x:xf numFmtId="0" fontId="0" fillId="16" borderId="29" xfId="0" applyNumberFormat="1" applyFont="1" applyFill="1" applyBorder="1" applyAlignment="1">
      <x:alignment horizontal="center" vertical="center" wrapText="1"/>
    </x:xf>
    <x:xf numFmtId="0" fontId="0" fillId="17" borderId="29" xfId="0" applyNumberFormat="1" applyFont="1" applyFill="1" applyBorder="1" applyAlignment="1">
      <x:alignment horizontal="center" vertical="center" wrapText="1"/>
    </x:xf>
    <x:xf numFmtId="0" fontId="0" fillId="19" borderId="29" xfId="0" applyNumberFormat="1" applyFont="1" applyFill="1" applyBorder="1" applyAlignment="1">
      <x:alignment horizontal="center" vertical="center" wrapText="1"/>
    </x:xf>
    <x:xf numFmtId="0" fontId="0" fillId="18" borderId="55" xfId="0" applyNumberFormat="1" applyFont="1" applyFill="1" applyBorder="1" applyAlignment="1">
      <x:alignment horizontal="center" vertical="center" wrapText="1"/>
    </x:xf>
    <x:xf numFmtId="0" fontId="0" fillId="20" borderId="55" xfId="0" applyNumberFormat="1" applyFont="1" applyFill="1" applyBorder="1" applyAlignment="1">
      <x:alignment horizontal="center" vertical="center" wrapText="1"/>
    </x:xf>
    <x:xf numFmtId="0" fontId="0" fillId="16" borderId="55" xfId="0" applyNumberFormat="1" applyFont="1" applyFill="1" applyBorder="1" applyAlignment="1">
      <x:alignment horizontal="center" vertical="center" wrapText="1"/>
    </x:xf>
    <x:xf numFmtId="0" fontId="0" fillId="17" borderId="55" xfId="0" applyNumberFormat="1" applyFont="1" applyFill="1" applyBorder="1" applyAlignment="1">
      <x:alignment horizontal="center" vertical="center" wrapText="1"/>
    </x:xf>
    <x:xf numFmtId="0" fontId="0" fillId="18" borderId="45" xfId="0" applyNumberFormat="1" applyFont="1" applyFill="1" applyBorder="1" applyAlignment="1">
      <x:alignment horizontal="center" vertical="center" wrapText="1"/>
    </x:xf>
    <x:xf numFmtId="0" fontId="0" fillId="20" borderId="45" xfId="0" applyNumberFormat="1" applyFont="1" applyFill="1" applyBorder="1" applyAlignment="1">
      <x:alignment horizontal="center" vertical="center" wrapText="1"/>
    </x:xf>
    <x:xf numFmtId="0" fontId="0" fillId="16" borderId="45" xfId="0" applyNumberFormat="1" applyFont="1" applyFill="1" applyBorder="1" applyAlignment="1">
      <x:alignment horizontal="center" vertical="center" wrapText="1"/>
    </x:xf>
    <x:xf numFmtId="0" fontId="0" fillId="17" borderId="45" xfId="0" applyNumberFormat="1" applyFont="1" applyFill="1" applyBorder="1" applyAlignment="1">
      <x:alignment horizontal="center" vertical="center" wrapText="1"/>
    </x:xf>
    <x:xf numFmtId="0" fontId="0" fillId="19" borderId="45" xfId="0" applyNumberFormat="1" applyFont="1" applyFill="1" applyBorder="1" applyAlignment="1">
      <x:alignment horizontal="center" vertical="center" wrapText="1"/>
    </x:xf>
    <x:xf numFmtId="0" fontId="0" fillId="18" borderId="60" xfId="0" applyNumberFormat="1" applyFont="1" applyFill="1" applyBorder="1" applyAlignment="1">
      <x:alignment horizontal="center" vertical="center" wrapText="1"/>
    </x:xf>
    <x:xf numFmtId="0" fontId="0" fillId="20" borderId="60" xfId="0" applyNumberFormat="1" applyFont="1" applyFill="1" applyBorder="1" applyAlignment="1">
      <x:alignment horizontal="center" vertical="center" wrapText="1"/>
    </x:xf>
    <x:xf numFmtId="0" fontId="0" fillId="16" borderId="60" xfId="0" applyNumberFormat="1" applyFont="1" applyFill="1" applyBorder="1" applyAlignment="1">
      <x:alignment horizontal="center" vertical="center" wrapText="1"/>
    </x:xf>
    <x:xf numFmtId="0" fontId="0" fillId="17" borderId="60" xfId="0" applyNumberFormat="1" applyFont="1" applyFill="1" applyBorder="1" applyAlignment="1">
      <x:alignment horizontal="center" vertical="center" wrapText="1"/>
    </x:xf>
    <x:xf numFmtId="0" fontId="0" fillId="17" borderId="30" xfId="0" applyNumberFormat="1" applyFont="1" applyFill="1" applyBorder="1" applyAlignment="1">
      <x:alignment horizontal="center" vertical="center" wrapText="1"/>
    </x:xf>
    <x:xf numFmtId="2" fontId="0" fillId="17" borderId="30" xfId="0" applyNumberFormat="1" applyFont="1" applyFill="1" applyBorder="1" applyAlignment="1">
      <x:alignment horizontal="center" vertical="center" wrapText="1"/>
    </x:xf>
    <x:xf numFmtId="0" fontId="0" fillId="17" borderId="46" xfId="0" applyNumberFormat="1" applyFont="1" applyFill="1" applyBorder="1" applyAlignment="1">
      <x:alignment horizontal="center" vertical="center" wrapText="1"/>
    </x:xf>
    <x:xf numFmtId="2" fontId="0" fillId="17" borderId="46" xfId="0" applyNumberFormat="1" applyFont="1" applyFill="1" applyBorder="1" applyAlignment="1">
      <x:alignment horizontal="center" vertical="center" wrapText="1"/>
    </x:xf>
    <x:xf numFmtId="0" fontId="3" fillId="17" borderId="30" xfId="0" applyNumberFormat="1" applyFont="1" applyFill="1" applyBorder="1" applyAlignment="1">
      <x:alignment horizontal="center" vertical="center" wrapText="1"/>
    </x:xf>
    <x:xf numFmtId="2" fontId="3" fillId="17" borderId="30" xfId="0" applyNumberFormat="1" applyFont="1" applyFill="1" applyBorder="1" applyAlignment="1">
      <x:alignment horizontal="center" vertical="center" wrapText="1"/>
    </x:xf>
    <x:xf numFmtId="0" fontId="3" fillId="17" borderId="29" xfId="0" applyNumberFormat="1" applyFont="1" applyFill="1" applyBorder="1" applyAlignment="1">
      <x:alignment horizontal="center" vertical="center" wrapText="1"/>
    </x:xf>
    <x:xf numFmtId="0" fontId="3" fillId="17" borderId="46" xfId="0" applyNumberFormat="1" applyFont="1" applyFill="1" applyBorder="1" applyAlignment="1">
      <x:alignment horizontal="center" vertical="center" wrapText="1"/>
    </x:xf>
    <x:xf numFmtId="2" fontId="3" fillId="17" borderId="46" xfId="0" applyNumberFormat="1" applyFont="1" applyFill="1" applyBorder="1" applyAlignment="1">
      <x:alignment horizontal="center" vertical="center" wrapText="1"/>
    </x:xf>
    <x:xf numFmtId="0" fontId="3" fillId="17" borderId="45" xfId="0" applyNumberFormat="1" applyFont="1" applyFill="1" applyBorder="1" applyAlignment="1">
      <x:alignment horizontal="center" vertical="center" wrapText="1"/>
    </x:xf>
    <x:xf numFmtId="0" fontId="3" fillId="4" borderId="62" xfId="0" applyNumberFormat="1" applyFont="1" applyFill="1" applyBorder="1" applyAlignment="1">
      <x:alignment vertical="center"/>
    </x:xf>
    <x:xf numFmtId="0" fontId="3" fillId="17" borderId="63" xfId="0" applyNumberFormat="1" applyFont="1" applyFill="1" applyBorder="1" applyAlignment="1">
      <x:alignment horizontal="center" vertical="center" wrapText="1"/>
    </x:xf>
    <x:xf numFmtId="0" fontId="3" fillId="4" borderId="52" xfId="0" applyNumberFormat="1" applyFont="1" applyFill="1" applyBorder="1" applyAlignment="1">
      <x:alignment vertical="center"/>
    </x:xf>
    <x:xf numFmtId="0" fontId="3" fillId="17" borderId="53" xfId="0" applyNumberFormat="1" applyFont="1" applyFill="1" applyBorder="1" applyAlignment="1">
      <x:alignment horizontal="center" vertical="center" wrapText="1"/>
    </x:xf>
    <x:xf numFmtId="2" fontId="3" fillId="17" borderId="53" xfId="0" applyNumberFormat="1" applyFont="1" applyFill="1" applyBorder="1" applyAlignment="1">
      <x:alignment horizontal="center" vertical="center" wrapText="1"/>
    </x:xf>
    <x:xf numFmtId="0" fontId="3" fillId="4" borderId="54" xfId="0" applyNumberFormat="1" applyFont="1" applyFill="1" applyBorder="1" applyAlignment="1">
      <x:alignment vertical="center"/>
    </x:xf>
    <x:xf numFmtId="0" fontId="3" fillId="17" borderId="56" xfId="0" applyNumberFormat="1" applyFont="1" applyFill="1" applyBorder="1" applyAlignment="1">
      <x:alignment horizontal="center" vertical="center" wrapText="1"/>
    </x:xf>
    <x:xf numFmtId="0" fontId="3" fillId="4" borderId="64" xfId="0" applyNumberFormat="1" applyFont="1" applyFill="1" applyBorder="1" applyAlignment="1">
      <x:alignment vertical="center"/>
    </x:xf>
    <x:xf numFmtId="0" fontId="3" fillId="17" borderId="65" xfId="0" applyNumberFormat="1" applyFont="1" applyFill="1" applyBorder="1" applyAlignment="1">
      <x:alignment horizontal="center" vertical="center" wrapText="1"/>
    </x:xf>
    <x:xf numFmtId="0" fontId="3" fillId="4" borderId="57" xfId="0" applyNumberFormat="1" applyFont="1" applyFill="1" applyBorder="1" applyAlignment="1">
      <x:alignment vertical="center"/>
    </x:xf>
    <x:xf numFmtId="0" fontId="3" fillId="17" borderId="58" xfId="0" applyNumberFormat="1" applyFont="1" applyFill="1" applyBorder="1" applyAlignment="1">
      <x:alignment horizontal="center" vertical="center" wrapText="1"/>
    </x:xf>
    <x:xf numFmtId="2" fontId="3" fillId="17" borderId="58" xfId="0" applyNumberFormat="1" applyFont="1" applyFill="1" applyBorder="1" applyAlignment="1">
      <x:alignment horizontal="center" vertical="center" wrapText="1"/>
    </x:xf>
    <x:xf numFmtId="0" fontId="3" fillId="4" borderId="59" xfId="0" applyNumberFormat="1" applyFont="1" applyFill="1" applyBorder="1" applyAlignment="1">
      <x:alignment vertical="center"/>
    </x:xf>
    <x:xf numFmtId="0" fontId="3" fillId="17" borderId="61" xfId="0" applyNumberFormat="1" applyFont="1" applyFill="1" applyBorder="1" applyAlignment="1">
      <x:alignment horizontal="center" vertical="center" wrapText="1"/>
    </x:xf>
    <x:xf numFmtId="2" fontId="0" fillId="17" borderId="29" xfId="0" applyNumberFormat="1" applyFont="1" applyFill="1" applyBorder="1" applyAlignment="1">
      <x:alignment horizontal="center" vertical="center" wrapText="1"/>
    </x:xf>
    <x:xf numFmtId="2" fontId="0" fillId="17" borderId="45" xfId="0" applyNumberFormat="1" applyFont="1" applyFill="1" applyBorder="1" applyAlignment="1">
      <x:alignment horizontal="center" vertical="center" wrapText="1"/>
    </x:xf>
    <x:xf numFmtId="2" fontId="3" fillId="17" borderId="29" xfId="0" applyNumberFormat="1" applyFont="1" applyFill="1" applyBorder="1" applyAlignment="1">
      <x:alignment horizontal="center" vertical="center" wrapText="1"/>
    </x:xf>
    <x:xf numFmtId="2" fontId="3" fillId="17" borderId="45" xfId="0" applyNumberFormat="1" applyFont="1" applyFill="1" applyBorder="1" applyAlignment="1">
      <x:alignment horizontal="center" vertical="center" wrapText="1"/>
    </x:xf>
    <x:xf numFmtId="0" fontId="0" fillId="21" borderId="29" xfId="0" applyNumberFormat="1" applyFont="1" applyFill="1" applyBorder="1" applyAlignment="1">
      <x:alignment vertical="top" wrapText="1"/>
    </x:xf>
    <x:xf numFmtId="164" fontId="0" fillId="21" borderId="29" xfId="0" applyNumberFormat="1" applyFont="1" applyFill="1" applyBorder="1" applyAlignment="1">
      <x:alignment vertical="top" wrapText="1"/>
    </x:xf>
    <x:xf numFmtId="0" fontId="0" fillId="21" borderId="45" xfId="0" applyNumberFormat="1" applyFont="1" applyFill="1" applyBorder="1" applyAlignment="1">
      <x:alignment vertical="top" wrapText="1"/>
    </x:xf>
    <x:xf numFmtId="164" fontId="0" fillId="21" borderId="45" xfId="0" applyNumberFormat="1" applyFont="1" applyFill="1" applyBorder="1" applyAlignment="1">
      <x:alignment vertical="top" wrapText="1"/>
    </x:xf>
    <x:xf numFmtId="0" fontId="3" fillId="20" borderId="29" xfId="0" applyNumberFormat="1" applyFont="1" applyFill="1" applyBorder="1" applyAlignment="1">
      <x:alignment vertical="top" wrapText="1"/>
    </x:xf>
    <x:xf numFmtId="0" fontId="3" fillId="20" borderId="29" xfId="0" applyNumberFormat="1" applyFont="1" applyFill="1" applyBorder="1" applyAlignment="1">
      <x:alignment horizontal="left" vertical="top" wrapText="1"/>
    </x:xf>
    <x:xf numFmtId="0" fontId="0" fillId="20" borderId="29" xfId="0" applyNumberFormat="1" applyFont="1" applyFill="1" applyBorder="1" applyAlignment="1">
      <x:alignment horizontal="left" vertical="top" wrapText="1"/>
    </x:xf>
    <x:xf numFmtId="0" fontId="3" fillId="20" borderId="45" xfId="0" applyNumberFormat="1" applyFont="1" applyFill="1" applyBorder="1" applyAlignment="1">
      <x:alignment vertical="top" wrapText="1"/>
    </x:xf>
    <x:xf numFmtId="0" fontId="3" fillId="20" borderId="45" xfId="0" applyNumberFormat="1" applyFont="1" applyFill="1" applyBorder="1" applyAlignment="1">
      <x:alignment horizontal="left" vertical="top" wrapText="1"/>
    </x:xf>
    <x:xf numFmtId="0" fontId="0" fillId="20" borderId="45" xfId="0" applyNumberFormat="1" applyFont="1" applyFill="1" applyBorder="1" applyAlignment="1">
      <x:alignment horizontal="left" vertical="top" wrapText="1"/>
    </x:xf>
    <x:xf numFmtId="0" fontId="0" fillId="0" borderId="22" xfId="0" applyNumberFormat="1" applyFont="1" applyFill="1" applyBorder="1"/>
    <x:xf numFmtId="0" fontId="3" fillId="4" borderId="22" xfId="0" applyNumberFormat="1" applyFont="1" applyFill="1" applyBorder="1" applyAlignment="1">
      <x:alignment vertical="center"/>
    </x:xf>
    <x:xf numFmtId="0" fontId="0" fillId="0" borderId="23" xfId="0" applyNumberFormat="1" applyFont="1" applyFill="1" applyBorder="1"/>
    <x:xf numFmtId="0" fontId="0" fillId="0" borderId="0" xfId="0" applyNumberFormat="1" applyFont="1" applyFill="1" applyBorder="1"/>
    <x:xf numFmtId="0" fontId="0" fillId="20" borderId="53" xfId="0" applyNumberFormat="1" applyFont="1" applyFill="1" applyBorder="1" applyAlignment="1">
      <x:alignment vertical="top" wrapText="1"/>
    </x:xf>
    <x:xf numFmtId="0" fontId="0" fillId="20" borderId="53" xfId="0" applyNumberFormat="1" applyFont="1" applyFill="1" applyBorder="1" applyAlignment="1">
      <x:alignment horizontal="left" vertical="top" wrapText="1"/>
    </x:xf>
    <x:xf numFmtId="0" fontId="0" fillId="21" borderId="55" xfId="0" applyNumberFormat="1" applyFont="1" applyFill="1" applyBorder="1" applyAlignment="1">
      <x:alignment vertical="top" wrapText="1"/>
    </x:xf>
    <x:xf numFmtId="164" fontId="0" fillId="21" borderId="55" xfId="0" applyNumberFormat="1" applyFont="1" applyFill="1" applyBorder="1" applyAlignment="1">
      <x:alignment vertical="top" wrapText="1"/>
    </x:xf>
    <x:xf numFmtId="0" fontId="0" fillId="0" borderId="27" xfId="0" applyNumberFormat="1" applyFont="1" applyFill="1" applyBorder="1"/>
    <x:xf numFmtId="0" fontId="3" fillId="4" borderId="55" xfId="0" applyNumberFormat="1" applyFont="1" applyFill="1" applyBorder="1" applyAlignment="1">
      <x:alignment horizontal="left" vertical="top" wrapText="1"/>
    </x:xf>
    <x:xf numFmtId="0" fontId="0" fillId="5" borderId="56" xfId="0" applyNumberFormat="1" applyFont="1" applyFill="1" applyBorder="1" applyAlignment="1">
      <x:alignment horizontal="left" vertical="top" wrapText="1"/>
    </x:xf>
    <x:xf numFmtId="0" fontId="0" fillId="0" borderId="38" xfId="0" applyNumberFormat="1" applyFont="1" applyFill="1" applyBorder="1"/>
    <x:xf numFmtId="0" fontId="3" fillId="4" borderId="38" xfId="0" applyNumberFormat="1" applyFont="1" applyFill="1" applyBorder="1" applyAlignment="1">
      <x:alignment vertical="center"/>
    </x:xf>
    <x:xf numFmtId="0" fontId="0" fillId="0" borderId="39" xfId="0" applyNumberFormat="1" applyFont="1" applyFill="1" applyBorder="1"/>
    <x:xf numFmtId="0" fontId="0" fillId="20" borderId="58" xfId="0" applyNumberFormat="1" applyFont="1" applyFill="1" applyBorder="1" applyAlignment="1">
      <x:alignment vertical="top" wrapText="1"/>
    </x:xf>
    <x:xf numFmtId="0" fontId="0" fillId="20" borderId="58" xfId="0" applyNumberFormat="1" applyFont="1" applyFill="1" applyBorder="1" applyAlignment="1">
      <x:alignment horizontal="left" vertical="top" wrapText="1"/>
    </x:xf>
    <x:xf numFmtId="0" fontId="0" fillId="21" borderId="60" xfId="0" applyNumberFormat="1" applyFont="1" applyFill="1" applyBorder="1" applyAlignment="1">
      <x:alignment vertical="top" wrapText="1"/>
    </x:xf>
    <x:xf numFmtId="164" fontId="0" fillId="21" borderId="60" xfId="0" applyNumberFormat="1" applyFont="1" applyFill="1" applyBorder="1" applyAlignment="1">
      <x:alignment vertical="top" wrapText="1"/>
    </x:xf>
    <x:xf numFmtId="0" fontId="0" fillId="0" borderId="43" xfId="0" applyNumberFormat="1" applyFont="1" applyFill="1" applyBorder="1"/>
    <x:xf numFmtId="0" fontId="3" fillId="4" borderId="60" xfId="0" applyNumberFormat="1" applyFont="1" applyFill="1" applyBorder="1" applyAlignment="1">
      <x:alignment horizontal="left" vertical="top" wrapText="1"/>
    </x:xf>
    <x:xf numFmtId="0" fontId="0" fillId="5" borderId="61" xfId="0" applyNumberFormat="1" applyFont="1" applyFill="1" applyBorder="1" applyAlignment="1">
      <x:alignment horizontal="left" vertical="top" wrapText="1"/>
    </x:xf>
    <x:xf numFmtId="0" fontId="0" fillId="0" borderId="22" xfId="0" applyNumberFormat="1" applyFont="1" applyFill="1" applyBorder="1" applyAlignment="1">
      <x:alignment wrapText="1"/>
    </x:xf>
    <x:xf numFmtId="0" fontId="3" fillId="4" borderId="22" xfId="0" applyNumberFormat="1" applyFont="1" applyFill="1" applyBorder="1" applyAlignment="1">
      <x:alignment vertical="center"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38" xfId="0" applyNumberFormat="1" applyFont="1" applyFill="1" applyBorder="1" applyAlignment="1">
      <x:alignment wrapText="1"/>
    </x:xf>
    <x:xf numFmtId="0" fontId="3" fillId="4" borderId="38" xfId="0" applyNumberFormat="1" applyFont="1" applyFill="1" applyBorder="1" applyAlignment="1">
      <x:alignment vertical="center" wrapText="1"/>
    </x:xf>
    <x:xf numFmtId="0" fontId="0" fillId="0" borderId="39" xfId="0" applyNumberFormat="1" applyFont="1" applyFill="1" applyBorder="1" applyAlignment="1">
      <x:alignment wrapText="1"/>
    </x:xf>
    <x:xf numFmtId="0" fontId="4" fillId="3" borderId="21" xfId="0" applyNumberFormat="1" applyFont="1" applyFill="1" applyBorder="1" applyAlignment="1">
      <x:alignment horizontal="center" vertical="top" wrapText="1"/>
    </x:xf>
    <x:xf numFmtId="0" fontId="4" fillId="3" borderId="22" xfId="0" applyNumberFormat="1" applyFont="1" applyFill="1" applyBorder="1" applyAlignment="1">
      <x:alignment horizontal="center" vertical="top" wrapText="1"/>
    </x:xf>
    <x:xf numFmtId="0" fontId="0" fillId="0" borderId="22" xfId="0" applyNumberFormat="1" applyFont="1" applyFill="1" applyBorder="1" applyAlignment="1">
      <x:alignment vertical="top" wrapText="1"/>
    </x:xf>
    <x:xf numFmtId="0" fontId="3" fillId="4"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4" fillId="3" borderId="37" xfId="0" applyNumberFormat="1" applyFont="1" applyFill="1" applyBorder="1" applyAlignment="1">
      <x:alignment horizontal="center" vertical="top" wrapText="1"/>
    </x:xf>
    <x:xf numFmtId="0" fontId="4" fillId="3" borderId="38" xfId="0" applyNumberFormat="1" applyFont="1" applyFill="1" applyBorder="1" applyAlignment="1">
      <x:alignment horizontal="center" vertical="top" wrapText="1"/>
    </x:xf>
    <x:xf numFmtId="0" fontId="0" fillId="0" borderId="38" xfId="0" applyNumberFormat="1" applyFont="1" applyFill="1" applyBorder="1" applyAlignment="1">
      <x:alignment vertical="top" wrapText="1"/>
    </x:xf>
    <x:xf numFmtId="0" fontId="3" fillId="4"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16" borderId="63" xfId="0" applyNumberFormat="1" applyFont="1" applyFill="1" applyBorder="1" applyAlignment="1">
      <x:alignment vertical="top" wrapText="1"/>
    </x:xf>
    <x:xf numFmtId="0" fontId="0" fillId="16" borderId="65" xfId="0" applyNumberFormat="1" applyFont="1" applyFill="1" applyBorder="1" applyAlignment="1">
      <x:alignment vertical="top" wrapText="1"/>
    </x:xf>
    <x:xf numFmtId="0" fontId="3" fillId="4" borderId="62" xfId="0" applyNumberFormat="1" applyFont="1" applyFill="1" applyBorder="1" applyAlignment="1">
      <x:alignment vertical="center" wrapText="1"/>
    </x:xf>
    <x:xf numFmtId="0" fontId="3" fillId="4" borderId="52" xfId="0" applyNumberFormat="1" applyFont="1" applyFill="1" applyBorder="1" applyAlignment="1">
      <x:alignment vertical="center" wrapText="1"/>
    </x:xf>
    <x:xf numFmtId="0" fontId="3" fillId="4" borderId="54" xfId="0" applyNumberFormat="1" applyFont="1" applyFill="1" applyBorder="1" applyAlignment="1">
      <x:alignment vertical="center" wrapText="1"/>
    </x:xf>
    <x:xf numFmtId="0" fontId="3" fillId="4" borderId="64" xfId="0" applyNumberFormat="1" applyFont="1" applyFill="1" applyBorder="1" applyAlignment="1">
      <x:alignment vertical="center" wrapText="1"/>
    </x:xf>
    <x:xf numFmtId="0" fontId="3" fillId="4" borderId="57" xfId="0" applyNumberFormat="1" applyFont="1" applyFill="1" applyBorder="1" applyAlignment="1">
      <x:alignment vertical="center" wrapText="1"/>
    </x:xf>
    <x:xf numFmtId="0" fontId="3" fillId="4" borderId="59" xfId="0" applyNumberFormat="1" applyFont="1" applyFill="1" applyBorder="1" applyAlignment="1">
      <x:alignment vertical="center" wrapText="1"/>
    </x:xf>
    <x:xf numFmtId="2" fontId="0" fillId="17" borderId="29" xfId="0" applyNumberFormat="1" applyFont="1" applyFill="1" applyBorder="1" applyAlignment="1">
      <x:alignment vertical="top" wrapText="1"/>
    </x:xf>
    <x:xf numFmtId="2" fontId="0" fillId="17" borderId="45" xfId="0" applyNumberFormat="1" applyFont="1" applyFill="1" applyBorder="1" applyAlignment="1">
      <x:alignment vertical="top" wrapText="1"/>
    </x:xf>
    <x:xf numFmtId="0" fontId="3" fillId="17" borderId="29" xfId="0" applyNumberFormat="1" applyFont="1" applyFill="1" applyBorder="1" applyAlignment="1">
      <x:alignment vertical="top" wrapText="1"/>
    </x:xf>
    <x:xf numFmtId="2" fontId="3" fillId="17" borderId="29" xfId="0" applyNumberFormat="1" applyFont="1" applyFill="1" applyBorder="1" applyAlignment="1">
      <x:alignment vertical="top" wrapText="1"/>
    </x:xf>
    <x:xf numFmtId="0" fontId="3" fillId="17" borderId="45" xfId="0" applyNumberFormat="1" applyFont="1" applyFill="1" applyBorder="1" applyAlignment="1">
      <x:alignment vertical="top" wrapText="1"/>
    </x:xf>
    <x:xf numFmtId="2" fontId="3" fillId="17" borderId="45" xfId="0" applyNumberFormat="1" applyFont="1" applyFill="1" applyBorder="1" applyAlignment="1">
      <x:alignment vertical="top" wrapText="1"/>
    </x:xf>
    <x:xf numFmtId="164" fontId="0" fillId="16" borderId="29" xfId="0" applyNumberFormat="1" applyFont="1" applyFill="1" applyBorder="1" applyAlignment="1">
      <x:alignment horizontal="left" vertical="top" wrapText="1"/>
    </x:xf>
    <x:xf numFmtId="0" fontId="0" fillId="16" borderId="29" xfId="0" applyNumberFormat="1" applyFont="1" applyFill="1" applyBorder="1" applyAlignment="1">
      <x:alignment horizontal="left" vertical="top" wrapText="1"/>
    </x:xf>
    <x:xf numFmtId="164" fontId="0" fillId="16" borderId="45" xfId="0" applyNumberFormat="1" applyFont="1" applyFill="1" applyBorder="1" applyAlignment="1">
      <x:alignment horizontal="left" vertical="top" wrapText="1"/>
    </x:xf>
    <x:xf numFmtId="0" fontId="0" fillId="16" borderId="45" xfId="0" applyNumberFormat="1" applyFont="1" applyFill="1" applyBorder="1" applyAlignment="1">
      <x:alignment horizontal="left" vertical="top" wrapText="1"/>
    </x:xf>
    <x:xf numFmtId="164" fontId="0" fillId="16" borderId="29" xfId="0" applyNumberFormat="1" applyFont="1" applyFill="1" applyBorder="1" applyAlignment="1">
      <x:alignment vertical="top" wrapText="1"/>
    </x:xf>
    <x:xf numFmtId="164" fontId="0" fillId="16" borderId="45" xfId="0" applyNumberFormat="1" applyFont="1" applyFill="1" applyBorder="1" applyAlignment="1">
      <x:alignment vertical="top" wrapText="1"/>
    </x:xf>
    <x:xf numFmtId="164" fontId="0" fillId="16" borderId="29" xfId="0" applyNumberFormat="1" applyFont="1" applyFill="1" applyBorder="1" applyAlignment="1">
      <x:alignment horizontal="center" vertical="top" wrapText="1"/>
    </x:xf>
    <x:xf numFmtId="164" fontId="0" fillId="16" borderId="45" xfId="0" applyNumberFormat="1" applyFont="1" applyFill="1" applyBorder="1" applyAlignment="1">
      <x:alignment horizontal="center" vertical="top" wrapText="1"/>
    </x:xf>
    <x:xf numFmtId="0" fontId="3" fillId="0" borderId="21" xfId="0" applyNumberFormat="1" applyFont="1" applyFill="1" applyBorder="1" applyAlignment="1">
      <x:alignment vertical="center"/>
    </x:xf>
    <x:xf numFmtId="0" fontId="3" fillId="0" borderId="22" xfId="0" applyNumberFormat="1" applyFont="1" applyFill="1" applyBorder="1" applyAlignment="1">
      <x:alignment vertical="center"/>
    </x:xf>
    <x:xf numFmtId="0" fontId="3" fillId="0" borderId="23" xfId="0" applyNumberFormat="1" applyFont="1" applyFill="1" applyBorder="1" applyAlignment="1">
      <x:alignment vertical="center"/>
    </x:xf>
    <x:xf numFmtId="0" fontId="3" fillId="4" borderId="52" xfId="0" applyNumberFormat="1" applyFont="1" applyFill="1" applyBorder="1" applyAlignment="1">
      <x:alignment vertical="top"/>
    </x:xf>
    <x:xf numFmtId="0" fontId="0" fillId="0" borderId="0" xfId="0" applyNumberFormat="1" applyFont="1" applyFill="1" applyBorder="1" applyAlignment="1">
      <x:alignment vertical="top"/>
    </x:xf>
    <x:xf numFmtId="0" fontId="3" fillId="4" borderId="29" xfId="0" applyNumberFormat="1" applyFont="1" applyFill="1" applyBorder="1" applyAlignment="1">
      <x:alignment vertical="top"/>
    </x:xf>
    <x:xf numFmtId="164" fontId="0" fillId="16" borderId="53" xfId="0" applyNumberFormat="1" applyFont="1" applyFill="1" applyBorder="1" applyAlignment="1">
      <x:alignment horizontal="left" vertical="top" wrapText="1"/>
    </x:xf>
    <x:xf numFmtId="0" fontId="3" fillId="4" borderId="32" xfId="0" applyNumberFormat="1" applyFont="1" applyFill="1" applyBorder="1" applyAlignment="1">
      <x:alignment horizontal="center" vertical="top"/>
    </x:xf>
    <x:xf numFmtId="0" fontId="0" fillId="16" borderId="53" xfId="0" applyNumberFormat="1" applyFont="1" applyFill="1" applyBorder="1" applyAlignment="1">
      <x:alignment horizontal="left" vertical="top" wrapText="1"/>
    </x:xf>
    <x:xf numFmtId="0" fontId="3" fillId="4" borderId="35" xfId="0" applyNumberFormat="1" applyFont="1" applyFill="1" applyBorder="1" applyAlignment="1">
      <x:alignment horizontal="center" vertical="top"/>
    </x:xf>
    <x:xf numFmtId="0" fontId="0" fillId="5" borderId="53" xfId="0" applyNumberFormat="1" applyFont="1" applyFill="1" applyBorder="1" applyAlignment="1">
      <x:alignment horizontal="left" vertical="top" wrapText="1"/>
    </x:xf>
    <x:xf numFmtId="0" fontId="3" fillId="4" borderId="54" xfId="0" applyNumberFormat="1" applyFont="1" applyFill="1" applyBorder="1" applyAlignment="1">
      <x:alignment vertical="top"/>
    </x:xf>
    <x:xf numFmtId="2" fontId="3" fillId="17" borderId="55" xfId="0" applyNumberFormat="1" applyFont="1" applyFill="1" applyBorder="1" applyAlignment="1">
      <x:alignment vertical="top" wrapText="1"/>
    </x:xf>
    <x:xf numFmtId="0" fontId="0" fillId="0" borderId="27" xfId="0" applyNumberFormat="1" applyFont="1" applyFill="1" applyBorder="1" applyAlignment="1">
      <x:alignment vertical="top"/>
    </x:xf>
    <x:xf numFmtId="0" fontId="3" fillId="4" borderId="66" xfId="0" applyNumberFormat="1" applyFont="1" applyFill="1" applyBorder="1" applyAlignment="1">
      <x:alignment horizontal="center" vertical="top"/>
    </x:xf>
    <x:xf numFmtId="0" fontId="3" fillId="0" borderId="37" xfId="0" applyNumberFormat="1" applyFont="1" applyFill="1" applyBorder="1" applyAlignment="1">
      <x:alignment vertical="center"/>
    </x:xf>
    <x:xf numFmtId="0" fontId="3" fillId="0" borderId="38" xfId="0" applyNumberFormat="1" applyFont="1" applyFill="1" applyBorder="1" applyAlignment="1">
      <x:alignment vertical="center"/>
    </x:xf>
    <x:xf numFmtId="0" fontId="3" fillId="0" borderId="39" xfId="0" applyNumberFormat="1" applyFont="1" applyFill="1" applyBorder="1" applyAlignment="1">
      <x:alignment vertical="center"/>
    </x:xf>
    <x:xf numFmtId="0" fontId="3" fillId="4" borderId="57" xfId="0" applyNumberFormat="1" applyFont="1" applyFill="1" applyBorder="1" applyAlignment="1">
      <x:alignment vertical="top"/>
    </x:xf>
    <x:xf numFmtId="164" fontId="0" fillId="16" borderId="58" xfId="0" applyNumberFormat="1" applyFont="1" applyFill="1" applyBorder="1" applyAlignment="1">
      <x:alignment horizontal="left" vertical="top" wrapText="1"/>
    </x:xf>
    <x:xf numFmtId="0" fontId="0" fillId="16" borderId="58" xfId="0" applyNumberFormat="1" applyFont="1" applyFill="1" applyBorder="1" applyAlignment="1">
      <x:alignment horizontal="left" vertical="top" wrapText="1"/>
    </x:xf>
    <x:xf numFmtId="0" fontId="0" fillId="5" borderId="58" xfId="0" applyNumberFormat="1" applyFont="1" applyFill="1" applyBorder="1" applyAlignment="1">
      <x:alignment horizontal="left" vertical="top" wrapText="1"/>
    </x:xf>
    <x:xf numFmtId="0" fontId="3" fillId="4" borderId="59" xfId="0" applyNumberFormat="1" applyFont="1" applyFill="1" applyBorder="1" applyAlignment="1">
      <x:alignment vertical="top"/>
    </x:xf>
    <x:xf numFmtId="2" fontId="3" fillId="17" borderId="60" xfId="0" applyNumberFormat="1" applyFont="1" applyFill="1" applyBorder="1" applyAlignment="1">
      <x:alignment vertical="top" wrapText="1"/>
    </x:xf>
    <x:xf numFmtId="0" fontId="0" fillId="0" borderId="43" xfId="0" applyNumberFormat="1" applyFont="1" applyFill="1" applyBorder="1" applyAlignment="1">
      <x:alignment vertical="top"/>
    </x:xf>
    <x:xf numFmtId="0" fontId="3" fillId="4" borderId="67" xfId="0" applyNumberFormat="1" applyFont="1" applyFill="1" applyBorder="1" applyAlignment="1">
      <x:alignment horizontal="center" vertical="top"/>
    </x:xf>
    <x:xf numFmtId="0" fontId="3" fillId="0" borderId="52" xfId="0" applyNumberFormat="1" applyFont="1" applyFill="1" applyBorder="1" applyAlignment="1">
      <x:alignment vertical="top"/>
    </x:xf>
    <x:xf numFmtId="0" fontId="3" fillId="0" borderId="29" xfId="0" applyNumberFormat="1" applyFont="1" applyFill="1" applyBorder="1" applyAlignment="1">
      <x:alignment horizontal="left" vertical="top" wrapText="1"/>
    </x:xf>
    <x:xf numFmtId="0" fontId="0" fillId="0" borderId="53"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3" fillId="0" borderId="54" xfId="0" applyNumberFormat="1" applyFont="1" applyFill="1" applyBorder="1" applyAlignment="1">
      <x:alignment vertical="center"/>
    </x:xf>
    <x:xf numFmtId="164" fontId="0" fillId="16" borderId="55"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3" fillId="0" borderId="57" xfId="0" applyNumberFormat="1" applyFont="1" applyFill="1" applyBorder="1" applyAlignment="1">
      <x:alignment vertical="top"/>
    </x:xf>
    <x:xf numFmtId="0" fontId="0" fillId="0" borderId="58"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3" fillId="0" borderId="59" xfId="0" applyNumberFormat="1" applyFont="1" applyFill="1" applyBorder="1" applyAlignment="1">
      <x:alignment vertical="center"/>
    </x:xf>
    <x:xf numFmtId="164" fontId="0" fillId="16" borderId="60"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3" fillId="0" borderId="52" xfId="0" applyNumberFormat="1" applyFont="1" applyFill="1" applyBorder="1" applyAlignment="1">
      <x:alignment horizontal="center" vertical="center"/>
    </x:xf>
    <x:xf numFmtId="0" fontId="0" fillId="16" borderId="53" xfId="0" applyNumberFormat="1" applyFont="1" applyFill="1" applyBorder="1" applyAlignment="1">
      <x:alignment horizontal="center" vertical="top" wrapText="1"/>
    </x:xf>
    <x:xf numFmtId="164" fontId="0" fillId="16" borderId="53"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center"/>
    </x:xf>
    <x:xf numFmtId="164" fontId="0" fillId="16" borderId="56" xfId="0" applyNumberFormat="1" applyFont="1" applyFill="1" applyBorder="1" applyAlignment="1">
      <x:alignment horizontal="center" vertical="top" wrapText="1"/>
    </x:xf>
    <x:xf numFmtId="0" fontId="3" fillId="0" borderId="57" xfId="0" applyNumberFormat="1" applyFont="1" applyFill="1" applyBorder="1" applyAlignment="1">
      <x:alignment horizontal="center" vertical="center"/>
    </x:xf>
    <x:xf numFmtId="0" fontId="0" fillId="16" borderId="58" xfId="0" applyNumberFormat="1" applyFont="1" applyFill="1" applyBorder="1" applyAlignment="1">
      <x:alignment horizontal="center" vertical="top" wrapText="1"/>
    </x:xf>
    <x:xf numFmtId="164" fontId="0" fillId="16" borderId="58"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center"/>
    </x:xf>
    <x:xf numFmtId="164" fontId="0" fillId="16" borderId="61" xfId="0" applyNumberFormat="1" applyFont="1" applyFill="1" applyBorder="1" applyAlignment="1">
      <x:alignment horizontal="center" vertical="top" wrapText="1"/>
    </x:xf>
    <x:xf numFmtId="0" fontId="3" fillId="0" borderId="21" xfId="0" applyNumberFormat="1" applyFont="1" applyFill="1" applyBorder="1" applyAlignment="1">
      <x:alignment vertical="center" wrapText="1"/>
    </x:xf>
    <x:xf numFmtId="0" fontId="3" fillId="0" borderId="22" xfId="0" applyNumberFormat="1" applyFont="1" applyFill="1" applyBorder="1" applyAlignment="1">
      <x:alignment vertical="center" wrapText="1"/>
    </x:xf>
    <x:xf numFmtId="0" fontId="3" fillId="0" borderId="23" xfId="0" applyNumberFormat="1" applyFont="1" applyFill="1" applyBorder="1" applyAlignment="1">
      <x:alignment vertical="center" wrapText="1"/>
    </x:xf>
    <x:xf numFmtId="0" fontId="3" fillId="4" borderId="52" xfId="0" applyNumberFormat="1" applyFont="1" applyFill="1" applyBorder="1" applyAlignment="1">
      <x:alignment vertical="top" wrapText="1"/>
    </x:xf>
    <x:xf numFmtId="0" fontId="3" fillId="4" borderId="29" xfId="0" applyNumberFormat="1" applyFont="1" applyFill="1" applyBorder="1" applyAlignment="1">
      <x:alignment vertical="top" wrapText="1"/>
    </x:xf>
    <x:xf numFmtId="0" fontId="3" fillId="4" borderId="32" xfId="0" applyNumberFormat="1" applyFont="1" applyFill="1" applyBorder="1" applyAlignment="1">
      <x:alignment horizontal="center" vertical="top" wrapText="1"/>
    </x:xf>
    <x:xf numFmtId="0" fontId="3" fillId="4" borderId="35" xfId="0" applyNumberFormat="1" applyFont="1" applyFill="1" applyBorder="1" applyAlignment="1">
      <x:alignment horizontal="center" vertical="top" wrapText="1"/>
    </x:xf>
    <x:xf numFmtId="0" fontId="3" fillId="4" borderId="54" xfId="0" applyNumberFormat="1" applyFont="1" applyFill="1" applyBorder="1" applyAlignment="1">
      <x:alignment vertical="top" wrapText="1"/>
    </x:xf>
    <x:xf numFmtId="0" fontId="3" fillId="4" borderId="66" xfId="0" applyNumberFormat="1" applyFont="1" applyFill="1" applyBorder="1" applyAlignment="1">
      <x:alignment horizontal="center" vertical="top" wrapText="1"/>
    </x:xf>
    <x:xf numFmtId="0" fontId="3" fillId="0" borderId="52" xfId="0" applyNumberFormat="1" applyFont="1" applyFill="1" applyBorder="1" applyAlignment="1">
      <x:alignment vertical="top" wrapText="1"/>
    </x:xf>
    <x:xf numFmtId="0" fontId="3" fillId="0" borderId="54"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52" xfId="0" applyNumberFormat="1" applyFont="1" applyFill="1" applyBorder="1" applyAlignment="1">
      <x:alignment horizontal="center" vertical="center" wrapText="1"/>
    </x:xf>
    <x:xf numFmtId="0" fontId="3" fillId="0" borderId="54" xfId="0" applyNumberFormat="1" applyFont="1" applyFill="1" applyBorder="1" applyAlignment="1">
      <x:alignment horizontal="center" vertical="center" wrapText="1"/>
    </x:xf>
    <x:xf numFmtId="0" fontId="3" fillId="0" borderId="37" xfId="0" applyNumberFormat="1" applyFont="1" applyFill="1" applyBorder="1" applyAlignment="1">
      <x:alignment vertical="center" wrapText="1"/>
    </x:xf>
    <x:xf numFmtId="0" fontId="3" fillId="0" borderId="38" xfId="0" applyNumberFormat="1" applyFont="1" applyFill="1" applyBorder="1" applyAlignment="1">
      <x:alignment vertical="center" wrapText="1"/>
    </x:xf>
    <x:xf numFmtId="0" fontId="3" fillId="0" borderId="39" xfId="0" applyNumberFormat="1" applyFont="1" applyFill="1" applyBorder="1" applyAlignment="1">
      <x:alignment vertical="center" wrapText="1"/>
    </x:xf>
    <x:xf numFmtId="0" fontId="3" fillId="4" borderId="57" xfId="0" applyNumberFormat="1" applyFont="1" applyFill="1" applyBorder="1" applyAlignment="1">
      <x:alignment vertical="top" wrapText="1"/>
    </x:xf>
    <x:xf numFmtId="0" fontId="3" fillId="4" borderId="48" xfId="0" applyNumberFormat="1" applyFont="1" applyFill="1" applyBorder="1" applyAlignment="1">
      <x:alignment horizontal="center" vertical="top" wrapText="1"/>
    </x:xf>
    <x:xf numFmtId="0" fontId="3" fillId="4" borderId="51" xfId="0" applyNumberFormat="1" applyFont="1" applyFill="1" applyBorder="1" applyAlignment="1">
      <x:alignment horizontal="center" vertical="top" wrapText="1"/>
    </x:xf>
    <x:xf numFmtId="0" fontId="3" fillId="4" borderId="59" xfId="0" applyNumberFormat="1" applyFont="1" applyFill="1" applyBorder="1" applyAlignment="1">
      <x:alignment vertical="top" wrapText="1"/>
    </x:xf>
    <x:xf numFmtId="0" fontId="3" fillId="4" borderId="67" xfId="0" applyNumberFormat="1" applyFont="1" applyFill="1" applyBorder="1" applyAlignment="1">
      <x:alignment horizontal="center" vertical="top" wrapText="1"/>
    </x:xf>
    <x:xf numFmtId="0" fontId="3" fillId="0" borderId="57" xfId="0" applyNumberFormat="1" applyFont="1" applyFill="1" applyBorder="1" applyAlignment="1">
      <x:alignment vertical="top" wrapText="1"/>
    </x:xf>
    <x:xf numFmtId="0" fontId="3" fillId="0" borderId="59" xfId="0" applyNumberFormat="1" applyFont="1" applyFill="1" applyBorder="1" applyAlignment="1">
      <x:alignment vertical="center" wrapText="1"/>
    </x:xf>
    <x:xf numFmtId="0" fontId="3" fillId="0" borderId="36" xfId="0" applyNumberFormat="1" applyFont="1" applyFill="1" applyBorder="1" applyAlignment="1">
      <x:alignment vertical="center" wrapText="1"/>
    </x:xf>
    <x:xf numFmtId="0" fontId="3" fillId="0" borderId="57" xfId="0" applyNumberFormat="1" applyFont="1" applyFill="1" applyBorder="1" applyAlignment="1">
      <x:alignment horizontal="center" vertical="center" wrapText="1"/>
    </x:xf>
    <x:xf numFmtId="0" fontId="3" fillId="0" borderId="59" xfId="0" applyNumberFormat="1" applyFont="1" applyFill="1" applyBorder="1" applyAlignment="1">
      <x:alignment horizontal="center" vertical="center" wrapText="1"/>
    </x:xf>
    <x:xf numFmtId="0" fontId="3" fillId="0" borderId="21"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23" xfId="0" applyNumberFormat="1" applyFont="1" applyFill="1" applyBorder="1" applyAlignment="1">
      <x:alignment vertical="top" wrapText="1"/>
    </x:xf>
    <x:xf numFmtId="0" fontId="3" fillId="0" borderId="5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52"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top" wrapText="1"/>
    </x:xf>
    <x:xf numFmtId="0" fontId="3" fillId="0" borderId="37" xfId="0" applyNumberFormat="1" applyFont="1" applyFill="1" applyBorder="1" applyAlignment="1">
      <x:alignment vertical="top" wrapText="1"/>
    </x:xf>
    <x:xf numFmtId="0" fontId="3" fillId="0" borderId="38" xfId="0" applyNumberFormat="1" applyFont="1" applyFill="1" applyBorder="1" applyAlignment="1">
      <x:alignment vertical="top" wrapText="1"/>
    </x:xf>
    <x:xf numFmtId="0" fontId="3" fillId="0" borderId="39" xfId="0" applyNumberFormat="1" applyFont="1" applyFill="1" applyBorder="1" applyAlignment="1">
      <x:alignment vertical="top" wrapText="1"/>
    </x:xf>
    <x:xf numFmtId="0" fontId="3" fillId="0" borderId="59" xfId="0" applyNumberFormat="1" applyFont="1" applyFill="1" applyBorder="1" applyAlignment="1">
      <x:alignment vertical="top" wrapText="1"/>
    </x:xf>
    <x:xf numFmtId="0" fontId="3" fillId="0" borderId="36" xfId="0" applyNumberFormat="1" applyFont="1" applyFill="1" applyBorder="1" applyAlignment="1">
      <x:alignment vertical="top" wrapText="1"/>
    </x:xf>
    <x:xf numFmtId="0" fontId="3" fillId="0" borderId="57"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top" wrapText="1"/>
    </x:xf>
    <x:xf numFmtId="0" fontId="0" fillId="20" borderId="0" xfId="0" applyNumberFormat="1" applyFont="1" applyFill="1" applyBorder="1"/>
    <x:xf numFmtId="0" fontId="0" fillId="20" borderId="36" xfId="0" applyNumberFormat="1" applyFont="1" applyFill="1" applyBorder="1"/>
    <x:xf numFmtId="0" fontId="8" fillId="20" borderId="0" xfId="0" applyNumberFormat="1" applyFont="1" applyFill="1" applyBorder="1"/>
    <x:xf numFmtId="0" fontId="8" fillId="20" borderId="36" xfId="0" applyNumberFormat="1" applyFont="1" applyFill="1" applyBorder="1"/>
    <x:xf numFmtId="0" fontId="8" fillId="20" borderId="0" xfId="0" applyNumberFormat="1" applyFont="1" applyFill="1" applyBorder="1" applyAlignment="1">
      <x:alignment wrapText="1"/>
    </x:xf>
    <x:xf numFmtId="0" fontId="8" fillId="20" borderId="36" xfId="0" applyNumberFormat="1" applyFont="1" applyFill="1" applyBorder="1" applyAlignment="1">
      <x:alignment wrapText="1"/>
    </x:xf>
    <x:xf numFmtId="0" fontId="8" fillId="16" borderId="0" xfId="0" applyNumberFormat="1" applyFont="1" applyFill="1" applyBorder="1" applyAlignment="1">
      <x:alignment horizontal="center"/>
    </x:xf>
    <x:xf numFmtId="0" fontId="8" fillId="16" borderId="36" xfId="0" applyNumberFormat="1" applyFont="1" applyFill="1" applyBorder="1" applyAlignment="1">
      <x:alignment horizontal="center"/>
    </x:xf>
    <x:xf numFmtId="0" fontId="8" fillId="16" borderId="0" xfId="0" applyNumberFormat="1" applyFont="1" applyFill="1" applyBorder="1" applyAlignment="1">
      <x:alignment horizontal="center" vertical="center"/>
    </x:xf>
    <x:xf numFmtId="0" fontId="8" fillId="16" borderId="36" xfId="0" applyNumberFormat="1" applyFont="1" applyFill="1" applyBorder="1" applyAlignment="1">
      <x:alignment horizontal="center" vertical="center"/>
    </x:xf>
    <x:xf numFmtId="0" fontId="8" fillId="17" borderId="0" xfId="0" applyNumberFormat="1" applyFont="1" applyFill="1" applyBorder="1" applyAlignment="1">
      <x:alignment horizontal="center"/>
    </x:xf>
    <x:xf numFmtId="0" fontId="8" fillId="17" borderId="36" xfId="0" applyNumberFormat="1" applyFont="1" applyFill="1" applyBorder="1" applyAlignment="1">
      <x:alignment horizontal="center"/>
    </x:xf>
    <x:xf numFmtId="0" fontId="8" fillId="17" borderId="0" xfId="0" applyNumberFormat="1" applyFont="1" applyFill="1" applyBorder="1" applyAlignment="1">
      <x:alignment horizontal="center" vertical="center"/>
    </x:xf>
    <x:xf numFmtId="0" fontId="8" fillId="17" borderId="36" xfId="0" applyNumberFormat="1" applyFont="1" applyFill="1" applyBorder="1" applyAlignment="1">
      <x:alignment horizontal="center" vertical="center"/>
    </x:xf>
    <x:xf numFmtId="0" fontId="8" fillId="18" borderId="0" xfId="0" applyNumberFormat="1" applyFont="1" applyFill="1" applyBorder="1" applyAlignment="1">
      <x:alignment horizontal="center"/>
    </x:xf>
    <x:xf numFmtId="0" fontId="8" fillId="18" borderId="36" xfId="0" applyNumberFormat="1" applyFont="1" applyFill="1" applyBorder="1" applyAlignment="1">
      <x:alignment horizontal="center"/>
    </x:xf>
    <x:xf numFmtId="0" fontId="8" fillId="18" borderId="0" xfId="0" applyNumberFormat="1" applyFont="1" applyFill="1" applyBorder="1" applyAlignment="1">
      <x:alignment horizontal="center" vertical="center"/>
    </x:xf>
    <x:xf numFmtId="0" fontId="8" fillId="18" borderId="36" xfId="0" applyNumberFormat="1" applyFont="1" applyFill="1" applyBorder="1" applyAlignment="1">
      <x:alignment horizontal="center" vertical="center"/>
    </x:xf>
    <x:xf numFmtId="0" fontId="8" fillId="19" borderId="0" xfId="0" applyNumberFormat="1" applyFont="1" applyFill="1" applyBorder="1" applyAlignment="1">
      <x:alignment horizontal="center"/>
    </x:xf>
    <x:xf numFmtId="0" fontId="8" fillId="19" borderId="36" xfId="0" applyNumberFormat="1" applyFont="1" applyFill="1" applyBorder="1" applyAlignment="1">
      <x:alignment horizontal="center"/>
    </x:xf>
    <x:xf numFmtId="0" fontId="8" fillId="19" borderId="0" xfId="0" applyNumberFormat="1" applyFont="1" applyFill="1" applyBorder="1" applyAlignment="1">
      <x:alignment horizontal="center" vertical="center"/>
    </x:xf>
    <x:xf numFmtId="0" fontId="8" fillId="19" borderId="36" xfId="0" applyNumberFormat="1" applyFont="1" applyFill="1" applyBorder="1" applyAlignment="1">
      <x:alignment horizontal="center" vertical="center"/>
    </x:xf>
    <x:xf numFmtId="0" fontId="8" fillId="16" borderId="0" xfId="0" applyNumberFormat="1" applyFont="1" applyFill="1" applyBorder="1" applyAlignment="1">
      <x:alignment horizontal="center" vertical="center" wrapText="1"/>
    </x:xf>
    <x:xf numFmtId="0" fontId="8" fillId="17" borderId="0" xfId="0" applyNumberFormat="1" applyFont="1" applyFill="1" applyBorder="1" applyAlignment="1">
      <x:alignment horizontal="center" vertical="center" wrapText="1"/>
    </x:xf>
    <x:xf numFmtId="0" fontId="8" fillId="18" borderId="0" xfId="0" applyNumberFormat="1" applyFont="1" applyFill="1" applyBorder="1" applyAlignment="1">
      <x:alignment horizontal="center" vertical="center" wrapText="1"/>
    </x:xf>
    <x:xf numFmtId="0" fontId="8" fillId="19" borderId="0" xfId="0" applyNumberFormat="1" applyFont="1" applyFill="1" applyBorder="1" applyAlignment="1">
      <x:alignment horizontal="center" vertical="center" wrapText="1"/>
    </x:xf>
    <x:xf numFmtId="0" fontId="8" fillId="16" borderId="36" xfId="0" applyNumberFormat="1" applyFont="1" applyFill="1" applyBorder="1" applyAlignment="1">
      <x:alignment horizontal="center" vertical="center" wrapText="1"/>
    </x:xf>
    <x:xf numFmtId="0" fontId="8" fillId="17" borderId="36" xfId="0" applyNumberFormat="1" applyFont="1" applyFill="1" applyBorder="1" applyAlignment="1">
      <x:alignment horizontal="center" vertical="center" wrapText="1"/>
    </x:xf>
    <x:xf numFmtId="0" fontId="8" fillId="18" borderId="36" xfId="0" applyNumberFormat="1" applyFont="1" applyFill="1" applyBorder="1" applyAlignment="1">
      <x:alignment horizontal="center" vertical="center" wrapText="1"/>
    </x:xf>
    <x:xf numFmtId="0" fontId="8" fillId="19" borderId="36" xfId="0" applyNumberFormat="1" applyFont="1" applyFill="1" applyBorder="1" applyAlignment="1">
      <x:alignment horizontal="center" vertical="center" wrapText="1"/>
    </x:xf>
    <x:xf numFmtId="0" fontId="3" fillId="21" borderId="0" xfId="0" applyNumberFormat="1" applyFont="1" applyFill="1" applyBorder="1" applyAlignment="1">
      <x:alignment vertical="center"/>
    </x:xf>
    <x:xf numFmtId="0" fontId="0" fillId="21" borderId="0" xfId="0" applyNumberFormat="1" applyFont="1" applyFill="1" applyBorder="1" applyAlignment="1">
      <x:alignment vertical="top" wrapText="1"/>
    </x:xf>
    <x:xf numFmtId="0" fontId="3" fillId="21" borderId="36" xfId="0" applyNumberFormat="1" applyFont="1" applyFill="1" applyBorder="1" applyAlignment="1">
      <x:alignment vertical="center"/>
    </x:xf>
    <x:xf numFmtId="0" fontId="0" fillId="21" borderId="36" xfId="0" applyNumberFormat="1" applyFont="1" applyFill="1" applyBorder="1" applyAlignment="1">
      <x:alignment vertical="top" wrapText="1"/>
    </x:xf>
    <x:xf numFmtId="0" fontId="9" fillId="18" borderId="29" xfId="0" applyNumberFormat="1" applyFont="1" applyFill="1" applyBorder="1" applyAlignment="1">
      <x:alignment horizontal="center" vertical="center" wrapText="1"/>
    </x:xf>
    <x:xf numFmtId="0" fontId="9" fillId="20" borderId="29" xfId="0" applyNumberFormat="1" applyFont="1" applyFill="1" applyBorder="1" applyAlignment="1">
      <x:alignment horizontal="center" vertical="center" wrapText="1"/>
    </x:xf>
    <x:xf numFmtId="0" fontId="9" fillId="16" borderId="29" xfId="0" applyNumberFormat="1" applyFont="1" applyFill="1" applyBorder="1" applyAlignment="1">
      <x:alignment horizontal="center" vertical="center" wrapText="1"/>
    </x:xf>
    <x:xf numFmtId="0" fontId="9" fillId="17" borderId="29" xfId="0" applyNumberFormat="1" applyFont="1" applyFill="1" applyBorder="1" applyAlignment="1">
      <x:alignment horizontal="center" vertical="center" wrapText="1"/>
    </x:xf>
    <x:xf numFmtId="0" fontId="9" fillId="19" borderId="29" xfId="0" applyNumberFormat="1" applyFont="1" applyFill="1" applyBorder="1" applyAlignment="1">
      <x:alignment horizontal="center" vertical="center" wrapText="1"/>
    </x:xf>
    <x:xf numFmtId="0" fontId="9" fillId="18" borderId="55" xfId="0" applyNumberFormat="1" applyFont="1" applyFill="1" applyBorder="1" applyAlignment="1">
      <x:alignment horizontal="center" vertical="center" wrapText="1"/>
    </x:xf>
    <x:xf numFmtId="0" fontId="9" fillId="20" borderId="55" xfId="0" applyNumberFormat="1" applyFont="1" applyFill="1" applyBorder="1" applyAlignment="1">
      <x:alignment horizontal="center" vertical="center" wrapText="1"/>
    </x:xf>
    <x:xf numFmtId="0" fontId="9" fillId="16" borderId="55" xfId="0" applyNumberFormat="1" applyFont="1" applyFill="1" applyBorder="1" applyAlignment="1">
      <x:alignment horizontal="center" vertical="center" wrapText="1"/>
    </x:xf>
    <x:xf numFmtId="0" fontId="9" fillId="17" borderId="55" xfId="0" applyNumberFormat="1" applyFont="1" applyFill="1" applyBorder="1" applyAlignment="1">
      <x:alignment horizontal="center" vertical="center" wrapText="1"/>
    </x:xf>
    <x:xf numFmtId="0" fontId="9" fillId="18" borderId="45" xfId="0" applyNumberFormat="1" applyFont="1" applyFill="1" applyBorder="1" applyAlignment="1">
      <x:alignment horizontal="center" vertical="center" wrapText="1"/>
    </x:xf>
    <x:xf numFmtId="0" fontId="9" fillId="20" borderId="45" xfId="0" applyNumberFormat="1" applyFont="1" applyFill="1" applyBorder="1" applyAlignment="1">
      <x:alignment horizontal="center" vertical="center" wrapText="1"/>
    </x:xf>
    <x:xf numFmtId="0" fontId="9" fillId="16" borderId="45" xfId="0" applyNumberFormat="1" applyFont="1" applyFill="1" applyBorder="1" applyAlignment="1">
      <x:alignment horizontal="center" vertical="center" wrapText="1"/>
    </x:xf>
    <x:xf numFmtId="0" fontId="9" fillId="17" borderId="45" xfId="0" applyNumberFormat="1" applyFont="1" applyFill="1" applyBorder="1" applyAlignment="1">
      <x:alignment horizontal="center" vertical="center" wrapText="1"/>
    </x:xf>
    <x:xf numFmtId="0" fontId="9" fillId="19" borderId="45" xfId="0" applyNumberFormat="1" applyFont="1" applyFill="1" applyBorder="1" applyAlignment="1">
      <x:alignment horizontal="center" vertical="center" wrapText="1"/>
    </x:xf>
    <x:xf numFmtId="0" fontId="9" fillId="18" borderId="60" xfId="0" applyNumberFormat="1" applyFont="1" applyFill="1" applyBorder="1" applyAlignment="1">
      <x:alignment horizontal="center" vertical="center" wrapText="1"/>
    </x:xf>
    <x:xf numFmtId="0" fontId="9" fillId="20" borderId="60" xfId="0" applyNumberFormat="1" applyFont="1" applyFill="1" applyBorder="1" applyAlignment="1">
      <x:alignment horizontal="center" vertical="center" wrapText="1"/>
    </x:xf>
    <x:xf numFmtId="0" fontId="9" fillId="16" borderId="60" xfId="0" applyNumberFormat="1" applyFont="1" applyFill="1" applyBorder="1" applyAlignment="1">
      <x:alignment horizontal="center" vertical="center" wrapText="1"/>
    </x:xf>
    <x:xf numFmtId="0" fontId="9" fillId="17" borderId="60" xfId="0" applyNumberFormat="1" applyFont="1" applyFill="1" applyBorder="1" applyAlignment="1">
      <x:alignment horizontal="center" vertical="center" wrapText="1"/>
    </x:xf>
    <x:xf numFmtId="0" fontId="3" fillId="16" borderId="63" xfId="0" applyNumberFormat="1" applyFont="1" applyFill="1" applyBorder="1" applyAlignment="1">
      <x:alignment vertical="top" wrapText="1"/>
    </x:xf>
    <x:xf numFmtId="0" fontId="3" fillId="16" borderId="65" xfId="0" applyNumberFormat="1" applyFont="1" applyFill="1" applyBorder="1" applyAlignment="1">
      <x:alignment vertical="top" wrapText="1"/>
    </x:xf>
    <x:xf numFmtId="0" fontId="3" fillId="16" borderId="63" xfId="0" applyNumberFormat="1" applyFont="1" applyFill="1" applyBorder="1" applyAlignment="1">
      <x:alignment horizontal="center" vertical="top" wrapText="1"/>
    </x:xf>
    <x:xf numFmtId="0" fontId="3" fillId="16" borderId="65" xfId="0" applyNumberFormat="1" applyFont="1" applyFill="1" applyBorder="1" applyAlignment="1">
      <x:alignment horizontal="center" vertical="top" wrapText="1"/>
    </x:xf>
    <x:xf numFmtId="0" fontId="3" fillId="16" borderId="63" xfId="0" applyNumberFormat="1" applyFont="1" applyFill="1" applyBorder="1" applyAlignment="1">
      <x:alignment horizontal="center" vertical="center" wrapText="1"/>
    </x:xf>
    <x:xf numFmtId="0" fontId="0" fillId="16" borderId="53" xfId="0" applyNumberFormat="1" applyFont="1" applyFill="1" applyBorder="1" applyAlignment="1">
      <x:alignment vertical="center" wrapText="1"/>
    </x:xf>
    <x:xf numFmtId="0" fontId="0" fillId="16" borderId="56" xfId="0" applyNumberFormat="1" applyFont="1" applyFill="1" applyBorder="1" applyAlignment="1">
      <x:alignment vertical="center" wrapText="1"/>
    </x:xf>
    <x:xf numFmtId="0" fontId="3" fillId="16" borderId="65" xfId="0" applyNumberFormat="1" applyFont="1" applyFill="1" applyBorder="1" applyAlignment="1">
      <x:alignment horizontal="center" vertical="center" wrapText="1"/>
    </x:xf>
    <x:xf numFmtId="0" fontId="0" fillId="16" borderId="58" xfId="0" applyNumberFormat="1" applyFont="1" applyFill="1" applyBorder="1" applyAlignment="1">
      <x:alignment vertical="center" wrapText="1"/>
    </x:xf>
    <x:xf numFmtId="0" fontId="0" fillId="16" borderId="61"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0" fillId="5" borderId="0" xfId="0" applyNumberFormat="1" applyFont="1" applyFill="1" applyBorder="1"/>
    <x:xf numFmtId="0" fontId="0" fillId="6" borderId="0" xfId="0" applyNumberFormat="1" applyFont="1" applyFill="1" applyBorder="1"/>
    <x:xf numFmtId="0" fontId="3" fillId="7" borderId="0" xfId="0" applyNumberFormat="1" applyFont="1" applyFill="1" applyBorder="1" applyAlignment="1">
      <x:alignment vertical="center"/>
    </x:xf>
    <x:xf numFmtId="0" fontId="0" fillId="5" borderId="0"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3" fillId="6"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6" fillId="2" borderId="0" xfId="0" applyNumberFormat="1" applyFont="1" applyFill="1" applyBorder="1"/>
    <x:xf numFmtId="0" fontId="4" fillId="3" borderId="0" xfId="0" applyNumberFormat="1" applyFont="1" applyFill="1" applyBorder="1" applyAlignment="1">
      <x:alignment wrapText="1"/>
    </x:xf>
    <x:xf numFmtId="0" fontId="7" fillId="6" borderId="0" xfId="0" applyNumberFormat="1" applyFont="1" applyFill="1" applyBorder="1"/>
    <x:xf numFmtId="0" fontId="4" fillId="13" borderId="0" xfId="0" applyNumberFormat="1" applyFont="1" applyFill="1" applyBorder="1" applyAlignment="1">
      <x:alignment wrapText="1"/>
    </x:xf>
    <x:xf numFmtId="0" fontId="6" fillId="11" borderId="21" xfId="0" applyNumberFormat="1" applyFont="1" applyFill="1" applyBorder="1"/>
    <x:xf numFmtId="0" fontId="6" fillId="11" borderId="22" xfId="0" applyNumberFormat="1" applyFont="1" applyFill="1" applyBorder="1"/>
    <x:xf numFmtId="0" fontId="6" fillId="11" borderId="23" xfId="0" applyNumberFormat="1" applyFont="1" applyFill="1" applyBorder="1"/>
    <x:xf numFmtId="0" fontId="7" fillId="6" borderId="24" xfId="0" applyNumberFormat="1" applyFont="1" applyFill="1" applyBorder="1"/>
    <x:xf numFmtId="0" fontId="7" fillId="6" borderId="25"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4" fillId="13" borderId="24" xfId="0" applyNumberFormat="1" applyFont="1" applyFill="1" applyBorder="1" applyAlignment="1">
      <x:alignment wrapText="1"/>
    </x:xf>
    <x:xf numFmtId="0" fontId="4" fillId="13" borderId="25"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8" xfId="0" applyNumberFormat="1" applyFont="1" applyFill="1" applyBorder="1" applyAlignment="1">
      <x:alignment wrapText="1"/>
    </x:xf>
    <x:xf numFmtId="0" fontId="3" fillId="4" borderId="0" xfId="0" applyNumberFormat="1" applyFont="1" applyFill="1" applyBorder="1" applyAlignment="1">
      <x:alignment vertical="top"/>
    </x:xf>
    <x:xf numFmtId="0" fontId="5" fillId="0" borderId="29" xfId="0" applyNumberFormat="1" applyFont="1" applyFill="1" applyBorder="1" applyAlignment="1">
      <x:alignment vertical="top" wrapText="1"/>
    </x:xf>
    <x:xf numFmtId="0" fontId="0" fillId="5" borderId="29" xfId="0" applyNumberFormat="1" applyFont="1" applyFill="1" applyBorder="1" applyAlignment="1">
      <x:alignment vertical="top" wrapText="1"/>
    </x:xf>
    <x:xf numFmtId="0" fontId="0" fillId="6" borderId="29" xfId="0" applyNumberFormat="1" applyFont="1" applyFill="1" applyBorder="1" applyAlignment="1">
      <x:alignment vertical="center" wrapText="1"/>
    </x:xf>
    <x:xf numFmtId="0" fontId="3" fillId="4" borderId="29" xfId="0" applyNumberFormat="1" applyFont="1" applyFill="1" applyBorder="1" applyAlignment="1">
      <x:alignment vertical="center"/>
    </x:xf>
    <x:xf numFmtId="0" fontId="0" fillId="6" borderId="29"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3" fillId="4" borderId="29" xfId="0" applyNumberFormat="1" applyFont="1" applyFill="1" applyBorder="1" applyAlignment="1">
      <x:alignment vertical="center" wrapText="1"/>
    </x:xf>
    <x:xf numFmtId="0" fontId="0" fillId="0" borderId="29" xfId="0" applyNumberFormat="1" applyFont="1" applyFill="1" applyBorder="1" applyAlignment="1">
      <x:alignment horizontal="center" vertical="top" wrapText="1"/>
    </x:xf>
    <x:xf numFmtId="0" fontId="3" fillId="0" borderId="0" xfId="0" applyNumberFormat="1" applyFont="1" applyFill="1" applyBorder="1" applyAlignment="1">
      <x:alignment vertical="center"/>
    </x:xf>
    <x:xf numFmtId="164" fontId="0" fillId="5" borderId="29" xfId="0" applyNumberFormat="1" applyFont="1" applyFill="1" applyBorder="1" applyAlignment="1">
      <x:alignment vertical="top" wrapText="1"/>
    </x:xf>
    <x:xf numFmtId="0" fontId="0" fillId="6" borderId="29" xfId="0" applyNumberFormat="1" applyFont="1" applyFill="1" applyBorder="1" applyAlignment="1">
      <x:alignment vertical="top" wrapText="1"/>
    </x:xf>
    <x:xf numFmtId="0" fontId="0" fillId="5" borderId="29" xfId="0" applyNumberFormat="1" applyFont="1" applyFill="1" applyBorder="1" applyAlignment="1">
      <x:alignment horizontal="left" vertical="top" wrapText="1"/>
    </x:xf>
    <x:xf numFmtId="0" fontId="3" fillId="4" borderId="29" xfId="0" applyNumberFormat="1" applyFont="1" applyFill="1" applyBorder="1" applyAlignment="1">
      <x:alignment horizontal="left" vertical="top" wrapText="1"/>
    </x:xf>
    <x:xf numFmtId="0" fontId="0" fillId="0" borderId="0" xfId="0" applyNumberFormat="1" applyFont="1" applyFill="1" applyBorder="1" applyAlignment="1">
      <x:alignment horizontal="center"/>
    </x:xf>
    <x:xf numFmtId="0" fontId="3" fillId="0" borderId="29" xfId="0" applyNumberFormat="1" applyFont="1" applyFill="1" applyBorder="1" applyAlignment="1">
      <x:alignment horizontal="center" vertical="center"/>
    </x:xf>
    <x:xf numFmtId="164" fontId="0" fillId="0" borderId="29" xfId="0" applyNumberFormat="1" applyFont="1" applyFill="1" applyBorder="1" applyAlignment="1">
      <x:alignment horizontal="center" vertical="top" wrapText="1"/>
    </x:xf>
    <x:xf numFmtId="0" fontId="3" fillId="0" borderId="29" xfId="0" applyNumberFormat="1" applyFont="1" applyFill="1" applyBorder="1" applyAlignment="1">
      <x:alignment vertical="center"/>
    </x:xf>
    <x:xf numFmtId="164" fontId="0" fillId="0" borderId="29"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0" fillId="6" borderId="30" xfId="0" applyNumberFormat="1" applyFont="1" applyFill="1" applyBorder="1" applyAlignment="1">
      <x:alignment horizontal="center" vertical="center" wrapText="1"/>
    </x:xf>
    <x:xf numFmtId="0" fontId="0" fillId="6" borderId="31" xfId="0" applyNumberFormat="1" applyFont="1" applyFill="1" applyBorder="1" applyAlignment="1">
      <x:alignment horizontal="center" vertical="center" wrapText="1"/>
    </x:xf>
    <x:xf numFmtId="0" fontId="0" fillId="15" borderId="29" xfId="0" applyNumberFormat="1" applyFont="1" applyFill="1" applyBorder="1" applyAlignment="1">
      <x:alignment horizontal="center" vertical="center" wrapText="1"/>
    </x:xf>
    <x:xf numFmtId="2" fontId="0" fillId="6" borderId="30" xfId="0" applyNumberFormat="1" applyFont="1" applyFill="1" applyBorder="1" applyAlignment="1">
      <x:alignment horizontal="center" vertical="center" wrapText="1"/>
    </x:xf>
    <x:xf numFmtId="2" fontId="0" fillId="6" borderId="31" xfId="0" applyNumberFormat="1" applyFont="1" applyFill="1" applyBorder="1" applyAlignment="1">
      <x:alignment horizontal="center" vertical="center" wrapText="1"/>
    </x:xf>
    <x:xf numFmtId="2" fontId="0" fillId="15" borderId="30" xfId="0" applyNumberFormat="1" applyFont="1" applyFill="1" applyBorder="1" applyAlignment="1">
      <x:alignment horizontal="center" vertical="center" wrapText="1"/>
    </x:xf>
    <x:xf numFmtId="2" fontId="0" fillId="15" borderId="31"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top" wrapText="1"/>
    </x:xf>
    <x:xf numFmtId="0" fontId="0" fillId="0" borderId="29" xfId="0" applyNumberFormat="1" applyFont="1" applyFill="1" applyBorder="1" applyAlignment="1">
      <x:alignment horizontal="center" vertical="center" wrapText="1"/>
    </x:xf>
    <x:xf numFmtId="0" fontId="3" fillId="4" borderId="32" xfId="0" applyNumberFormat="1" applyFont="1" applyFill="1" applyBorder="1" applyAlignment="1">
      <x:alignment horizontal="center" vertical="center" wrapText="1"/>
    </x:xf>
    <x:xf numFmtId="0" fontId="3" fillId="4" borderId="33"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x:xf>
    <x:xf numFmtId="0" fontId="5" fillId="0" borderId="0" xfId="0" applyNumberFormat="1" applyFont="1" applyFill="1" applyBorder="1" applyAlignment="1">
      <x:alignment horizontal="center" vertical="top" wrapText="1"/>
    </x:xf>
    <x:xf numFmtId="0" fontId="0" fillId="0" borderId="34" xfId="0" applyNumberFormat="1" applyFont="1" applyFill="1" applyBorder="1"/>
    <x:xf numFmtId="0" fontId="0" fillId="5" borderId="29" xfId="0" applyNumberFormat="1" applyFont="1" applyFill="1" applyBorder="1" applyAlignment="1">
      <x:alignment horizontal="center" vertical="top" wrapText="1"/>
    </x:xf>
    <x:xf numFmtId="0" fontId="3" fillId="4" borderId="29" xfId="0" applyNumberFormat="1" applyFont="1" applyFill="1" applyBorder="1" applyAlignment="1">
      <x:alignment horizontal="center" vertical="center"/>
    </x:xf>
    <x:xf numFmtId="0" fontId="3" fillId="4" borderId="32" xfId="0" applyNumberFormat="1" applyFont="1" applyFill="1" applyBorder="1" applyAlignment="1">
      <x:alignment horizontal="center" vertical="center"/>
    </x:xf>
    <x:xf numFmtId="0" fontId="3" fillId="4" borderId="35" xfId="0" applyNumberFormat="1" applyFont="1" applyFill="1" applyBorder="1" applyAlignment="1">
      <x:alignment horizontal="center" vertical="center"/>
    </x:xf>
    <x:xf numFmtId="0" fontId="3" fillId="4" borderId="33" xfId="0" applyNumberFormat="1" applyFont="1" applyFill="1" applyBorder="1" applyAlignment="1">
      <x:alignment horizontal="center" vertical="center"/>
    </x:xf>
    <x:xf numFmtId="2" fontId="0" fillId="6" borderId="29" xfId="0" applyNumberFormat="1" applyFont="1" applyFill="1" applyBorder="1" applyAlignment="1">
      <x:alignment horizontal="center" vertical="center" wrapText="1"/>
    </x:xf>
    <x:xf numFmtId="2" fontId="0" fillId="6" borderId="29" xfId="0" applyNumberFormat="1" applyFont="1" applyFill="1" applyBorder="1" applyAlignment="1">
      <x:alignment vertical="top" wrapText="1"/>
    </x:xf>
    <x:xf numFmtId="164" fontId="0" fillId="5" borderId="29" xfId="0" applyNumberFormat="1" applyFont="1" applyFill="1" applyBorder="1" applyAlignment="1">
      <x:alignment horizontal="left" vertical="top" wrapText="1"/>
    </x:xf>
    <x:xf numFmtId="0" fontId="3" fillId="4" borderId="33" xfId="0" applyNumberFormat="1" applyFont="1" applyFill="1" applyBorder="1" applyAlignment="1">
      <x:alignment horizontal="center" vertical="top"/>
    </x:xf>
    <x:xf numFmtId="0" fontId="3" fillId="0" borderId="29" xfId="0" applyNumberFormat="1" applyFont="1" applyFill="1" applyBorder="1" applyAlignment="1">
      <x:alignment vertical="top"/>
    </x:xf>
    <x:xf numFmtId="0" fontId="8" fillId="5" borderId="0" xfId="0" applyNumberFormat="1" applyFont="1" applyFill="1" applyBorder="1"/>
    <x:xf numFmtId="0" fontId="8" fillId="6" borderId="0" xfId="0" applyNumberFormat="1" applyFont="1" applyFill="1" applyBorder="1"/>
    <x:xf numFmtId="0" fontId="0" fillId="4" borderId="0"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0" fillId="4" borderId="29" xfId="0" applyNumberFormat="1" applyFont="1" applyFill="1" applyBorder="1" applyAlignment="1">
      <x:alignment vertical="top" wrapText="1"/>
    </x:xf>
    <x:xf numFmtId="0" fontId="0" fillId="5" borderId="53" xfId="0" applyNumberFormat="1" applyFont="1" applyFill="1" applyBorder="1" applyAlignment="1">
      <x:alignment vertical="top" wrapText="1"/>
    </x:xf>
    <x:xf numFmtId="0" fontId="0" fillId="6" borderId="55" xfId="0" applyNumberFormat="1" applyFont="1" applyFill="1" applyBorder="1" applyAlignment="1">
      <x:alignment vertical="top" wrapText="1"/>
    </x:xf>
    <x:xf numFmtId="0" fontId="0" fillId="4" borderId="55" xfId="0" applyNumberFormat="1" applyFont="1" applyFill="1" applyBorder="1" applyAlignment="1">
      <x:alignment vertical="top" wrapText="1"/>
    </x:xf>
    <x:xf numFmtId="0" fontId="0" fillId="5" borderId="55" xfId="0" applyNumberFormat="1" applyFont="1" applyFill="1" applyBorder="1" applyAlignment="1">
      <x:alignment vertical="top" wrapText="1"/>
    </x:xf>
    <x:xf numFmtId="0" fontId="0" fillId="6" borderId="55" xfId="0" applyNumberFormat="1" applyFont="1" applyFill="1" applyBorder="1" applyAlignment="1">
      <x:alignment vertical="center" wrapText="1"/>
    </x:xf>
    <x:xf numFmtId="0" fontId="0" fillId="5" borderId="56" xfId="0" applyNumberFormat="1" applyFont="1" applyFill="1" applyBorder="1" applyAlignment="1">
      <x:alignment vertical="top" wrapText="1"/>
    </x:xf>
    <x:xf numFmtId="0" fontId="0" fillId="4" borderId="29" xfId="0" applyNumberFormat="1" applyFont="1" applyFill="1" applyBorder="1" applyAlignment="1">
      <x:alignment horizontal="center" vertical="top" wrapText="1"/>
    </x:xf>
    <x:xf numFmtId="0" fontId="0" fillId="6" borderId="29" xfId="0" applyNumberFormat="1" applyFont="1" applyFill="1" applyBorder="1" applyAlignment="1">
      <x:alignment horizontal="center" vertical="top" wrapText="1"/>
    </x:xf>
    <x:xf numFmtId="0" fontId="0" fillId="4" borderId="55" xfId="0" applyNumberFormat="1" applyFont="1" applyFill="1" applyBorder="1" applyAlignment="1">
      <x:alignment horizontal="center" vertical="top" wrapText="1"/>
    </x:xf>
    <x:xf numFmtId="0" fontId="0" fillId="5" borderId="55" xfId="0" applyNumberFormat="1" applyFont="1" applyFill="1" applyBorder="1" applyAlignment="1">
      <x:alignment horizontal="center" vertical="top" wrapText="1"/>
    </x:xf>
    <x:xf numFmtId="0" fontId="0" fillId="6" borderId="55" xfId="0" applyNumberFormat="1" applyFont="1" applyFill="1" applyBorder="1" applyAlignment="1">
      <x:alignment horizontal="center" vertical="top" wrapText="1"/>
    </x:xf>
    <x:xf numFmtId="0" fontId="0" fillId="4" borderId="29" xfId="0" applyNumberFormat="1" applyFont="1" applyFill="1" applyBorder="1" applyAlignment="1">
      <x:alignment horizontal="center" vertical="center" wrapText="1"/>
    </x:xf>
    <x:xf numFmtId="0" fontId="0" fillId="5" borderId="29" xfId="0" applyNumberFormat="1" applyFont="1" applyFill="1" applyBorder="1" applyAlignment="1">
      <x:alignment horizontal="center" vertical="center" wrapText="1"/>
    </x:xf>
    <x:xf numFmtId="0" fontId="0" fillId="4" borderId="55" xfId="0" applyNumberFormat="1" applyFont="1" applyFill="1" applyBorder="1" applyAlignment="1">
      <x:alignment horizontal="center" vertical="center" wrapText="1"/>
    </x:xf>
    <x:xf numFmtId="0" fontId="0" fillId="5" borderId="55" xfId="0" applyNumberFormat="1" applyFont="1" applyFill="1" applyBorder="1" applyAlignment="1">
      <x:alignment horizontal="center" vertical="center" wrapText="1"/>
    </x:xf>
    <x:xf numFmtId="0" fontId="0" fillId="6" borderId="55" xfId="0" applyNumberFormat="1" applyFont="1" applyFill="1" applyBorder="1" applyAlignment="1">
      <x:alignment horizontal="center" vertical="center" wrapText="1"/>
    </x:xf>
    <x:xf numFmtId="0" fontId="3" fillId="6" borderId="30" xfId="0" applyNumberFormat="1" applyFont="1" applyFill="1" applyBorder="1" applyAlignment="1">
      <x:alignment horizontal="center" vertical="center" wrapText="1"/>
    </x:xf>
    <x:xf numFmtId="2" fontId="3" fillId="6" borderId="30" xfId="0" applyNumberFormat="1" applyFont="1" applyFill="1" applyBorder="1" applyAlignment="1">
      <x:alignment horizontal="center" vertical="center" wrapText="1"/>
    </x:xf>
    <x:xf numFmtId="0" fontId="3" fillId="6" borderId="29" xfId="0" applyNumberFormat="1" applyFont="1" applyFill="1" applyBorder="1" applyAlignment="1">
      <x:alignment horizontal="center" vertical="center" wrapText="1"/>
    </x:xf>
    <x:xf numFmtId="0" fontId="3" fillId="6" borderId="63" xfId="0" applyNumberFormat="1" applyFont="1" applyFill="1" applyBorder="1" applyAlignment="1">
      <x:alignment horizontal="center" vertical="center" wrapText="1"/>
    </x:xf>
    <x:xf numFmtId="0" fontId="3" fillId="6" borderId="53" xfId="0" applyNumberFormat="1" applyFont="1" applyFill="1" applyBorder="1" applyAlignment="1">
      <x:alignment horizontal="center" vertical="center" wrapText="1"/>
    </x:xf>
    <x:xf numFmtId="2" fontId="3" fillId="6" borderId="53" xfId="0" applyNumberFormat="1" applyFont="1" applyFill="1" applyBorder="1" applyAlignment="1">
      <x:alignment horizontal="center" vertical="center" wrapText="1"/>
    </x:xf>
    <x:xf numFmtId="0" fontId="3" fillId="6" borderId="56" xfId="0" applyNumberFormat="1" applyFont="1" applyFill="1" applyBorder="1" applyAlignment="1">
      <x:alignment horizontal="center" vertical="center" wrapText="1"/>
    </x:xf>
    <x:xf numFmtId="2" fontId="3" fillId="6" borderId="29" xfId="0" applyNumberFormat="1" applyFont="1" applyFill="1" applyBorder="1" applyAlignment="1">
      <x:alignment horizontal="center" vertical="center" wrapText="1"/>
    </x:xf>
    <x:xf numFmtId="0" fontId="0" fillId="4" borderId="29" xfId="0" applyNumberFormat="1" applyFont="1" applyFill="1" applyBorder="1" applyAlignment="1">
      <x:alignment horizontal="left" vertical="top" wrapText="1"/>
    </x:xf>
    <x:xf numFmtId="0" fontId="0" fillId="4" borderId="53" xfId="0" applyNumberFormat="1" applyFont="1" applyFill="1" applyBorder="1" applyAlignment="1">
      <x:alignment vertical="top" wrapText="1"/>
    </x:xf>
    <x:xf numFmtId="0" fontId="0" fillId="4" borderId="53" xfId="0" applyNumberFormat="1" applyFont="1" applyFill="1" applyBorder="1" applyAlignment="1">
      <x:alignment horizontal="left" vertical="top" wrapText="1"/>
    </x:xf>
    <x:xf numFmtId="0" fontId="0" fillId="5" borderId="63" xfId="0" applyNumberFormat="1" applyFont="1" applyFill="1" applyBorder="1" applyAlignment="1">
      <x:alignment vertical="top" wrapText="1"/>
    </x:xf>
    <x:xf numFmtId="0" fontId="3" fillId="6" borderId="29" xfId="0" applyNumberFormat="1" applyFont="1" applyFill="1" applyBorder="1" applyAlignment="1">
      <x:alignment vertical="top" wrapText="1"/>
    </x:xf>
    <x:xf numFmtId="2" fontId="3" fillId="6" borderId="29" xfId="0" applyNumberFormat="1" applyFont="1" applyFill="1" applyBorder="1" applyAlignment="1">
      <x:alignment vertical="top" wrapText="1"/>
    </x:xf>
    <x:xf numFmtId="164" fontId="0" fillId="5" borderId="29" xfId="0" applyNumberFormat="1" applyFont="1" applyFill="1" applyBorder="1" applyAlignment="1">
      <x:alignment horizontal="center" vertical="top" wrapText="1"/>
    </x:xf>
    <x:xf numFmtId="164" fontId="0" fillId="5" borderId="53" xfId="0" applyNumberFormat="1" applyFont="1" applyFill="1" applyBorder="1" applyAlignment="1">
      <x:alignment horizontal="left" vertical="top" wrapText="1"/>
    </x:xf>
    <x:xf numFmtId="2" fontId="3" fillId="6" borderId="55" xfId="0" applyNumberFormat="1" applyFont="1" applyFill="1" applyBorder="1" applyAlignment="1">
      <x:alignment vertical="top" wrapText="1"/>
    </x:xf>
    <x:xf numFmtId="164" fontId="0" fillId="5" borderId="55" xfId="0" applyNumberFormat="1" applyFont="1" applyFill="1" applyBorder="1" applyAlignment="1">
      <x:alignment vertical="top" wrapText="1"/>
    </x:xf>
    <x:xf numFmtId="0" fontId="0" fillId="5" borderId="53" xfId="0" applyNumberFormat="1" applyFont="1" applyFill="1" applyBorder="1" applyAlignment="1">
      <x:alignment horizontal="center" vertical="top" wrapText="1"/>
    </x:xf>
    <x:xf numFmtId="164" fontId="0" fillId="5" borderId="53" xfId="0" applyNumberFormat="1" applyFont="1" applyFill="1" applyBorder="1" applyAlignment="1">
      <x:alignment horizontal="center" vertical="top" wrapText="1"/>
    </x:xf>
    <x:xf numFmtId="164" fontId="0" fillId="5" borderId="56" xfId="0" applyNumberFormat="1" applyFont="1" applyFill="1" applyBorder="1" applyAlignment="1">
      <x:alignment horizontal="center" vertical="top" wrapText="1"/>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5" borderId="0" xfId="0" applyNumberFormat="1" applyFont="1" applyFill="1" applyBorder="1" applyAlignment="1">
      <x:alignment horizontal="center"/>
    </x:xf>
    <x:xf numFmtId="0" fontId="8" fillId="5" borderId="0" xfId="0" applyNumberFormat="1" applyFont="1" applyFill="1" applyBorder="1" applyAlignment="1">
      <x:alignment horizontal="center" vertical="center"/>
    </x:xf>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8" fillId="5" borderId="0" xfId="0" applyNumberFormat="1" applyFont="1" applyFill="1" applyBorder="1" applyAlignment="1">
      <x:alignment horizontal="center" vertical="center" wrapText="1"/>
    </x:xf>
    <x:xf numFmtId="0" fontId="8" fillId="6" borderId="0" xfId="0" applyNumberFormat="1" applyFont="1" applyFill="1" applyBorder="1" applyAlignment="1">
      <x:alignment horizontal="center" vertical="center" wrapText="1"/>
    </x:xf>
    <x:xf numFmtId="0" fontId="9" fillId="4" borderId="29" xfId="0" applyNumberFormat="1" applyFont="1" applyFill="1" applyBorder="1" applyAlignment="1">
      <x:alignment horizontal="center" vertical="center" wrapText="1"/>
    </x:xf>
    <x:xf numFmtId="0" fontId="9" fillId="5" borderId="29" xfId="0" applyNumberFormat="1" applyFont="1" applyFill="1" applyBorder="1" applyAlignment="1">
      <x:alignment horizontal="center" vertical="center" wrapText="1"/>
    </x:xf>
    <x:xf numFmtId="0" fontId="9" fillId="6" borderId="29" xfId="0" applyNumberFormat="1" applyFont="1" applyFill="1" applyBorder="1" applyAlignment="1">
      <x:alignment horizontal="center" vertical="center" wrapText="1"/>
    </x:xf>
    <x:xf numFmtId="0" fontId="9" fillId="4" borderId="55" xfId="0" applyNumberFormat="1" applyFont="1" applyFill="1" applyBorder="1" applyAlignment="1">
      <x:alignment horizontal="center" vertical="center" wrapText="1"/>
    </x:xf>
    <x:xf numFmtId="0" fontId="9" fillId="5" borderId="55" xfId="0" applyNumberFormat="1" applyFont="1" applyFill="1" applyBorder="1" applyAlignment="1">
      <x:alignment horizontal="center" vertical="center" wrapText="1"/>
    </x:xf>
    <x:xf numFmtId="0" fontId="9" fillId="6" borderId="55" xfId="0" applyNumberFormat="1" applyFont="1" applyFill="1" applyBorder="1" applyAlignment="1">
      <x:alignment horizontal="center" vertical="center" wrapText="1"/>
    </x:xf>
    <x:xf numFmtId="0" fontId="3" fillId="5" borderId="63" xfId="0" applyNumberFormat="1" applyFont="1" applyFill="1" applyBorder="1" applyAlignment="1">
      <x:alignment vertical="top" wrapText="1"/>
    </x:xf>
    <x:xf numFmtId="0" fontId="3" fillId="5" borderId="63" xfId="0" applyNumberFormat="1" applyFont="1" applyFill="1" applyBorder="1" applyAlignment="1">
      <x:alignment horizontal="center" vertical="top" wrapText="1"/>
    </x:xf>
    <x:xf numFmtId="0" fontId="3" fillId="5" borderId="63" xfId="0" applyNumberFormat="1" applyFont="1" applyFill="1" applyBorder="1" applyAlignment="1">
      <x:alignment horizontal="center" vertical="center" wrapText="1"/>
    </x:xf>
    <x:xf numFmtId="0" fontId="0" fillId="5" borderId="53" xfId="0" applyNumberFormat="1" applyFont="1" applyFill="1" applyBorder="1" applyAlignment="1">
      <x:alignment vertical="center" wrapText="1"/>
    </x:xf>
    <x:xf numFmtId="0" fontId="0" fillId="5" borderId="56" xfId="0" applyNumberFormat="1" applyFont="1" applyFill="1" applyBorder="1" applyAlignment="1">
      <x:alignment vertical="center" wrapText="1"/>
    </x:xf>
  </x:cellXfs>
  <x:cellStyles count="1">
    <x:cellStyle name="Normal" xfId="0"/>
  </x:cellStyles>
  <x:dxfs count="10">
    <x:dxf>
      <x:fill>
        <x:patternFill>
          <x:bgColor rgb="FFF4CCCC"/>
        </x:patternFill>
      </x:fill>
    </x:dxf>
    <x:dxf>
      <x:fill>
        <x:patternFill>
          <x:bgColor rgb="FFFCE5CD"/>
        </x:patternFill>
      </x:fill>
    </x:dxf>
    <x:dxf>
      <x:fill>
        <x:patternFill>
          <x:bgColor rgb="FFFFF2CC"/>
        </x:patternFill>
      </x:fill>
    </x:dxf>
    <x:dxf>
      <x:fill>
        <x:patternFill>
          <x:bgColor rgb="FFE2F0D9"/>
        </x:patternFill>
      </x:fill>
    </x:dxf>
    <x:dxf>
      <x:fill>
        <x:patternFill>
          <x:bgColor rgb="FFE7E6E6"/>
        </x:patternFill>
      </x:fill>
    </x:dxf>
    <x:dxf>
      <x:fill>
        <x:patternFill>
          <x:bgColor rgb="FFF4CCCC"/>
        </x:patternFill>
      </x:fill>
    </x:dxf>
    <x:dxf>
      <x:fill>
        <x:patternFill>
          <x:bgColor rgb="FFFCE5CD"/>
        </x:patternFill>
      </x:fill>
    </x:dxf>
    <x:dxf>
      <x:fill>
        <x:patternFill>
          <x:bgColor rgb="FFE7E6E6"/>
        </x:patternFill>
      </x:fill>
    </x:dxf>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2a099c29e284fe6" /><Relationship Type="http://schemas.openxmlformats.org/officeDocument/2006/relationships/theme" Target="/xl/theme/theme1.xml" Id="Ra744f6965e9f402a" /><Relationship Type="http://schemas.openxmlformats.org/officeDocument/2006/relationships/sharedStrings" Target="/xl/sharedStrings.xml" Id="R90e6631f7bd14358" /><Relationship Type="http://schemas.openxmlformats.org/officeDocument/2006/relationships/worksheet" Target="/xl/worksheets/sheet1.xml" Id="R4268f9ca707342a9" /><Relationship Type="http://schemas.openxmlformats.org/officeDocument/2006/relationships/worksheet" Target="/xl/worksheets/sheet2.xml" Id="Rd861ebd5b08c43cc" /><Relationship Type="http://schemas.openxmlformats.org/officeDocument/2006/relationships/worksheet" Target="/xl/worksheets/sheet3.xml" Id="R20fbd910c11946ad" /><Relationship Type="http://schemas.openxmlformats.org/officeDocument/2006/relationships/worksheet" Target="/xl/worksheets/sheet4.xml" Id="R2601831165be46e5" /><Relationship Type="http://schemas.openxmlformats.org/officeDocument/2006/relationships/worksheet" Target="/xl/worksheets/sheet5.xml" Id="Rd0b63510140240f7" /><Relationship Type="http://schemas.openxmlformats.org/officeDocument/2006/relationships/worksheet" Target="/xl/worksheets/sheet6.xml" Id="R87acb5f699e34573" /><Relationship Type="http://schemas.openxmlformats.org/officeDocument/2006/relationships/worksheet" Target="/xl/worksheets/sheet7.xml" Id="R7197d2cf2f6940b7" /><Relationship Type="http://schemas.openxmlformats.org/officeDocument/2006/relationships/worksheet" Target="/xl/worksheets/sheet8.xml" Id="Rb62ecf9d789f41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1" customWidth="1"/>
    <x:col min="2" max="2" width="8" customWidth="1"/>
    <x:col min="3" max="3" width="38" customWidth="1"/>
    <x:col min="4" max="5" width="27" customWidth="1"/>
    <x:col min="6" max="6" width="22" customWidth="1"/>
    <x:col min="7" max="7" width="31" customWidth="1"/>
    <x:col min="8" max="8" width="9" customWidth="1"/>
    <x:col min="9" max="9" width="12" customWidth="1"/>
    <x:col min="10" max="10" width="31" customWidth="1"/>
    <x:col min="11" max="11" width="28" customWidth="1"/>
  </x:cols>
  <x:sheetData>
    <x:row r="1" ht="19.5">
      <x:c r="A1" s="1" t="s">
        <x:v>0</x:v>
      </x:c>
      <x:c r="B1" s="1"/>
      <x:c r="C1" s="1"/>
      <x:c r="D1" s="1"/>
      <x:c r="E1" s="1"/>
      <x:c r="F1" s="1"/>
      <x:c r="G1" s="1"/>
      <x:c r="H1" s="1"/>
      <x:c r="I1" s="1"/>
      <x:c r="J1" s="1"/>
      <x:c r="K1" s="1"/>
    </x:row>
    <x:row r="2" ht="63.75">
      <x:c r="A2" s="2" t="s">
        <x:v>1</x:v>
      </x:c>
      <x:c r="B2" s="2"/>
      <x:c r="C2" s="2"/>
      <x:c r="D2" s="2"/>
      <x:c r="E2" s="2"/>
      <x:c r="F2" s="2"/>
      <x:c r="G2" s="2"/>
      <x:c r="H2" s="2"/>
      <x:c r="I2" s="2"/>
      <x:c r="J2" s="2"/>
      <x:c r="K2" s="2"/>
    </x:row>
    <x:row r="3" ht="24" customHeight="1">
      <x:c r="A3" s="3" t="s">
        <x:v>2</x:v>
      </x:c>
      <x:c r="B3" s="547" t="str">
        <x:v>KUNING = input/reviewer</x:v>
      </x:c>
      <x:c r="C3" s="547" t="s">
        <x:v>3</x:v>
      </x:c>
      <x:c r="D3" s="548" t="str">
        <x:v>BIRU = data/hasil otomatis</x:v>
      </x:c>
      <x:c r="E3" s="548" t="str">
        <x:v>ABU = belum dapat dinilai</x:v>
      </x:c>
      <x:c r="F3" s="549" t="str">
        <x:v>HIJAU = dapat dinilai</x:v>
      </x:c>
      <x:c r="G3" s="549"/>
      <x:c r="H3" s="550" t="str">
        <x:v>ABU = belum dapat dinilai</x:v>
      </x:c>
      <x:c r="I3" s="550"/>
    </x:row>
    <x:row r="5" ht="15">
      <x:c r="A5" s="6" t="s">
        <x:v>4</x:v>
      </x:c>
      <x:c r="B5" s="6"/>
      <x:c r="C5" s="6"/>
      <x:c r="D5" s="6"/>
      <x:c r="E5" s="6"/>
      <x:c r="F5" s="555"/>
      <x:c r="G5" s="555"/>
      <x:c r="H5" s="555"/>
      <x:c r="I5" s="555"/>
      <x:c r="J5" s="555"/>
      <x:c r="K5" s="555"/>
    </x:row>
    <x:row r="6" ht="99.75" customHeight="1">
      <x:c r="A6" s="64" t="s">
        <x:v>5</x:v>
      </x:c>
      <x:c r="B6" s="245" t="str">
        <x:v>Pemerintah Kota Tanjungpinang</x:v>
      </x:c>
      <x:c r="C6" s="106"/>
      <x:c r="D6" s="65" t="s">
        <x:v>6</x:v>
      </x:c>
      <x:c r="E6" s="247" t="str">
        <x:v>MoU Pelayanan Hukum — nomor sesuai naskah/P2MA — 6 Januari 2026</x:v>
      </x:c>
      <x:c r="F6" s="556"/>
      <x:c r="G6" s="556"/>
      <x:c r="H6" s="556"/>
      <x:c r="I6" s="556"/>
      <x:c r="J6" s="556"/>
      <x:c r="K6" s="556"/>
    </x:row>
    <x:row r="7" ht="117" customHeight="1">
      <x:c r="A7" s="66" t="s">
        <x:v>7</x:v>
      </x:c>
      <x:c r="B7" s="245" t="str">
        <x:v>Pelayanan Hukum: pembentukan produk hukum daerah; pembentukan dan pembinaan Pos Bantuan Hukum; JDIH; layanan Administrasi Hukum Umum; dan layanan Kekayaan Intelektual.</x:v>
      </x:c>
      <x:c r="C7" s="107"/>
      <x:c r="D7" s="67" t="s">
        <x:v>8</x:v>
      </x:c>
      <x:c r="E7" s="247" t="str">
        <x:v>Update pasca-baseline s.d. 27 September 2026</x:v>
      </x:c>
      <x:c r="F7" s="556"/>
      <x:c r="G7" s="556"/>
      <x:c r="H7" s="556"/>
      <x:c r="I7" s="556"/>
      <x:c r="J7" s="556"/>
      <x:c r="K7" s="556"/>
    </x:row>
    <x:row r="8" ht="99.75" customHeight="1">
      <x:c r="A8" s="66" t="s">
        <x:v>9</x:v>
      </x:c>
      <x:c r="B8" s="249" t="str">
        <x:v>Pokja Data / Reviewer</x:v>
      </x:c>
      <x:c r="C8" s="107"/>
      <x:c r="D8" s="67" t="s">
        <x:v>10</x:v>
      </x:c>
      <x:c r="E8" s="251" t="str">
        <x:v>27 September 2026</x:v>
      </x:c>
      <x:c r="F8" s="556"/>
      <x:c r="G8" s="556"/>
      <x:c r="H8" s="556"/>
      <x:c r="I8" s="556"/>
      <x:c r="J8" s="556"/>
      <x:c r="K8" s="556"/>
    </x:row>
    <x:row r="9" ht="120.75" customHeight="1">
      <x:c r="A9" s="68" t="s">
        <x:v>11</x:v>
      </x:c>
      <x:c r="B9" s="245" t="str">
        <x:v>Mitra: Lia Adhayatni, S.H., M.H. (utama) dan Nidia Widiastuti Selayar, S.H., M.H. (cadangan). Pengampu internal terlihat dari pelaksanaan per ruang lingkup, namun PIC internal individual belum tercantum eksplisit dalam paket data.</x:v>
      </x:c>
      <x:c r="C9" s="108"/>
      <x:c r="D9" s="69" t="s">
        <x:v>12</x:v>
      </x:c>
      <x:c r="E9" s="247" t="str">
        <x:v>6 Januari 2026 s.d. 5 Januari 2031 — usia perjanjian 264 hari (lebih dari 6 bulan)</x:v>
      </x:c>
      <x:c r="F9" s="556"/>
      <x:c r="G9" s="556"/>
      <x:c r="H9" s="556"/>
      <x:c r="I9" s="556"/>
      <x:c r="J9" s="556"/>
      <x:c r="K9" s="556"/>
    </x:row>
    <x:row r="11" ht="15">
      <x:c r="A11" s="6" t="s">
        <x:v>13</x:v>
      </x:c>
      <x:c r="B11" s="6"/>
      <x:c r="C11" s="6"/>
      <x:c r="D11" s="6"/>
      <x:c r="E11" s="6"/>
      <x:c r="F11" s="6"/>
      <x:c r="G11" s="6"/>
      <x:c r="H11" s="6"/>
      <x:c r="I11" s="6"/>
      <x:c r="J11" s="6"/>
      <x:c r="K11" s="6"/>
    </x:row>
    <x:row r="12" ht="15">
      <x:c r="A12" s="267" t="s">
        <x:v>14</x:v>
      </x:c>
      <x:c r="B12" s="268" t="s">
        <x:v>15</x:v>
      </x:c>
      <x:c r="C12" s="268" t="s">
        <x:v>16</x:v>
      </x:c>
      <x:c r="D12" s="268" t="s">
        <x:v>17</x:v>
      </x:c>
      <x:c r="E12" s="268" t="s">
        <x:v>18</x:v>
      </x:c>
      <x:c r="F12" s="268" t="s">
        <x:v>19</x:v>
      </x:c>
      <x:c r="G12" s="268" t="s">
        <x:v>20</x:v>
      </x:c>
      <x:c r="H12" s="268" t="s">
        <x:v>21</x:v>
      </x:c>
      <x:c r="I12" s="268" t="s">
        <x:v>22</x:v>
      </x:c>
      <x:c r="J12" s="268" t="s">
        <x:v>23</x:v>
      </x:c>
      <x:c r="K12" s="269" t="s">
        <x:v>24</x:v>
      </x:c>
    </x:row>
    <x:row r="13" ht="81.94999694824219" customHeight="1">
      <x:c r="A13" s="270" t="s">
        <x:v>25</x:v>
      </x:c>
      <x:c r="B13" s="271">
        <x:v>10</x:v>
      </x:c>
      <x:c r="C13" s="272" t="s">
        <x:v>26</x:v>
      </x:c>
      <x:c r="D13" s="253" t="str">
        <x:v>Unit pengampu, PIC internal, PIC mitra, dan rencana tindak lanjut: BELUM TERSEDIA pada final baseline.</x:v>
      </x:c>
      <x:c r="E13" s="255" t="str">
        <x:v>PIC mitra utama dan cadangan sudah tersedia dan aktif dalam koordinasi. Terdapat 2 usulan tindak lanjut dengan target dan pihak yang dilibatkan, serta pelaksanaan aktual menunjukkan koordinasi lintas ruang lingkup. PIC internal individual belum tercantum secara eksplisit dalam paket data.</x:v>
      </x:c>
      <x:c r="F13" s="559" t="str">
        <x:v>DAPAT DINILAI</x:v>
      </x:c>
      <x:c r="G13" s="560" t="str">
        <x:v>Data Stakeholder — IDENTITAS &amp; PIC; USULAN TINDAK LANJUT; 10 kegiatan aktual dengan bukti; matriks internal RL14–RL18.</x:v>
      </x:c>
      <x:c r="H13" s="561" t="n">
        <x:v>2</x:v>
      </x:c>
      <x:c r="I13" s="562" t="n">
        <x:f t="shared" ref="I13:I19" si="0">IF(F13="DAPAT DINILAI",IF(ISNUMBER(H13),H13/4*B13,""),"")</x:f>
        <x:v>5</x:v>
      </x:c>
      <x:c r="J13" s="257" t="str">
        <x:v>Penanggung jawab mitra dan sebagian rencana tindak lanjut sudah jelas serta koordinasi operasional terbukti berjalan. Namun pengampu/PIC internal individual dan pembagian peran lintas seluruh ruang lingkup belum terdokumentasi secara konsisten. Sesuai rubrik I1, kondisi ini berada pada skor 2.</x:v>
      </x:c>
      <x:c r="K13" s="273" t="str">
        <x:v>Tetapkan/tegaskan focal point internal per ruang lingkup, susun daftar PIC aktif, dan satukan rencana tindak lanjut dalam kalender kerja bersama.</x:v>
      </x:c>
    </x:row>
    <x:row r="14" ht="81.94999694824219" customHeight="1">
      <x:c r="A14" s="270" t="s">
        <x:v>27</x:v>
      </x:c>
      <x:c r="B14" s="271">
        <x:v>15</x:v>
      </x:c>
      <x:c r="C14" s="272" t="s">
        <x:v>28</x:v>
      </x:c>
      <x:c r="D14" s="253" t="str">
        <x:v>Pelaksanaan dan hasil: BELUM TERSEDIA pada final baseline.</x:v>
      </x:c>
      <x:c r="E14" s="255" t="str">
        <x:v>Implementasi telah berjalan nyata. Mitra melaporkan 10 kegiatan yang seluruhnya sudah dilaksanakan dan memiliki bukti, meliputi layanan/pembinaan Posbankum serta harmonisasi produk hukum daerah. Data internal juga menunjukkan pelaksanaan Posbankum, JDIH, dan harmonisasi. Layanan AHU belum dilaksanakan dan data KI belum diperoleh.</x:v>
      </x:c>
      <x:c r="F14" s="559" t="str">
        <x:v>DAPAT DINILAI</x:v>
      </x:c>
      <x:c r="G14" s="560" t="str">
        <x:v>Data Stakeholder — PELAKSANAAN KEGIATAN: 10 kegiatan, 10 bukti; RL14 Produk Hukum; RL15 Posbankum; RL16 JDIH; RL17 AHU; RL18 KI.</x:v>
      </x:c>
      <x:c r="H14" s="561" t="n">
        <x:v>3</x:v>
      </x:c>
      <x:c r="I14" s="562" t="n">
        <x:f t="shared" si="0">IF(F14="DAPAT DINILAI",IF(ISNUMBER(H14),H14/4*B14,""),"")</x:f>
        <x:v>11.25</x:v>
      </x:c>
      <x:c r="J14" s="257" t="str">
        <x:v>Tindak lanjut utama telah terlaksana dan berjalan cukup konsisten pada beberapa ruang lingkup utama, dengan bukti kegiatan yang dapat ditelusuri. Belum mencapai skor 4 karena implementasi belum merata pada layanan AHU dan KI.</x:v>
      </x:c>
      <x:c r="K14" s="273" t="str">
        <x:v>Pertahankan kesinambungan Posbankum, harmonisasi, dan JDIH; aktivasi tindak lanjut AHU; konfirmasi dan tindak lanjuti status layanan KI.</x:v>
      </x:c>
    </x:row>
    <x:row r="15" ht="81.94999694824219" customHeight="1">
      <x:c r="A15" s="270" t="s">
        <x:v>29</x:v>
      </x:c>
      <x:c r="B15" s="271">
        <x:v>15</x:v>
      </x:c>
      <x:c r="C15" s="272" t="s">
        <x:v>30</x:v>
      </x:c>
      <x:c r="D15" s="253" t="str">
        <x:v>Pelaksanaan dan eviden implementasi: BELUM TERSEDIA pada final baseline.</x:v>
      </x:c>
      <x:c r="E15" s="255" t="str">
        <x:v>Output nyata telah dihasilkan: layanan Posbankum, koordinasi/evaluasi dan pembinaan paralegal, hasil harmonisasi Ranperda/Ranperwako, serta output asistensi JDIH. Output belum merata pada seluruh ruang lingkup karena AHU belum berjalan dan KI belum terkonfirmasi.</x:v>
      </x:c>
      <x:c r="F15" s="559" t="str">
        <x:v>DAPAT DINILAI</x:v>
      </x:c>
      <x:c r="G15" s="560" t="str">
        <x:v>10 kegiatan dan link bukti dari Pemkot Tanjungpinang; RL14 mencatat Surat Penyampaian Hasil/e-Harmonisasi; RL15 mencatat Posbankum; RL16 mencatat laporan/dokumentasi JDIH.</x:v>
      </x:c>
      <x:c r="H15" s="561" t="n">
        <x:v>3</x:v>
      </x:c>
      <x:c r="I15" s="562" t="n">
        <x:f t="shared" si="0">IF(F15="DAPAT DINILAI",IF(ISNUMBER(H15),H15/4*B15,""),"")</x:f>
        <x:v>11.25</x:v>
      </x:c>
      <x:c r="J15" s="257" t="str">
        <x:v>Sebagian besar output utama pada ruang lingkup yang aktif telah tercapai dan dapat dibuktikan. Belum skor 4 karena output belum lengkap/konsisten pada seluruh ruang lingkup kerja sama.</x:v>
      </x:c>
      <x:c r="K15" s="273" t="str">
        <x:v>Buat daftar output per ruang lingkup dan target tahunan agar capaian AHU, KI, JDIH, Posbankum, dan produk hukum dapat dibandingkan secara periodik.</x:v>
      </x:c>
    </x:row>
    <x:row r="16" ht="81.94999694824219" customHeight="1">
      <x:c r="A16" s="270" t="s">
        <x:v>31</x:v>
      </x:c>
      <x:c r="B16" s="271">
        <x:v>20</x:v>
      </x:c>
      <x:c r="C16" s="272" t="s">
        <x:v>32</x:v>
      </x:c>
      <x:c r="D16" s="253" t="str">
        <x:v>Final baseline belum memiliki data outcome/manfaat terukur.</x:v>
      </x:c>
      <x:c r="E16" s="255" t="str">
        <x:v>Manfaat sudah terlihat pada beberapa sasaran: masyarakat memperoleh layanan konsultasi/informasi hukum dan pendampingan melalui Posbankum; kesiapan pengelolaan JDIH meningkat; serta harmonisasi menghasilkan rancangan produk hukum yang lebih selaras. Namun ukuran kuantitatif outcome belum konsisten.</x:v>
      </x:c>
      <x:c r="F16" s="563" t="str">
        <x:v>DAPAT DINILAI</x:v>
      </x:c>
      <x:c r="G16" s="560" t="str">
        <x:v>Data Stakeholder — hasil/manfaat 10 kegiatan; RL14 outcome harmonisasi; RL15 outcome layanan masyarakat; RL16 outcome kesiapan JDIH.</x:v>
      </x:c>
      <x:c r="H16" s="563" t="n">
        <x:v>2</x:v>
      </x:c>
      <x:c r="I16" s="563" t="n">
        <x:f t="shared" si="0">IF(F16="DAPAT DINILAI",IF(ISNUMBER(H16),H16/4*B16,""),"")</x:f>
        <x:v>10</x:v>
      </x:c>
      <x:c r="J16" s="257" t="str">
        <x:v>Outcome telah terlihat pada sebagian sasaran dan proses, tetapi belum disertai indikator kuantitatif yang cukup untuk menunjukkan outcome utama secara terukur. Sesuai rubrik I4, skor 2.</x:v>
      </x:c>
      <x:c r="K16" s="273" t="str">
        <x:v>Mulai ukur jumlah penerima layanan Posbankum, jumlah/jenis produk hukum yang diharmonisasi, tindak lanjut JDIH, serta indikator manfaat layanan lainnya.</x:v>
      </x:c>
    </x:row>
    <x:row r="17" ht="81.94999694824219" customHeight="1">
      <x:c r="A17" s="270" t="s">
        <x:v>33</x:v>
      </x:c>
      <x:c r="B17" s="271">
        <x:v>20</x:v>
      </x:c>
      <x:c r="C17" s="272" t="s">
        <x:v>34</x:v>
      </x:c>
      <x:c r="D17" s="253" t="str">
        <x:v>Final baseline belum memiliki data kontribusi/dampak terhadap kinerja organisasi atau pelayanan hukum.</x:v>
      </x:c>
      <x:c r="E17" s="255" t="str">
        <x:v>Kontribusi terhadap pelayanan hukum dapat dijelaskan: memperluas akses konsultasi dan bantuan hukum, memperkuat kualitas produk hukum daerah, serta mendukung pengelolaan dan akses informasi hukum melalui JDIH. Hubungan dengan indikator kinerja organisasi belum diukur secara konsisten.</x:v>
      </x:c>
      <x:c r="F17" s="563" t="str">
        <x:v>DAPAT DINILAI</x:v>
      </x:c>
      <x:c r="G17" s="560" t="str">
        <x:v>RL14 kontribusi pada kualitas/kepastian hukum; RL15 kontribusi pada layanan masyarakat; RL16 kontribusi pada kualitas pengelolaan dan akses informasi hukum; 10 kegiatan Pemkot dengan bukti.</x:v>
      </x:c>
      <x:c r="H17" s="563" t="n">
        <x:v>2</x:v>
      </x:c>
      <x:c r="I17" s="563" t="n">
        <x:f t="shared" si="0">IF(F17="DAPAT DINILAI",IF(ISNUMBER(H17),H17/4*B17,""),"")</x:f>
        <x:v>10</x:v>
      </x:c>
      <x:c r="J17" s="257" t="str">
        <x:v>Kontribusi terhadap kinerja/pelayanan dapat dijelaskan dan didukung sebagian data, namun belum ada ukuran kontribusi yang terstruktur dan terukur untuk keseluruhan portofolio. Sesuai rubrik I5, skor 2.</x:v>
      </x:c>
      <x:c r="K17" s="273" t="str">
        <x:v>Hubungkan output/outcome dengan indikator layanan hukum, misalnya jumlah layanan Posbankum, jumlah harmonisasi, kualitas/kepatuhan produk hukum, dan indikator JDIH.</x:v>
      </x:c>
    </x:row>
    <x:row r="18" ht="81.94999694824219" customHeight="1">
      <x:c r="A18" s="270" t="s">
        <x:v>35</x:v>
      </x:c>
      <x:c r="B18" s="271">
        <x:v>10</x:v>
      </x:c>
      <x:c r="C18" s="272" t="s">
        <x:v>36</x:v>
      </x:c>
      <x:c r="D18" s="253" t="str">
        <x:v>Arsip resmi: BELUM TERSEDIA; P2MA: TERVERIFIKASI; eviden implementasi: BELUM TERSEDIA.</x:v>
      </x:c>
      <x:c r="E18" s="255" t="str">
        <x:v>Evidence pasca-baseline jauh lebih kuat: 10 kegiatan dari mitra memiliki tautan bukti, ditambah bukti internal pada e-Harmonisasi, laporan Posbankum, laporan/dokumentasi JDIH, dan naskah/P2MA. Namun evidence belum terkonsolidasi dalam satu repository dan data KI masih belum diperoleh.</x:v>
      </x:c>
      <x:c r="F18" s="559" t="str">
        <x:v>DAPAT DINILAI</x:v>
      </x:c>
      <x:c r="G18" s="560" t="str">
        <x:v>10 tautan Google Drive dari Data Stakeholder; e-Harmonisasi; laporan/dokumentasi Posbankum dan JDIH; P2MA; RL14–RL18.</x:v>
      </x:c>
      <x:c r="H18" s="561" t="n">
        <x:v>2</x:v>
      </x:c>
      <x:c r="I18" s="562" t="n">
        <x:f t="shared" si="0">IF(F18="DAPAT DINILAI",IF(ISNUMBER(H18),H18/4*B18,""),"")</x:f>
        <x:v>5</x:v>
      </x:c>
      <x:c r="J18" s="257" t="str">
        <x:v>Evidence utama tersedia dan dapat ditelusuri, tetapi belum konsisten dalam kelengkapan dan tata kelolanya untuk seluruh ruang lingkup. Khusus layanan KI, data/evidence masih belum diperoleh. Sesuai rubrik I6, skor 2.</x:v>
      </x:c>
      <x:c r="K18" s="273" t="str">
        <x:v>Konsolidasikan satu repository evidence P03, beri indeks per ruang lingkup dan periode, serta lengkapi data/evidence layanan KI dan status AHU.</x:v>
      </x:c>
    </x:row>
    <x:row r="19" ht="81.94999694824219" customHeight="1">
      <x:c r="A19" s="274" t="s">
        <x:v>37</x:v>
      </x:c>
      <x:c r="B19" s="275">
        <x:v>10</x:v>
      </x:c>
      <x:c r="C19" s="276" t="s">
        <x:v>38</x:v>
      </x:c>
      <x:c r="D19" s="277" t="str">
        <x:v>Masa berlaku: TERVERIFIKASI; hambatan/gap operasional: BELUM TERSEDIA.</x:v>
      </x:c>
      <x:c r="E19" s="278" t="str">
        <x:v>Perjanjian masih berlaku sampai 5 Januari 2031. Risiko/gap yang terlihat adalah ketidakmerataan implementasi antar ruang lingkup, kebutuhan pembinaan Posbankum berkelanjutan, tindak lanjut penguatan JDIH, belum adanya kegiatan AHU, dan belum diperolehnya data KI. Terdapat usulan tindak lanjut untuk penguatan paralegal dan harmonisasi.</x:v>
      </x:c>
      <x:c r="F19" s="564" t="str">
        <x:v>DAPAT DINILAI</x:v>
      </x:c>
      <x:c r="G19" s="565" t="str">
        <x:v>Final baseline masa berlaku; RL15 hambatan Posbankum; RL16 kebutuhan tindak lanjut JDIH; RL17 AHU tidak ada kegiatan; RL18 KI belum diperoleh; Data Stakeholder — USULAN TINDAK LANJUT.</x:v>
      </x:c>
      <x:c r="H19" s="566" t="n">
        <x:v>2</x:v>
      </x:c>
      <x:c r="I19" s="567" t="n">
        <x:f t="shared" si="0">IF(F19="DAPAT DINILAI",IF(ISNUMBER(H19),H19/4*B19,""),"")</x:f>
        <x:v>5</x:v>
      </x:c>
      <x:c r="J19" s="280" t="str">
        <x:v>Risiko utama sudah terlihat dan sebagian mulai ditangani melalui tindak lanjut, tetapi masih ada gap penting pada pemerataan implementasi, tata kelola evidence, AHU, KI, serta pengukuran hasil. Sesuai rubrik I7, skor 2.</x:v>
      </x:c>
      <x:c r="K19" s="282" t="str">
        <x:v>Tetapkan owner dan target mitigasi per gap, termasuk aktivasi AHU/KI, pembinaan Posbankum, tindak lanjut JDIH, dan review triwulanan.</x:v>
      </x:c>
    </x:row>
    <x:row r="21" ht="39" customHeight="1">
      <x:c r="A21" s="6" t="s">
        <x:v>39</x:v>
      </x:c>
      <x:c r="B21" s="6"/>
      <x:c r="C21" s="6"/>
      <x:c r="D21" s="6"/>
      <x:c r="E21" s="6"/>
      <x:c r="F21" s="6"/>
      <x:c r="G21" s="6"/>
      <x:c r="H21" s="6"/>
      <x:c r="I21" s="6"/>
      <x:c r="J21" s="6"/>
      <x:c r="K21" s="6"/>
    </x:row>
    <x:row r="22" ht="28.5" customHeight="1">
      <x:c r="A22" s="343" t="s">
        <x:v>40</x:v>
      </x:c>
      <x:c r="B22" s="344" t="n">
        <x:f>COUNTIF($F$13:$F$19,"DAPAT DINILAI")</x:f>
        <x:v>7</x:v>
      </x:c>
      <x:c r="C22" s="99"/>
      <x:c r="E22" s="81"/>
      <x:c r="F22" s="81"/>
      <x:c r="H22" s="31" t="s">
        <x:v>41</x:v>
      </x:c>
      <x:c r="I22" s="31"/>
      <x:c r="J22" s="31"/>
      <x:c r="K22" s="31"/>
    </x:row>
    <x:row r="23" ht="33.95000076293945" customHeight="1">
      <x:c r="A23" s="345" t="s">
        <x:v>42</x:v>
      </x:c>
      <x:c r="B23" s="346" t="n">
        <x:f>COUNTIF($F$13:$F$19,"BELUM DAPAT DINILAI")</x:f>
        <x:v>0</x:v>
      </x:c>
      <x:c r="C23" s="99"/>
      <x:c r="H23" s="79" t="s">
        <x:v>43</x:v>
      </x:c>
      <x:c r="I23" s="97" t="s">
        <x:v>44</x:v>
      </x:c>
      <x:c r="J23" s="97"/>
      <x:c r="K23" s="78"/>
    </x:row>
    <x:row r="24" ht="33.95000076293945" customHeight="1">
      <x:c r="A24" s="345" t="s">
        <x:v>45</x:v>
      </x:c>
      <x:c r="B24" s="346" t="n">
        <x:f>COUNTIF($F$13:$F$19,"BUKTI BELUM MEMADAI")</x:f>
        <x:v>0</x:v>
      </x:c>
      <x:c r="C24" s="99"/>
      <x:c r="H24" s="79" t="s">
        <x:v>46</x:v>
      </x:c>
      <x:c r="I24" s="97" t="s">
        <x:v>47</x:v>
      </x:c>
      <x:c r="J24" s="97"/>
      <x:c r="K24" s="77"/>
    </x:row>
    <x:row r="25" ht="33.95000076293945" customHeight="1">
      <x:c r="A25" s="345" t="s">
        <x:v>48</x:v>
      </x:c>
      <x:c r="B25" s="347" t="n">
        <x:f>SUMIF($F$13:$F$19,"DAPAT DINILAI",$B$13:$B$19)</x:f>
        <x:v>100</x:v>
      </x:c>
      <x:c r="C25" s="103"/>
      <x:c r="H25" s="79" t="s">
        <x:v>49</x:v>
      </x:c>
      <x:c r="I25" s="97" t="s">
        <x:v>50</x:v>
      </x:c>
      <x:c r="J25" s="97"/>
      <x:c r="K25" s="27"/>
    </x:row>
    <x:row r="26" ht="33.95000076293945" customHeight="1">
      <x:c r="A26" s="345" t="s">
        <x:v>51</x:v>
      </x:c>
      <x:c r="B26" s="347" t="n">
        <x:f>IF(B22=7,SUM($I$13:$I$19),"")</x:f>
        <x:v>57.5</x:v>
      </x:c>
      <x:c r="C26" s="105"/>
      <x:c r="H26" s="79" t="s">
        <x:v>52</x:v>
      </x:c>
      <x:c r="I26" s="97" t="s">
        <x:v>53</x:v>
      </x:c>
      <x:c r="J26" s="97"/>
      <x:c r="K26" s="20"/>
    </x:row>
    <x:row r="27" ht="33.95000076293945" customHeight="1">
      <x:c r="A27" s="345" t="s">
        <x:v>54</x:v>
      </x:c>
      <x:c r="B27" s="346" t="str">
        <x:f>IF(B24&gt;0,"BUKTI BELUM MEMADAI",IF(B22=7,"SIAP DIVALIDASI",IF(B23&gt;0,"MASA IMPLEMENTASI AWAL",IF(B22=0,"BELUM DINILAI","DALAM PENILAIAN"))))</x:f>
        <x:v>SIAP DIVALIDASI</x:v>
      </x:c>
      <x:c r="C27" s="100"/>
      <x:c r="H27" s="79" t="s">
        <x:v>55</x:v>
      </x:c>
      <x:c r="I27" s="97" t="s">
        <x:v>56</x:v>
      </x:c>
      <x:c r="J27" s="97"/>
      <x:c r="K27" s="23"/>
    </x:row>
    <x:row r="28" ht="31.5" customHeight="1">
      <x:c r="A28" s="348" t="s">
        <x:v>57</x:v>
      </x:c>
      <x:c r="B28" s="349" t="str">
        <x:f>IF(B26="","",IF(B26&gt;=80,"KUAT",IF(B26&gt;=60,"CUKUP / PERLU PENGUATAN",IF(B26&gt;=40,"PERLU PERBAIKAN","KRITIS"))))</x:f>
        <x:v>PERLU PERBAIKAN</x:v>
      </x:c>
      <x:c r="C28" s="101"/>
    </x:row>
  </x:sheetData>
  <x:mergeCells>
    <x:mergeCell ref="B6:C6"/>
    <x:mergeCell ref="B7:C7"/>
    <x:mergeCell ref="B8:C8"/>
    <x:mergeCell ref="B9:C9"/>
    <x:mergeCell ref="B22:C22"/>
    <x:mergeCell ref="B27:C27"/>
    <x:mergeCell ref="B28:C28"/>
    <x:mergeCell ref="B23:C23"/>
    <x:mergeCell ref="B24:C24"/>
    <x:mergeCell ref="B25:C25"/>
    <x:mergeCell ref="B26:C26"/>
    <x:mergeCell ref="I23:J23"/>
    <x:mergeCell ref="I24:J24"/>
    <x:mergeCell ref="I25:J25"/>
    <x:mergeCell ref="I26:J26"/>
    <x:mergeCell ref="I27:J27"/>
    <x:mergeCell ref="B3:C3"/>
    <x:mergeCell ref="D3:E3"/>
    <x:mergeCell ref="F3:G3"/>
    <x:mergeCell ref="H3:I3"/>
  </x:mergeCells>
  <x:conditionalFormatting sqref="F13:F19">
    <x:cfRule type="expression" dxfId="9" priority="1">
      <x:formula>F13="DAPAT DINILAI"</x:formula>
    </x:cfRule>
    <x:cfRule type="expression" dxfId="8" priority="2">
      <x:formula>F13="BUKTI BELUM MEMADAI"</x:formula>
    </x:cfRule>
    <x:cfRule type="expression" dxfId="7" priority="3">
      <x:formula>F13="BELUM DAPAT DINILAI"</x:formula>
    </x:cfRule>
  </x:conditionalFormatting>
  <x:conditionalFormatting sqref="H13:H19">
    <x:cfRule type="expression" dxfId="6" priority="4">
      <x:formula>AND($F13="DAPAT DINILAI",$H13="")</x:formula>
    </x:cfRule>
    <x:cfRule type="expression" dxfId="5" priority="5">
      <x:formula>AND($F13&lt;&gt;"DAPAT DINILAI",$H13&lt;&gt;"")</x:formula>
    </x:cfRule>
  </x:conditionalFormatting>
  <x:dataValidations count="2">
    <x:dataValidation type="list" sqref="F13:F19">
      <x:formula1>"DAPAT DINILAI,BUKTI BELUM MEMADAI,BELUM DAPAT DINILAI"</x:formula1>
    </x:dataValidation>
    <x:dataValidation sqref="H13:H19">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FormatPr defaultRowHeight="14.25"/>
  <x:cols>
    <x:col min="1" max="1" width="20.25" customWidth="1"/>
    <x:col min="2" max="2" width="16.875" customWidth="1"/>
    <x:col min="3" max="3" width="28.5" customWidth="1"/>
    <x:col min="4" max="4" width="26" customWidth="1"/>
    <x:col min="5" max="5" width="23.5" customWidth="1"/>
    <x:col min="6" max="6" width="14.125" customWidth="1"/>
    <x:col min="7" max="7" width="14.375" customWidth="1"/>
    <x:col min="8" max="8" width="3" customWidth="1"/>
    <x:col min="9" max="9" width="13.875" customWidth="1"/>
    <x:col min="10" max="10" width="23.375" customWidth="1"/>
    <x:col min="11" max="11" width="20" customWidth="1"/>
  </x:cols>
  <x:sheetData>
    <x:row r="1" ht="19.5">
      <x:c r="A1" s="1" t="s">
        <x:v>58</x:v>
      </x:c>
      <x:c r="B1" s="1"/>
      <x:c r="C1" s="1"/>
      <x:c r="D1" s="1"/>
      <x:c r="E1" s="1"/>
      <x:c r="F1" s="1"/>
      <x:c r="G1" s="1"/>
      <x:c r="H1" s="1"/>
      <x:c r="I1" s="1"/>
      <x:c r="J1" s="1"/>
      <x:c r="K1" s="1"/>
    </x:row>
    <x:row r="2" ht="76.5">
      <x:c r="A2" s="2" t="s">
        <x:v>59</x:v>
      </x:c>
      <x:c r="B2" s="2"/>
      <x:c r="C2" s="2"/>
      <x:c r="D2" s="2"/>
      <x:c r="E2" s="2"/>
      <x:c r="F2" s="2"/>
      <x:c r="G2" s="2"/>
      <x:c r="H2" s="2"/>
      <x:c r="I2" s="2"/>
      <x:c r="J2" s="2"/>
      <x:c r="K2" s="2"/>
    </x:row>
    <x:row r="3" ht="24" customHeight="1">
      <x:c r="A3" s="3" t="s">
        <x:v>2</x:v>
      </x:c>
      <x:c r="B3" s="533" t="str">
        <x:v>KUNING = input/keputusan</x:v>
      </x:c>
      <x:c r="C3" s="533" t="s">
        <x:v>3</x:v>
      </x:c>
      <x:c r="D3" s="537" t="str">
        <x:v>BIRU = hasil otomatis/ringkasan</x:v>
      </x:c>
      <x:c r="E3" s="537" t="str">
        <x:v>KUNING = perhatian</x:v>
      </x:c>
    </x:row>
    <x:row r="5" ht="15">
      <x:c r="A5" s="6" t="s">
        <x:v>60</x:v>
      </x:c>
      <x:c r="B5" s="6"/>
      <x:c r="C5" s="6"/>
      <x:c r="D5" s="6" t="s">
        <x:v>61</x:v>
      </x:c>
      <x:c r="E5" s="6"/>
      <x:c r="F5" s="6"/>
      <x:c r="G5" s="6"/>
      <x:c r="H5" s="6"/>
      <x:c r="I5" s="6"/>
      <x:c r="J5" s="6"/>
      <x:c r="K5" s="6"/>
    </x:row>
    <x:row r="6" s="128" customFormat="1" ht="42.75">
      <x:c r="A6" s="75" t="s">
        <x:v>54</x:v>
      </x:c>
      <x:c r="B6" s="339" t="str">
        <x:f>PENILAIAN!B27</x:f>
        <x:v>SIAP DIVALIDASI</x:v>
      </x:c>
      <x:c r="D6" s="132" t="s">
        <x:v>62</x:v>
      </x:c>
      <x:c r="E6" s="299" t="str">
        <x:v>OUTCOME AWAL / IMPLEMENTASI AKTIF</x:v>
      </x:c>
      <x:c r="F6" s="131"/>
      <x:c r="G6" s="131"/>
      <x:c r="H6" s="129"/>
      <x:c r="I6" s="129"/>
      <x:c r="J6" s="129"/>
      <x:c r="K6" s="129"/>
    </x:row>
    <x:row r="7" s="128" customFormat="1" ht="21.75" customHeight="1">
      <x:c r="A7" s="75" t="s">
        <x:v>63</x:v>
      </x:c>
      <x:c r="B7" s="359" t="n">
        <x:f>IF(PENILAIAN!B26="","",PENILAIAN!B26)</x:f>
        <x:v>57.5</x:v>
      </x:c>
      <x:c r="D7" s="133" t="s">
        <x:v>64</x:v>
      </x:c>
      <x:c r="E7" s="299" t="str">
        <x:v>Perjanjian telah berjalan lebih dari 6 bulan dan menunjukkan implementasi aktif pada produk hukum, Posbankum, dan JDIH. Outcome awal sudah terlihat, tetapi belum terukur secara konsisten dan implementasi belum merata pada AHU dan KI.</x:v>
      </x:c>
      <x:c r="F7" s="131"/>
      <x:c r="G7" s="131"/>
    </x:row>
    <x:row r="8" s="128" customFormat="1" ht="21" customHeight="1">
      <x:c r="A8" s="75" t="s">
        <x:v>57</x:v>
      </x:c>
      <x:c r="B8" s="359" t="str">
        <x:f>IF(PENILAIAN!B28="","",PENILAIAN!B28)</x:f>
        <x:v>PERLU PERBAIKAN</x:v>
      </x:c>
      <x:c r="D8" s="134"/>
      <x:c r="E8" s="131"/>
      <x:c r="F8" s="131"/>
      <x:c r="G8" s="131"/>
    </x:row>
    <x:row r="9" s="128" customFormat="1" ht="15">
      <x:c r="A9" s="75" t="s">
        <x:v>65</x:v>
      </x:c>
      <x:c r="B9" s="359" t="n">
        <x:f>PENILAIAN!B22</x:f>
        <x:v>7</x:v>
      </x:c>
      <x:c r="D9" s="135"/>
      <x:c r="E9" s="131"/>
      <x:c r="F9" s="131"/>
      <x:c r="G9" s="131"/>
    </x:row>
    <x:row r="10" s="128" customFormat="1" ht="15">
      <x:c r="A10" s="75" t="s">
        <x:v>66</x:v>
      </x:c>
      <x:c r="B10" s="359" t="n">
        <x:f>PENILAIAN!B23</x:f>
        <x:v>0</x:v>
      </x:c>
    </x:row>
    <x:row r="11" s="128" customFormat="1" ht="15">
      <x:c r="A11" s="75" t="s">
        <x:v>67</x:v>
      </x:c>
      <x:c r="B11" s="359" t="n">
        <x:f>PENILAIAN!B24</x:f>
        <x:v>0</x:v>
      </x:c>
    </x:row>
    <x:row r="12" s="130" customFormat="1" ht="15">
      <x:c r="A12" s="75" t="s">
        <x:v>68</x:v>
      </x:c>
      <x:c r="B12" s="359" t="n">
        <x:f>PENILAIAN!B25</x:f>
        <x:v>100</x:v>
      </x:c>
    </x:row>
    <x:row r="14" ht="15">
      <x:c r="A14" s="6" t="s">
        <x:v>69</x:v>
      </x:c>
      <x:c r="B14" s="6"/>
      <x:c r="C14" s="6"/>
      <x:c r="D14" s="6"/>
      <x:c r="E14" s="6"/>
      <x:c r="F14" s="6"/>
      <x:c r="G14" s="6"/>
      <x:c r="H14" s="6"/>
      <x:c r="I14" s="6"/>
      <x:c r="J14" s="6"/>
      <x:c r="K14" s="6"/>
    </x:row>
    <x:row r="15" ht="15">
      <x:c r="A15" s="400" t="s">
        <x:v>70</x:v>
      </x:c>
      <x:c r="B15" s="401" t="s">
        <x:v>71</x:v>
      </x:c>
      <x:c r="C15" s="401" t="s">
        <x:v>72</x:v>
      </x:c>
      <x:c r="D15" s="401" t="s">
        <x:v>73</x:v>
      </x:c>
      <x:c r="E15" s="401" t="s">
        <x:v>74</x:v>
      </x:c>
      <x:c r="F15" s="401" t="s">
        <x:v>75</x:v>
      </x:c>
      <x:c r="G15" s="401" t="s">
        <x:v>76</x:v>
      </x:c>
      <x:c r="H15" s="402"/>
      <x:c r="I15" s="403" t="s">
        <x:v>77</x:v>
      </x:c>
      <x:c r="J15" s="404"/>
    </x:row>
    <x:row r="16" s="83" customFormat="1" ht="73.5" customHeight="1">
      <x:c r="A16" s="270" t="str">
        <x:v>Masa berlaku</x:v>
      </x:c>
      <x:c r="B16" s="297" t="str">
        <x:v>E0 - Normal</x:v>
      </x:c>
      <x:c r="C16" s="361" t="str">
        <x:v>MoU berlaku 6 Januari 2026 s.d. 5 Januari 2031; masa berlaku tidak menjadi isu pada periode penilaian.</x:v>
      </x:c>
      <x:c r="D16" s="361" t="str">
        <x:v>Pertahankan monitoring masa berlaku dan review berkala.</x:v>
      </x:c>
      <x:c r="E16" s="361" t="str">
        <x:v>Pengelola kerja sama / PIC internal</x:v>
      </x:c>
      <x:c r="F16" s="362" t="str">
        <x:v>Review berkala</x:v>
      </x:c>
      <x:c r="G16" s="361" t="str">
        <x:v>BERJALAN</x:v>
      </x:c>
      <x:c r="H16" s="405"/>
      <x:c r="I16" s="365" t="s">
        <x:v>78</x:v>
      </x:c>
      <x:c r="J16" s="375" t="str">
        <x:f>IF(COUNTIF($B$16:$B$19,"E3 - Kritis")&gt;0,"E3 - Kritis",IF(COUNTIF($B$16:$B$19,"E2 - Perlu Tindakan")&gt;0,"E2 - Perlu Tindakan",IF(COUNTIF($B$16:$B$19,"E1 - Perhatian")&gt;0,"E1 - Perhatian",IF(COUNTIF($B$16:$B$19,"E0 - Normal")&gt;0,"E0 - Normal","V0 - Data belum cukup"))))</x:f>
        <x:v>E1 - Perhatian</x:v>
      </x:c>
    </x:row>
    <x:row r="17" s="83" customFormat="1" ht="73.5" customHeight="1">
      <x:c r="A17" s="270" t="str">
        <x:v>Pelaksanaan / tenggat</x:v>
      </x:c>
      <x:c r="B17" s="299" t="str">
        <x:v>E1 - Perhatian</x:v>
      </x:c>
      <x:c r="C17" s="361" t="str">
        <x:v>Pelaksanaan aktif pada Posbankum, harmonisasi produk hukum, dan JDIH; AHU belum dilaksanakan dan data KI belum diperoleh.</x:v>
      </x:c>
      <x:c r="D17" s="361" t="str">
        <x:v>Aktivasi tindak lanjut AHU dan klarifikasi/pelengkapan kegiatan KI.</x:v>
      </x:c>
      <x:c r="E17" s="361" t="str">
        <x:v>Pengampu ruang lingkup + PIC Pemkot</x:v>
      </x:c>
      <x:c r="F17" s="362" t="str">
        <x:v>Triwulan IV 2026</x:v>
      </x:c>
      <x:c r="G17" s="361" t="str">
        <x:v>DALAM TINDAK LANJUT</x:v>
      </x:c>
      <x:c r="H17" s="405"/>
      <x:c r="I17" s="366" t="s">
        <x:v>79</x:v>
      </x:c>
      <x:c r="J17" s="376" t="s">
        <x:v>80</x:v>
      </x:c>
    </x:row>
    <x:row r="18" s="83" customFormat="1" ht="73.5" customHeight="1">
      <x:c r="A18" s="270" t="str">
        <x:v>Data / evidence</x:v>
      </x:c>
      <x:c r="B18" s="299" t="str">
        <x:v>E1 - Perhatian</x:v>
      </x:c>
      <x:c r="C18" s="361" t="str">
        <x:v>Terdapat 10 tautan bukti kegiatan dan evidence internal, tetapi penyimpanan masih tersebar dan cakupan evidence belum lengkap untuk seluruh ruang lingkup.</x:v>
      </x:c>
      <x:c r="D18" s="361" t="str">
        <x:v>Konsolidasikan repository evidence P03 dan indeks per ruang lingkup/periode.</x:v>
      </x:c>
      <x:c r="E18" s="361" t="str">
        <x:v>Pengelola kerja sama + unit pengampu</x:v>
      </x:c>
      <x:c r="F18" s="362" t="str">
        <x:v>Oktober 2026</x:v>
      </x:c>
      <x:c r="G18" s="361" t="str">
        <x:v>DALAM TINDAK LANJUT</x:v>
      </x:c>
      <x:c r="H18" s="405"/>
      <x:c r="I18" s="366" t="s">
        <x:v>81</x:v>
      </x:c>
      <x:c r="J18" s="376" t="str">
        <x:v>Fokus pengendalian: pemerataan implementasi pada seluruh ruang lingkup, konsolidasi evidence, penegasan PIC internal, dan pengukuran outcome agar kontribusi pelayanan hukum dapat dinilai lebih kuat.</x:v>
      </x:c>
    </x:row>
    <x:row r="19" s="83" customFormat="1" ht="104.25" customHeight="1">
      <x:c r="A19" s="274" t="str">
        <x:v>Penanggung jawab / koordinasi</x:v>
      </x:c>
      <x:c r="B19" s="304" t="str">
        <x:v>E1 - Perhatian</x:v>
      </x:c>
      <x:c r="C19" s="377" t="str">
        <x:v>PIC mitra utama/cadangan sudah jelas dan koordinasi operasional berjalan. PIC internal individual lintas ruang lingkup belum terdokumentasi secara eksplisit.</x:v>
      </x:c>
      <x:c r="D19" s="377" t="str">
        <x:v>Tegaskan focal point/PIC internal per ruang lingkup dan mekanisme koordinasi terpadu.</x:v>
      </x:c>
      <x:c r="E19" s="377" t="str">
        <x:v>Pengelola kerja sama + unit pengampu</x:v>
      </x:c>
      <x:c r="F19" s="378" t="str">
        <x:v>Oktober 2026</x:v>
      </x:c>
      <x:c r="G19" s="377" t="str">
        <x:v>DALAM TINDAK LANJUT</x:v>
      </x:c>
      <x:c r="H19" s="406"/>
      <x:c r="I19" s="380"/>
      <x:c r="J19" s="381"/>
    </x:row>
    <x:row r="21" ht="15">
      <x:c r="A21" s="6" t="s">
        <x:v>82</x:v>
      </x:c>
      <x:c r="B21" s="6"/>
      <x:c r="C21" s="6"/>
      <x:c r="D21" s="6"/>
      <x:c r="E21" s="6"/>
      <x:c r="F21" s="6"/>
      <x:c r="G21" s="6"/>
      <x:c r="H21" s="6"/>
      <x:c r="I21" s="6"/>
      <x:c r="J21" s="6"/>
      <x:c r="K21" s="6"/>
    </x:row>
    <x:row r="22" ht="44" customHeight="1">
      <x:c r="A22" s="415" t="s">
        <x:v>83</x:v>
      </x:c>
      <x:c r="B22" s="718" t="str">
        <x:v>TIDAK</x:v>
      </x:c>
      <x:c r="D22" s="112" t="s">
        <x:v>84</x:v>
      </x:c>
      <x:c r="E22" s="111" t="s">
        <x:v>85</x:v>
      </x:c>
      <x:c r="F22" s="111"/>
      <x:c r="G22" s="17"/>
      <x:c r="H22" s="17"/>
      <x:c r="I22" s="17"/>
      <x:c r="J22" s="17"/>
      <x:c r="K22" s="18"/>
    </x:row>
    <x:row r="23" ht="50" customHeight="1">
      <x:c r="A23" s="416" t="s">
        <x:v>86</x:v>
      </x:c>
      <x:c r="B23" s="719" t="str">
        <x:v>Dapat diselesaikan pada level pengelola/unit pengampu</x:v>
      </x:c>
      <x:c r="D23" s="113"/>
      <x:c r="E23" s="111"/>
      <x:c r="F23" s="111"/>
      <x:c r="G23" s="20"/>
      <x:c r="H23" s="20"/>
      <x:c r="I23" s="20"/>
      <x:c r="J23" s="20"/>
      <x:c r="K23" s="21"/>
    </x:row>
    <x:row r="24" ht="105" customHeight="1">
      <x:c r="A24" s="417" t="s">
        <x:v>87</x:v>
      </x:c>
      <x:c r="B24" s="720" t="str">
        <x:v>Belum terdapat isu material yang membutuhkan keputusan pimpinan. Gap utama bersifat operasional dan dapat ditangani melalui penguatan koordinasi, aktivasi AHU/KI, penataan evidence, dan pengukuran outcome.</x:v>
      </x:c>
      <x:c r="D24" s="22"/>
      <x:c r="E24" s="23"/>
      <x:c r="F24" s="23"/>
      <x:c r="G24" s="23"/>
      <x:c r="H24" s="23"/>
      <x:c r="I24" s="23"/>
      <x:c r="J24" s="23"/>
      <x:c r="K24" s="24"/>
    </x:row>
  </x:sheetData>
  <x:mergeCells>
    <x:mergeCell ref="E6:G6"/>
    <x:mergeCell ref="E7:G9"/>
    <x:mergeCell ref="D7:D9"/>
    <x:mergeCell ref="J18:J19"/>
    <x:mergeCell ref="I18:I19"/>
    <x:mergeCell ref="E22:F23"/>
    <x:mergeCell ref="D22:D23"/>
    <x:mergeCell ref="B3:C3"/>
    <x:mergeCell ref="D3:E3"/>
  </x:mergeCells>
  <x:conditionalFormatting sqref="B16:B19">
    <x:cfRule type="expression" dxfId="4" priority="1">
      <x:formula>B16="V0 - Data belum cukup"</x:formula>
    </x:cfRule>
    <x:cfRule type="expression" dxfId="3" priority="2">
      <x:formula>B16="E0 - Normal"</x:formula>
    </x:cfRule>
    <x:cfRule type="expression" dxfId="2" priority="3">
      <x:formula>B16="E1 - Perhatian"</x:formula>
    </x:cfRule>
    <x:cfRule type="expression" dxfId="1" priority="4">
      <x:formula>B16="E2 - Perlu Tindakan"</x:formula>
    </x:cfRule>
    <x:cfRule type="expression" dxfId="0" priority="5">
      <x:formula>B16="E3 - Kritis"</x:formula>
    </x:cfRule>
  </x:conditionalFormatting>
  <x:dataValidations count="6">
    <x:dataValidation type="list" sqref="E6">
      <x:formula1>"BELUM DAPAT DITENTUKAN,AKTIF,OUTPUT,OUTCOME,KONTRIBUSI / DAMPAK"</x:formula1>
    </x:dataValidation>
    <x:dataValidation type="list" sqref="B16:B19">
      <x:formula1>"V0 - Data belum cukup,E0 - Normal,E1 - Perhatian,E2 - Perlu Tindakan,E3 - Kritis"</x:formula1>
    </x:dataValidation>
    <x:dataValidation type="list" sqref="G16:G19">
      <x:formula1>"BELUM MULAI,PROSES,SELESAI"</x:formula1>
    </x:dataValidation>
    <x:dataValidation type="list" sqref="J17">
      <x:formula1>"BELUM DITINDAKLANJUTI,DALAM PROSES,SELESAI"</x:formula1>
    </x:dataValidation>
    <x:dataValidation type="list" sqref="B22">
      <x:formula1>"TIDAK,YA,BELUM DAPAT DIPASTIKAN"</x:formula1>
    </x:dataValidation>
    <x:dataValidation type="list" sqref="B23">
      <x:formula1>"Tidak diperlukan,Keputusan keberlanjutan / perpanjangan / penghentian,Hambatan lintas unit / kewenangan,Komitmen mitra,Risiko material / strategis,Kebutuhan sumber daya / kebijakan,Lainnya"</x:formula1>
    </x:dataValidation>
  </x:dataValidations>
  <x:pageMargins left="0.7" right="0.7" top="0.75" bottom="0.75" header="0.3" footer="0.3"/>
</x:worksheet>
</file>

<file path=xl/worksheets/sheet3.xml><?xml version="1.0" encoding="utf-8"?>
<x:worksheet xmlns:x="http://schemas.openxmlformats.org/spreadsheetml/2006/main">
  <x:sheetFormatPr defaultRowHeight="14.25"/>
  <x:cols>
    <x:col min="1" max="1" width="28" customWidth="1"/>
    <x:col min="2" max="2" width="26" customWidth="1"/>
    <x:col min="3" max="3" width="3" customWidth="1"/>
    <x:col min="4" max="4" width="15.5" customWidth="1"/>
    <x:col min="5" max="5" width="30" customWidth="1"/>
    <x:col min="6" max="7" width="18" customWidth="1"/>
    <x:col min="8" max="9" width="20" customWidth="1"/>
    <x:col min="10" max="11" width="22" customWidth="1"/>
  </x:cols>
  <x:sheetData>
    <x:row r="1" ht="19.5">
      <x:c r="A1" s="1" t="s">
        <x:v>88</x:v>
      </x:c>
      <x:c r="B1" s="1"/>
      <x:c r="C1" s="1"/>
      <x:c r="D1" s="1"/>
      <x:c r="E1" s="1"/>
      <x:c r="F1" s="1"/>
      <x:c r="G1" s="1"/>
      <x:c r="H1" s="1"/>
      <x:c r="I1" s="1"/>
      <x:c r="J1" s="1"/>
      <x:c r="K1" s="1"/>
    </x:row>
    <x:row r="2" ht="76.5">
      <x:c r="A2" s="2" t="s">
        <x:v>89</x:v>
      </x:c>
      <x:c r="B2" s="2"/>
      <x:c r="C2" s="2"/>
      <x:c r="D2" s="2"/>
      <x:c r="E2" s="2"/>
      <x:c r="F2" s="2"/>
      <x:c r="G2" s="2"/>
      <x:c r="H2" s="2"/>
      <x:c r="I2" s="2"/>
      <x:c r="J2" s="2"/>
      <x:c r="K2" s="2"/>
    </x:row>
    <x:row r="3" ht="24" customHeight="1">
      <x:c r="A3" s="3" t="s">
        <x:v>2</x:v>
      </x:c>
      <x:c r="B3" s="533" t="str">
        <x:v>KUNING = input/validasi/keputusan</x:v>
      </x:c>
      <x:c r="C3" s="533" t="s">
        <x:v>3</x:v>
      </x:c>
      <x:c r="D3" s="537" t="str">
        <x:v>BIRU = ringkasan/hasil otomatis</x:v>
      </x:c>
      <x:c r="E3" s="537" t="str">
        <x:v>BIRU = ringkasan otomatis</x:v>
      </x:c>
    </x:row>
    <x:row r="5" ht="15">
      <x:c r="A5" s="511" t="s">
        <x:v>90</x:v>
      </x:c>
      <x:c r="B5" s="512"/>
      <x:c r="C5" s="512"/>
      <x:c r="D5" s="512" t="s">
        <x:v>91</x:v>
      </x:c>
      <x:c r="E5" s="513"/>
      <x:c r="F5" s="81"/>
      <x:c r="G5" s="81"/>
      <x:c r="H5" s="81"/>
      <x:c r="I5" s="81"/>
      <x:c r="J5" s="81"/>
      <x:c r="K5" s="81"/>
    </x:row>
    <x:row r="6" ht="28.5">
      <x:c r="A6" s="487" t="s">
        <x:v>54</x:v>
      </x:c>
      <x:c r="B6" s="423" t="str">
        <x:f>PENILAIAN!B27</x:f>
        <x:v>SIAP DIVALIDASI</x:v>
      </x:c>
      <x:c r="C6" s="405"/>
      <x:c r="D6" s="488" t="s">
        <x:v>92</x:v>
      </x:c>
      <x:c r="E6" s="273" t="str">
        <x:v>DRAFT — BELUM DIVALIDASI</x:v>
      </x:c>
    </x:row>
    <x:row r="7" ht="15">
      <x:c r="A7" s="487" t="s">
        <x:v>63</x:v>
      </x:c>
      <x:c r="B7" s="424" t="n">
        <x:f>IF(PENILAIAN!B26="","",PENILAIAN!B26)</x:f>
        <x:v>57.5</x:v>
      </x:c>
      <x:c r="C7" s="405"/>
      <x:c r="D7" s="488" t="s">
        <x:v>93</x:v>
      </x:c>
      <x:c r="E7" s="273"/>
    </x:row>
    <x:row r="8" ht="15">
      <x:c r="A8" s="487" t="s">
        <x:v>57</x:v>
      </x:c>
      <x:c r="B8" s="424" t="str">
        <x:f>IF(PENILAIAN!B28="","",PENILAIAN!B28)</x:f>
        <x:v>PERLU PERBAIKAN</x:v>
      </x:c>
      <x:c r="C8" s="405"/>
      <x:c r="D8" s="488" t="s">
        <x:v>94</x:v>
      </x:c>
      <x:c r="E8" s="441"/>
    </x:row>
    <x:row r="9" ht="33" customHeight="1">
      <x:c r="A9" s="487" t="s">
        <x:v>62</x:v>
      </x:c>
      <x:c r="B9" s="424" t="str">
        <x:f>IF(KENDALI!E6="","",KENDALI!E6)</x:f>
        <x:v>OUTCOME AWAL / IMPLEMENTASI AKTIF</x:v>
      </x:c>
      <x:c r="C9" s="405"/>
      <x:c r="D9" s="489" t="s">
        <x:v>95</x:v>
      </x:c>
      <x:c r="E9" s="443" t="str">
        <x:v>Penilaian menggunakan Final Baseline P03, data internal per ruang lingkup, dan data yang diisi Pemerintah Kota Tanjungpinang. MoU telah berjalan lebih dari 6 bulan sehingga seluruh I1–I7 dinilai. Skor tetap memerlukan validasi reviewer/validator.</x:v>
      </x:c>
    </x:row>
    <x:row r="10" ht="33" customHeight="1">
      <x:c r="A10" s="487" t="s">
        <x:v>78</x:v>
      </x:c>
      <x:c r="B10" s="424" t="str">
        <x:f>IF(KENDALI!J16="","",KENDALI!J16)</x:f>
        <x:v>E1 - Perhatian</x:v>
      </x:c>
      <x:c r="C10" s="405"/>
      <x:c r="D10" s="490"/>
      <x:c r="E10" s="445"/>
    </x:row>
    <x:row r="11" ht="15">
      <x:c r="A11" s="487" t="s">
        <x:v>96</x:v>
      </x:c>
      <x:c r="B11" s="424" t="str">
        <x:f>IF(KENDALI!B22="","",KENDALI!B22)</x:f>
        <x:v>TIDAK</x:v>
      </x:c>
      <x:c r="C11" s="405"/>
      <x:c r="D11" s="490"/>
      <x:c r="E11" s="445"/>
    </x:row>
    <x:row r="12" ht="15">
      <x:c r="A12" s="487" t="s">
        <x:v>66</x:v>
      </x:c>
      <x:c r="B12" s="424" t="n">
        <x:f>PENILAIAN!B23</x:f>
        <x:v>0</x:v>
      </x:c>
      <x:c r="C12" s="405"/>
      <x:c r="D12" s="490"/>
      <x:c r="E12" s="445"/>
    </x:row>
    <x:row r="13" ht="15">
      <x:c r="A13" s="491" t="s">
        <x:v>67</x:v>
      </x:c>
      <x:c r="B13" s="447" t="n">
        <x:f>PENILAIAN!B24</x:f>
        <x:v>0</x:v>
      </x:c>
      <x:c r="C13" s="406"/>
      <x:c r="D13" s="492"/>
      <x:c r="E13" s="381"/>
    </x:row>
    <x:row r="14">
      <x:c r="A14" s="405"/>
      <x:c r="B14" s="405"/>
      <x:c r="C14" s="405"/>
      <x:c r="D14" s="405"/>
      <x:c r="E14" s="405"/>
    </x:row>
    <x:row r="15" ht="15">
      <x:c r="A15" s="511" t="s">
        <x:v>97</x:v>
      </x:c>
      <x:c r="B15" s="512"/>
      <x:c r="C15" s="512"/>
      <x:c r="D15" s="512"/>
      <x:c r="E15" s="513"/>
      <x:c r="F15" s="81"/>
      <x:c r="G15" s="81"/>
      <x:c r="H15" s="81"/>
      <x:c r="I15" s="81"/>
      <x:c r="J15" s="81"/>
      <x:c r="K15" s="81"/>
    </x:row>
    <x:row r="16" ht="180" customHeight="1">
      <x:c r="A16" s="493" t="s">
        <x:v>98</x:v>
      </x:c>
      <x:c r="B16" s="255" t="str">
        <x:v>Dibanding baseline, kerja sama telah berkembang menjadi implementasi aktif: 10 kegiatan mitra seluruhnya memiliki bukti; Posbankum, harmonisasi produk hukum, dan JDIH menunjukkan output serta manfaat awal. Gap utama adalah pemerataan implementasi pada AHU/KI, penegasan PIC internal, konsolidasi evidence, dan pengukuran outcome/kontribusi.</x:v>
      </x:c>
      <x:c r="C16" s="405"/>
      <x:c r="D16" s="462" t="s">
        <x:v>84</x:v>
      </x:c>
      <x:c r="E16" s="463" t="s">
        <x:v>99</x:v>
      </x:c>
      <x:c r="F16" s="25"/>
      <x:c r="G16" s="25"/>
      <x:c r="H16" s="25"/>
      <x:c r="I16" s="25"/>
      <x:c r="J16" s="25"/>
      <x:c r="K16" s="26"/>
    </x:row>
    <x:row r="17" ht="87.75" customHeight="1">
      <x:c r="A17" s="493" t="s">
        <x:v>100</x:v>
      </x:c>
      <x:c r="B17" s="257" t="str">
        <x:v>LANJUTKAN DENGAN PENGUATAN IMPLEMENTASI, EVIDENCE, DAN PENGUKURAN OUTCOME</x:v>
      </x:c>
      <x:c r="C17" s="405"/>
      <x:c r="D17" s="405"/>
      <x:c r="E17" s="464"/>
      <x:c r="F17" s="27"/>
      <x:c r="G17" s="27"/>
      <x:c r="H17" s="27"/>
      <x:c r="I17" s="27"/>
      <x:c r="J17" s="27"/>
      <x:c r="K17" s="28"/>
    </x:row>
    <x:row r="18" ht="167.25" customHeight="1">
      <x:c r="A18" s="493" t="s">
        <x:v>86</x:v>
      </x:c>
      <x:c r="B18" s="257" t="str">
        <x:v>Kerja sama sudah aktif dan menghasilkan output pada beberapa ruang lingkup utama. Nilai masih tertahan oleh belum meratanya implementasi dan belum konsistennya pengukuran outcome serta kontribusi terhadap kinerja/pelayanan.</x:v>
      </x:c>
      <x:c r="C18" s="405"/>
      <x:c r="D18" s="405"/>
      <x:c r="E18" s="464"/>
      <x:c r="F18" s="29"/>
      <x:c r="G18" s="29"/>
      <x:c r="H18" s="29"/>
      <x:c r="I18" s="29"/>
      <x:c r="J18" s="29"/>
      <x:c r="K18" s="30"/>
    </x:row>
    <x:row r="19" ht="215.25" customHeight="1">
      <x:c r="A19" s="493" t="s">
        <x:v>101</x:v>
      </x:c>
      <x:c r="B19" s="257" t="str">
        <x:v>1) Tegaskan PIC/focal point internal per ruang lingkup; 2) konsolidasikan repository evidence P03; 3) lanjutkan pembinaan Posbankum, harmonisasi, dan JDIH; 4) aktivasi tindak lanjut AHU dan klarifikasi layanan KI; 5) ukur penerima layanan, jumlah harmonisasi, capaian JDIH, serta outcome layanan; 6) lakukan review triwulanan.</x:v>
      </x:c>
      <x:c r="C19" s="405"/>
      <x:c r="D19" s="405"/>
      <x:c r="E19" s="464"/>
      <x:c r="F19" s="27"/>
      <x:c r="G19" s="27"/>
      <x:c r="H19" s="27"/>
      <x:c r="I19" s="27"/>
      <x:c r="J19" s="27"/>
      <x:c r="K19" s="28"/>
    </x:row>
    <x:row r="20" ht="81.75" customHeight="1">
      <x:c r="A20" s="493" t="s">
        <x:v>74</x:v>
      </x:c>
      <x:c r="B20" s="257" t="str">
        <x:v>Pengelola kerja sama, unit pengampu Kanwil, dan PIC Pemerintah Kota Tanjungpinang</x:v>
      </x:c>
      <x:c r="C20" s="405"/>
      <x:c r="D20" s="405"/>
      <x:c r="E20" s="464"/>
      <x:c r="F20" s="27"/>
      <x:c r="G20" s="27"/>
      <x:c r="H20" s="27"/>
      <x:c r="I20" s="27"/>
      <x:c r="J20" s="27"/>
      <x:c r="K20" s="28"/>
    </x:row>
    <x:row r="21" ht="69" customHeight="1">
      <x:c r="A21" s="514" t="s">
        <x:v>102</x:v>
      </x:c>
      <x:c r="B21" s="466" t="str">
        <x:v>Triwulan IV 2026 untuk penguatan awal; review kinerja berikutnya pada akhir Triwulan IV 2026</x:v>
      </x:c>
      <x:c r="C21" s="406"/>
      <x:c r="D21" s="406"/>
      <x:c r="E21" s="467"/>
      <x:c r="F21" s="29"/>
      <x:c r="G21" s="29"/>
      <x:c r="H21" s="29"/>
      <x:c r="I21" s="29"/>
      <x:c r="J21" s="29"/>
      <x:c r="K21" s="30"/>
    </x:row>
    <x:row r="22">
      <x:c r="A22" s="405"/>
      <x:c r="B22" s="405"/>
      <x:c r="C22" s="405"/>
      <x:c r="D22" s="405"/>
      <x:c r="E22" s="405"/>
    </x:row>
    <x:row r="23" ht="15">
      <x:c r="A23" s="511" t="s">
        <x:v>103</x:v>
      </x:c>
      <x:c r="B23" s="513"/>
      <x:c r="C23" s="515"/>
      <x:c r="D23" s="515"/>
      <x:c r="E23" s="515"/>
      <x:c r="F23" s="81"/>
      <x:c r="G23" s="81"/>
      <x:c r="H23" s="81"/>
      <x:c r="I23" s="81"/>
      <x:c r="J23" s="81"/>
      <x:c r="K23" s="81"/>
    </x:row>
    <x:row r="24" ht="15">
      <x:c r="A24" s="516" t="s">
        <x:v>104</x:v>
      </x:c>
      <x:c r="B24" s="475" t="str">
        <x:v>BELUM DIPUTUSKAN</x:v>
      </x:c>
      <x:c r="C24" s="405"/>
      <x:c r="D24" s="405"/>
      <x:c r="E24" s="405"/>
      <x:c r="F24" s="25"/>
      <x:c r="G24" s="25"/>
      <x:c r="H24" s="25"/>
      <x:c r="I24" s="25"/>
      <x:c r="J24" s="25"/>
      <x:c r="K24" s="26"/>
    </x:row>
    <x:row r="25" ht="15">
      <x:c r="A25" s="516" t="s">
        <x:v>105</x:v>
      </x:c>
      <x:c r="B25" s="475" t="str">
        <x:v>-</x:v>
      </x:c>
      <x:c r="C25" s="405"/>
      <x:c r="D25" s="405"/>
      <x:c r="E25" s="405"/>
      <x:c r="F25" s="27"/>
      <x:c r="G25" s="27"/>
      <x:c r="H25" s="27"/>
      <x:c r="I25" s="27"/>
      <x:c r="J25" s="27"/>
      <x:c r="K25" s="28"/>
    </x:row>
    <x:row r="26" ht="15">
      <x:c r="A26" s="516" t="s">
        <x:v>106</x:v>
      </x:c>
      <x:c r="B26" s="476" t="str">
        <x:v>-</x:v>
      </x:c>
      <x:c r="C26" s="405"/>
      <x:c r="D26" s="405"/>
      <x:c r="E26" s="405"/>
      <x:c r="F26" s="27"/>
      <x:c r="G26" s="27"/>
      <x:c r="H26" s="27"/>
      <x:c r="I26" s="27"/>
      <x:c r="J26" s="27"/>
      <x:c r="K26" s="28"/>
    </x:row>
    <x:row r="27" ht="15">
      <x:c r="A27" s="516" t="s">
        <x:v>107</x:v>
      </x:c>
      <x:c r="B27" s="475" t="str">
        <x:v>-</x:v>
      </x:c>
      <x:c r="C27" s="405"/>
      <x:c r="D27" s="405"/>
      <x:c r="E27" s="405"/>
      <x:c r="F27" s="27"/>
      <x:c r="G27" s="27"/>
      <x:c r="H27" s="27"/>
      <x:c r="I27" s="27"/>
      <x:c r="J27" s="27"/>
      <x:c r="K27" s="28"/>
    </x:row>
    <x:row r="28" ht="15">
      <x:c r="A28" s="517" t="s">
        <x:v>108</x:v>
      </x:c>
      <x:c r="B28" s="478" t="str">
        <x:v>-</x:v>
      </x:c>
      <x:c r="C28" s="405"/>
      <x:c r="D28" s="405"/>
      <x:c r="E28" s="405"/>
      <x:c r="F28" s="29"/>
      <x:c r="G28" s="29"/>
      <x:c r="H28" s="29"/>
      <x:c r="I28" s="29"/>
      <x:c r="J28" s="29"/>
      <x:c r="K28" s="30"/>
    </x:row>
    <x:row r="29">
      <x:c r="A29" s="88"/>
      <x:c r="B29" s="88"/>
    </x:row>
  </x:sheetData>
  <x:mergeCells>
    <x:mergeCell ref="E9:E13"/>
    <x:mergeCell ref="D9:D13"/>
    <x:mergeCell ref="B3:C3"/>
    <x:mergeCell ref="D3:E3"/>
  </x:mergeCells>
  <x:dataValidations count="3">
    <x:dataValidation type="list" sqref="E6">
      <x:formula1>"BELUM,PERLU PERBAIKAN,TERVALIDASI"</x:formula1>
    </x:dataValidation>
    <x:dataValidation type="list" sqref="B17">
      <x:formula1>"LANJUT,PERBAIKI,PERPANJANG,REPLIKASI,HENTIKAN / TIDAK DILANJUTKAN"</x:formula1>
    </x:dataValidation>
    <x:dataValidation type="list" sqref="B24">
      <x:formula1>"BELUM DIPUTUSKAN,DISETUJUI,DISETUJUI DENGAN PERBAIKAN,DIESKALASIKAN"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4.25"/>
  <x:cols>
    <x:col min="1" max="1" width="21.375" style="127" customWidth="1"/>
    <x:col min="2" max="2" width="7.375" style="127" customWidth="1"/>
    <x:col min="3" max="3" width="22.5" style="127" customWidth="1"/>
    <x:col min="4" max="4" width="18.75" style="127" customWidth="1"/>
    <x:col min="5" max="5" width="18.125" style="127" customWidth="1"/>
    <x:col min="6" max="6" width="22.25" style="127" customWidth="1"/>
    <x:col min="7" max="7" width="21.875" style="127" customWidth="1"/>
    <x:col min="8" max="8" width="19.875" style="127" customWidth="1"/>
    <x:col min="9" max="9" width="18" style="127" customWidth="1"/>
  </x:cols>
  <x:sheetData>
    <x:row r="1" ht="19.5">
      <x:c r="A1" s="116" t="s">
        <x:v>109</x:v>
      </x:c>
      <x:c r="B1" s="116"/>
      <x:c r="C1" s="116"/>
      <x:c r="D1" s="116"/>
      <x:c r="E1" s="116"/>
      <x:c r="F1" s="116"/>
      <x:c r="G1" s="116"/>
      <x:c r="H1" s="116"/>
      <x:c r="I1" s="116"/>
    </x:row>
    <x:row r="2" ht="51" customHeight="1">
      <x:c r="A2" s="115" t="s">
        <x:v>110</x:v>
      </x:c>
      <x:c r="B2" s="115"/>
      <x:c r="C2" s="115"/>
      <x:c r="D2" s="115"/>
      <x:c r="E2" s="115"/>
      <x:c r="F2" s="114"/>
      <x:c r="G2" s="114"/>
      <x:c r="H2" s="114"/>
      <x:c r="I2" s="114"/>
    </x:row>
    <x:row r="4" ht="15">
      <x:c r="A4" s="15" t="s">
        <x:v>14</x:v>
      </x:c>
      <x:c r="B4" s="15" t="s">
        <x:v>15</x:v>
      </x:c>
      <x:c r="C4" s="15" t="s">
        <x:v>111</x:v>
      </x:c>
      <x:c r="D4" s="15" t="s">
        <x:v>112</x:v>
      </x:c>
      <x:c r="E4" s="15" t="s">
        <x:v>113</x:v>
      </x:c>
      <x:c r="F4" s="15" t="s">
        <x:v>114</x:v>
      </x:c>
      <x:c r="G4" s="15" t="s">
        <x:v>115</x:v>
      </x:c>
      <x:c r="H4" s="15" t="s">
        <x:v>116</x:v>
      </x:c>
      <x:c r="I4" s="15" t="s">
        <x:v>81</x:v>
      </x:c>
    </x:row>
    <x:row r="5" ht="110.0999984741211" customHeight="1">
      <x:c r="A5" s="117" t="s">
        <x:v>25</x:v>
      </x:c>
      <x:c r="B5" s="118">
        <x:v>10</x:v>
      </x:c>
      <x:c r="C5" s="78" t="s">
        <x:v>117</x:v>
      </x:c>
      <x:c r="D5" s="78" t="s">
        <x:v>118</x:v>
      </x:c>
      <x:c r="E5" s="78" t="s">
        <x:v>119</x:v>
      </x:c>
      <x:c r="F5" s="78" t="s">
        <x:v>120</x:v>
      </x:c>
      <x:c r="G5" s="78" t="s">
        <x:v>121</x:v>
      </x:c>
      <x:c r="H5" s="78" t="s">
        <x:v>122</x:v>
      </x:c>
      <x:c r="I5" s="119" t="s">
        <x:v>123</x:v>
      </x:c>
    </x:row>
    <x:row r="6" ht="110.0999984741211" customHeight="1">
      <x:c r="A6" s="120" t="s">
        <x:v>27</x:v>
      </x:c>
      <x:c r="B6" s="121">
        <x:v>15</x:v>
      </x:c>
      <x:c r="C6" s="77" t="s">
        <x:v>124</x:v>
      </x:c>
      <x:c r="D6" s="77" t="s">
        <x:v>125</x:v>
      </x:c>
      <x:c r="E6" s="77" t="s">
        <x:v>126</x:v>
      </x:c>
      <x:c r="F6" s="77" t="s">
        <x:v>127</x:v>
      </x:c>
      <x:c r="G6" s="77" t="s">
        <x:v>128</x:v>
      </x:c>
      <x:c r="H6" s="77" t="s">
        <x:v>129</x:v>
      </x:c>
      <x:c r="I6" s="122"/>
    </x:row>
    <x:row r="7" ht="110.0999984741211" customHeight="1">
      <x:c r="A7" s="120" t="s">
        <x:v>29</x:v>
      </x:c>
      <x:c r="B7" s="121">
        <x:v>15</x:v>
      </x:c>
      <x:c r="C7" s="77" t="s">
        <x:v>130</x:v>
      </x:c>
      <x:c r="D7" s="77" t="s">
        <x:v>131</x:v>
      </x:c>
      <x:c r="E7" s="77" t="s">
        <x:v>132</x:v>
      </x:c>
      <x:c r="F7" s="77" t="s">
        <x:v>133</x:v>
      </x:c>
      <x:c r="G7" s="77" t="s">
        <x:v>134</x:v>
      </x:c>
      <x:c r="H7" s="77" t="s">
        <x:v>135</x:v>
      </x:c>
      <x:c r="I7" s="122"/>
    </x:row>
    <x:row r="8" ht="110.0999984741211" customHeight="1">
      <x:c r="A8" s="120" t="s">
        <x:v>31</x:v>
      </x:c>
      <x:c r="B8" s="121">
        <x:v>20</x:v>
      </x:c>
      <x:c r="C8" s="77" t="s">
        <x:v>136</x:v>
      </x:c>
      <x:c r="D8" s="77" t="s">
        <x:v>137</x:v>
      </x:c>
      <x:c r="E8" s="77" t="s">
        <x:v>138</x:v>
      </x:c>
      <x:c r="F8" s="77" t="s">
        <x:v>139</x:v>
      </x:c>
      <x:c r="G8" s="77" t="s">
        <x:v>140</x:v>
      </x:c>
      <x:c r="H8" s="77" t="s">
        <x:v>141</x:v>
      </x:c>
      <x:c r="I8" s="122" t="s">
        <x:v>142</x:v>
      </x:c>
    </x:row>
    <x:row r="9" ht="110.0999984741211" customHeight="1">
      <x:c r="A9" s="120" t="s">
        <x:v>33</x:v>
      </x:c>
      <x:c r="B9" s="121">
        <x:v>20</x:v>
      </x:c>
      <x:c r="C9" s="77" t="s">
        <x:v>143</x:v>
      </x:c>
      <x:c r="D9" s="77" t="s">
        <x:v>144</x:v>
      </x:c>
      <x:c r="E9" s="77" t="s">
        <x:v>145</x:v>
      </x:c>
      <x:c r="F9" s="77" t="s">
        <x:v>146</x:v>
      </x:c>
      <x:c r="G9" s="77" t="s">
        <x:v>147</x:v>
      </x:c>
      <x:c r="H9" s="77" t="s">
        <x:v>148</x:v>
      </x:c>
      <x:c r="I9" s="122" t="s">
        <x:v>149</x:v>
      </x:c>
    </x:row>
    <x:row r="10" ht="110.0999984741211" customHeight="1">
      <x:c r="A10" s="120" t="s">
        <x:v>35</x:v>
      </x:c>
      <x:c r="B10" s="121">
        <x:v>10</x:v>
      </x:c>
      <x:c r="C10" s="77" t="s">
        <x:v>150</x:v>
      </x:c>
      <x:c r="D10" s="77" t="s">
        <x:v>151</x:v>
      </x:c>
      <x:c r="E10" s="77" t="s">
        <x:v>152</x:v>
      </x:c>
      <x:c r="F10" s="77" t="s">
        <x:v>153</x:v>
      </x:c>
      <x:c r="G10" s="77" t="s">
        <x:v>154</x:v>
      </x:c>
      <x:c r="H10" s="77" t="s">
        <x:v>155</x:v>
      </x:c>
      <x:c r="I10" s="122" t="s">
        <x:v>156</x:v>
      </x:c>
    </x:row>
    <x:row r="11" ht="110.0999984741211" customHeight="1">
      <x:c r="A11" s="123" t="s">
        <x:v>37</x:v>
      </x:c>
      <x:c r="B11" s="124">
        <x:v>10</x:v>
      </x:c>
      <x:c r="C11" s="125" t="s">
        <x:v>157</x:v>
      </x:c>
      <x:c r="D11" s="125" t="s">
        <x:v>158</x:v>
      </x:c>
      <x:c r="E11" s="125" t="s">
        <x:v>159</x:v>
      </x:c>
      <x:c r="F11" s="125" t="s">
        <x:v>160</x:v>
      </x:c>
      <x:c r="G11" s="125" t="s">
        <x:v>161</x:v>
      </x:c>
      <x:c r="H11" s="125" t="s">
        <x:v>162</x:v>
      </x:c>
      <x:c r="I11" s="126" t="s">
        <x:v>163</x:v>
      </x:c>
    </x:row>
  </x:sheetData>
  <x:mergeCells>
    <x:mergeCell ref="A2:E2"/>
  </x:mergeCells>
  <x:pageMargins left="0.7" right="0.7" top="0.75" bottom="0.75" header="0.3" footer="0.3"/>
</x:worksheet>
</file>

<file path=xl/worksheets/sheet5.xml><?xml version="1.0" encoding="utf-8"?>
<x:worksheet xmlns:x="http://schemas.openxmlformats.org/spreadsheetml/2006/main">
  <x:sheetFormatPr defaultRowHeight="14.25"/>
  <x:cols>
    <x:col min="1" max="1" width="27" customWidth="1"/>
    <x:col min="2" max="3" width="48" customWidth="1"/>
    <x:col min="4" max="6" width="18" customWidth="1"/>
  </x:cols>
  <x:sheetData>
    <x:row r="1" ht="19.5">
      <x:c r="A1" s="1" t="s">
        <x:v>164</x:v>
      </x:c>
      <x:c r="B1" s="1"/>
      <x:c r="C1" s="1"/>
      <x:c r="D1" s="1"/>
      <x:c r="E1" s="1"/>
      <x:c r="F1" s="1"/>
    </x:row>
    <x:row r="2" ht="38.25">
      <x:c r="A2" s="2" t="s">
        <x:v>165</x:v>
      </x:c>
      <x:c r="B2" s="2"/>
      <x:c r="C2" s="2"/>
      <x:c r="D2" s="2"/>
      <x:c r="E2" s="2"/>
      <x:c r="F2" s="2"/>
    </x:row>
    <x:row r="3">
      <x:c r="A3" s="529" t="str">
        <x:v>Legenda warna</x:v>
      </x:c>
      <x:c r="B3" s="529" t="str">
        <x:v>KUNING #FFF2CC = input/keputusan pengguna</x:v>
      </x:c>
      <x:c r="C3" s="529" t="str">
        <x:v>BIRU = data sumber/hasil otomatis; HIJAU = DAPAT DINILAI; ABU = BELUM DAPAT DINILAI</x:v>
      </x:c>
    </x:row>
    <x:row r="4" ht="15">
      <x:c r="A4" s="6" t="s">
        <x:v>166</x:v>
      </x:c>
      <x:c r="B4" s="6"/>
      <x:c r="C4" s="6"/>
      <x:c r="D4" s="6"/>
      <x:c r="E4" s="6"/>
      <x:c r="F4" s="6"/>
    </x:row>
    <x:row r="5" ht="15">
      <x:c r="A5" s="35" t="s">
        <x:v>167</x:v>
      </x:c>
      <x:c r="B5" s="36" t="s">
        <x:v>168</x:v>
      </x:c>
    </x:row>
    <x:row r="6" ht="28.5">
      <x:c r="A6" s="19" t="s">
        <x:v>169</x:v>
      </x:c>
      <x:c r="B6" s="21" t="s">
        <x:v>170</x:v>
      </x:c>
    </x:row>
    <x:row r="7" ht="42.75">
      <x:c r="A7" s="19" t="s">
        <x:v>171</x:v>
      </x:c>
      <x:c r="B7" s="21" t="s">
        <x:v>172</x:v>
      </x:c>
    </x:row>
    <x:row r="8">
      <x:c r="A8" s="19" t="s">
        <x:v>93</x:v>
      </x:c>
      <x:c r="B8" s="21" t="s">
        <x:v>173</x:v>
      </x:c>
    </x:row>
    <x:row r="9" ht="28.5">
      <x:c r="A9" s="22" t="s">
        <x:v>174</x:v>
      </x:c>
      <x:c r="B9" s="24" t="s">
        <x:v>175</x:v>
      </x:c>
    </x:row>
    <x:row r="11" ht="15">
      <x:c r="A11" s="6" t="s">
        <x:v>176</x:v>
      </x:c>
      <x:c r="B11" s="6"/>
      <x:c r="C11" s="6"/>
      <x:c r="D11" s="6"/>
      <x:c r="E11" s="6"/>
      <x:c r="F11" s="6"/>
    </x:row>
    <x:row r="12" ht="28.5">
      <x:c r="A12" s="32" t="s">
        <x:v>43</x:v>
      </x:c>
      <x:c r="B12" s="17" t="s">
        <x:v>177</x:v>
      </x:c>
      <x:c r="C12" s="18" t="s">
        <x:v>178</x:v>
      </x:c>
    </x:row>
    <x:row r="13" ht="28.5">
      <x:c r="A13" s="33" t="s">
        <x:v>46</x:v>
      </x:c>
      <x:c r="B13" s="20" t="s">
        <x:v>179</x:v>
      </x:c>
      <x:c r="C13" s="21" t="s">
        <x:v>180</x:v>
      </x:c>
    </x:row>
    <x:row r="14" ht="28.5">
      <x:c r="A14" s="33" t="s">
        <x:v>49</x:v>
      </x:c>
      <x:c r="B14" s="20" t="s">
        <x:v>181</x:v>
      </x:c>
      <x:c r="C14" s="21" t="s">
        <x:v>182</x:v>
      </x:c>
    </x:row>
    <x:row r="15" ht="15">
      <x:c r="A15" s="33" t="s">
        <x:v>52</x:v>
      </x:c>
      <x:c r="B15" s="20" t="s">
        <x:v>183</x:v>
      </x:c>
      <x:c r="C15" s="21" t="s">
        <x:v>184</x:v>
      </x:c>
    </x:row>
    <x:row r="16" ht="28.5">
      <x:c r="A16" s="34" t="s">
        <x:v>55</x:v>
      </x:c>
      <x:c r="B16" s="23" t="s">
        <x:v>185</x:v>
      </x:c>
      <x:c r="C16" s="24" t="s">
        <x:v>186</x:v>
      </x:c>
    </x:row>
    <x:row r="20" ht="15">
      <x:c r="A20" s="6" t="s">
        <x:v>187</x:v>
      </x:c>
      <x:c r="B20" s="6"/>
      <x:c r="C20" s="6"/>
      <x:c r="D20" s="6"/>
      <x:c r="E20" s="6"/>
      <x:c r="F20" s="6"/>
    </x:row>
    <x:row r="21" ht="15">
      <x:c r="A21" s="35" t="s">
        <x:v>71</x:v>
      </x:c>
      <x:c r="B21" s="37" t="s">
        <x:v>188</x:v>
      </x:c>
      <x:c r="C21" s="36" t="s">
        <x:v>189</x:v>
      </x:c>
    </x:row>
    <x:row r="22">
      <x:c r="A22" s="19" t="s">
        <x:v>190</x:v>
      </x:c>
      <x:c r="B22" s="20" t="s">
        <x:v>191</x:v>
      </x:c>
      <x:c r="C22" s="21" t="s">
        <x:v>192</x:v>
      </x:c>
    </x:row>
    <x:row r="23" ht="28.5">
      <x:c r="A23" s="19" t="s">
        <x:v>193</x:v>
      </x:c>
      <x:c r="B23" s="20" t="s">
        <x:v>194</x:v>
      </x:c>
      <x:c r="C23" s="21" t="s">
        <x:v>195</x:v>
      </x:c>
    </x:row>
    <x:row r="24" ht="57">
      <x:c r="A24" s="22" t="s">
        <x:v>196</x:v>
      </x:c>
      <x:c r="B24" s="23" t="s">
        <x:v>197</x:v>
      </x:c>
      <x:c r="C24" s="24" t="s">
        <x:v>195</x:v>
      </x:c>
    </x:row>
    <x:row r="27" ht="15">
      <x:c r="A27" s="6" t="s">
        <x:v>198</x:v>
      </x:c>
      <x:c r="B27" s="6"/>
      <x:c r="C27" s="6"/>
      <x:c r="D27" s="6"/>
      <x:c r="E27" s="6"/>
      <x:c r="F27" s="6"/>
    </x:row>
    <x:row r="28" ht="28.5">
      <x:c r="A28" s="32" t="s">
        <x:v>112</x:v>
      </x:c>
      <x:c r="B28" s="18" t="s">
        <x:v>199</x:v>
      </x:c>
    </x:row>
    <x:row r="29" ht="28.5">
      <x:c r="A29" s="33" t="s">
        <x:v>66</x:v>
      </x:c>
      <x:c r="B29" s="21" t="s">
        <x:v>200</x:v>
      </x:c>
    </x:row>
    <x:row r="30" ht="28.5">
      <x:c r="A30" s="33" t="s">
        <x:v>45</x:v>
      </x:c>
      <x:c r="B30" s="21" t="s">
        <x:v>201</x:v>
      </x:c>
    </x:row>
    <x:row r="31" ht="15">
      <x:c r="A31" s="33" t="s">
        <x:v>51</x:v>
      </x:c>
      <x:c r="B31" s="21" t="s">
        <x:v>202</x:v>
      </x:c>
    </x:row>
    <x:row r="32" ht="57">
      <x:c r="A32" s="34" t="s">
        <x:v>203</x:v>
      </x:c>
      <x:c r="B32" s="24" t="s">
        <x:v>204</x:v>
      </x:c>
      <x:c r="C32" t="s">
        <x:v>205</x:v>
      </x:c>
    </x:row>
    <x:row r="35" ht="15">
      <x:c r="A35" s="6" t="s">
        <x:v>206</x:v>
      </x:c>
      <x:c r="B35" s="6"/>
      <x:c r="C35" s="6"/>
      <x:c r="D35" s="6"/>
      <x:c r="E35" s="6"/>
      <x:c r="F35" s="6"/>
    </x:row>
    <x:row r="36" ht="15">
      <x:c r="A36" s="35" t="s">
        <x:v>207</x:v>
      </x:c>
      <x:c r="B36" s="36" t="s">
        <x:v>208</x:v>
      </x:c>
    </x:row>
    <x:row r="37" ht="28.5">
      <x:c r="A37" s="19" t="s">
        <x:v>209</x:v>
      </x:c>
      <x:c r="B37" s="21" t="s">
        <x:v>210</x:v>
      </x:c>
    </x:row>
    <x:row r="38" ht="28.5">
      <x:c r="A38" s="19" t="s">
        <x:v>211</x:v>
      </x:c>
      <x:c r="B38" s="21" t="s">
        <x:v>212</x:v>
      </x:c>
    </x:row>
    <x:row r="39" ht="28.5">
      <x:c r="A39" s="19" t="s">
        <x:v>213</x:v>
      </x:c>
      <x:c r="B39" s="21" t="s">
        <x:v>214</x:v>
      </x:c>
    </x:row>
    <x:row r="40" ht="28.5">
      <x:c r="A40" s="22" t="s">
        <x:v>215</x:v>
      </x:c>
      <x:c r="B40" s="24" t="s">
        <x:v>216</x:v>
      </x:c>
    </x:row>
    <x:row r="42" ht="15">
      <x:c r="A42" s="6" t="s">
        <x:v>217</x:v>
      </x:c>
      <x:c r="B42" s="6"/>
      <x:c r="C42" s="6"/>
      <x:c r="D42" s="6"/>
      <x:c r="E42" s="6"/>
      <x:c r="F42" s="6"/>
    </x:row>
    <x:row r="43" ht="15">
      <x:c r="A43" s="35" t="s">
        <x:v>218</x:v>
      </x:c>
      <x:c r="B43" s="36" t="s">
        <x:v>219</x:v>
      </x:c>
    </x:row>
    <x:row r="44" ht="28.5">
      <x:c r="A44" s="19" t="s">
        <x:v>220</x:v>
      </x:c>
      <x:c r="B44" s="21" t="s">
        <x:v>221</x:v>
      </x:c>
    </x:row>
    <x:row r="45" ht="28.5">
      <x:c r="A45" s="19" t="s">
        <x:v>222</x:v>
      </x:c>
      <x:c r="B45" s="21" t="s">
        <x:v>223</x:v>
      </x:c>
    </x:row>
    <x:row r="46" ht="28.5">
      <x:c r="A46" s="19" t="s">
        <x:v>224</x:v>
      </x:c>
      <x:c r="B46" s="21" t="s">
        <x:v>225</x:v>
      </x:c>
    </x:row>
    <x:row r="47" ht="28.5">
      <x:c r="A47" s="19" t="s">
        <x:v>226</x:v>
      </x:c>
      <x:c r="B47" s="21" t="s">
        <x:v>227</x:v>
      </x:c>
    </x:row>
    <x:row r="48" ht="28.5">
      <x:c r="A48" s="22" t="s">
        <x:v>228</x:v>
      </x:c>
      <x:c r="B48" s="24" t="s">
        <x:v>229</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4" customWidth="1"/>
    <x:col min="2" max="2" width="42" customWidth="1"/>
    <x:col min="3" max="3" width="24" customWidth="1"/>
    <x:col min="4" max="5" width="8" customWidth="1"/>
    <x:col min="6" max="6" width="10" customWidth="1"/>
    <x:col min="7" max="7" width="30" customWidth="1"/>
    <x:col min="8" max="8" width="34" customWidth="1"/>
  </x:cols>
  <x:sheetData>
    <x:row r="1" ht="19.5">
      <x:c r="A1" s="1" t="s">
        <x:v>230</x:v>
      </x:c>
      <x:c r="B1" s="1"/>
      <x:c r="C1" s="1"/>
      <x:c r="D1" s="1"/>
      <x:c r="E1" s="1"/>
      <x:c r="F1" s="1"/>
      <x:c r="G1" s="1"/>
      <x:c r="H1" s="1"/>
    </x:row>
    <x:row r="2" ht="114.75">
      <x:c r="A2" s="2" t="s">
        <x:v>231</x:v>
      </x:c>
      <x:c r="B2" s="2"/>
      <x:c r="C2" s="2"/>
      <x:c r="D2" s="2"/>
      <x:c r="E2" s="2"/>
      <x:c r="F2" s="2"/>
      <x:c r="G2" s="2"/>
      <x:c r="H2" s="2"/>
    </x:row>
    <x:row r="4" ht="15">
      <x:c r="A4" s="6" t="s">
        <x:v>232</x:v>
      </x:c>
      <x:c r="B4" s="6"/>
      <x:c r="C4" s="6"/>
      <x:c r="D4" s="6"/>
      <x:c r="E4" s="6"/>
      <x:c r="F4" s="6"/>
      <x:c r="G4" s="6"/>
      <x:c r="H4" s="6"/>
    </x:row>
    <x:row r="5" ht="15">
      <x:c r="A5" s="15" t="s">
        <x:v>14</x:v>
      </x:c>
      <x:c r="B5" s="15" t="s">
        <x:v>233</x:v>
      </x:c>
      <x:c r="C5" s="15" t="s">
        <x:v>71</x:v>
      </x:c>
      <x:c r="D5" s="15" t="s">
        <x:v>234</x:v>
      </x:c>
      <x:c r="E5" s="15" t="s">
        <x:v>15</x:v>
      </x:c>
      <x:c r="F5" s="15" t="s">
        <x:v>235</x:v>
      </x:c>
      <x:c r="G5" s="15" t="s">
        <x:v>219</x:v>
      </x:c>
      <x:c r="H5" s="15" t="s">
        <x:v>101</x:v>
      </x:c>
    </x:row>
    <x:row r="6" ht="28.5">
      <x:c r="A6" s="16" t="s">
        <x:v>236</x:v>
      </x:c>
      <x:c r="B6" s="17" t="s">
        <x:v>237</x:v>
      </x:c>
      <x:c r="C6" s="17" t="s">
        <x:v>190</x:v>
      </x:c>
      <x:c r="D6" s="17">
        <x:v>1</x:v>
      </x:c>
      <x:c r="E6" s="17">
        <x:v>10</x:v>
      </x:c>
      <x:c r="F6" s="17">
        <x:v>2.5</x:v>
      </x:c>
      <x:c r="G6" s="17" t="s">
        <x:v>238</x:v>
      </x:c>
      <x:c r="H6" s="18" t="s">
        <x:v>239</x:v>
      </x:c>
    </x:row>
    <x:row r="7">
      <x:c r="A7" s="19" t="s">
        <x:v>240</x:v>
      </x:c>
      <x:c r="B7" s="20" t="s">
        <x:v>241</x:v>
      </x:c>
      <x:c r="C7" s="20" t="s">
        <x:v>190</x:v>
      </x:c>
      <x:c r="D7" s="20">
        <x:v>0</x:v>
      </x:c>
      <x:c r="E7" s="20">
        <x:v>15</x:v>
      </x:c>
      <x:c r="F7" s="20">
        <x:v>0</x:v>
      </x:c>
      <x:c r="G7" s="20" t="s">
        <x:v>242</x:v>
      </x:c>
      <x:c r="H7" s="21" t="s">
        <x:v>243</x:v>
      </x:c>
    </x:row>
    <x:row r="8" ht="28.5">
      <x:c r="A8" s="19" t="s">
        <x:v>244</x:v>
      </x:c>
      <x:c r="B8" s="20" t="s">
        <x:v>245</x:v>
      </x:c>
      <x:c r="C8" s="20" t="s">
        <x:v>190</x:v>
      </x:c>
      <x:c r="D8" s="20">
        <x:v>0</x:v>
      </x:c>
      <x:c r="E8" s="20">
        <x:v>15</x:v>
      </x:c>
      <x:c r="F8" s="20">
        <x:v>0</x:v>
      </x:c>
      <x:c r="G8" s="20" t="s">
        <x:v>246</x:v>
      </x:c>
      <x:c r="H8" s="21" t="s">
        <x:v>247</x:v>
      </x:c>
    </x:row>
    <x:row r="9" ht="28.5">
      <x:c r="A9" s="19" t="s">
        <x:v>248</x:v>
      </x:c>
      <x:c r="B9" s="20" t="s">
        <x:v>249</x:v>
      </x:c>
      <x:c r="C9" s="20" t="s">
        <x:v>190</x:v>
      </x:c>
      <x:c r="D9" s="20">
        <x:v>0</x:v>
      </x:c>
      <x:c r="E9" s="20">
        <x:v>20</x:v>
      </x:c>
      <x:c r="F9" s="20">
        <x:v>0</x:v>
      </x:c>
      <x:c r="G9" s="20" t="s">
        <x:v>250</x:v>
      </x:c>
      <x:c r="H9" s="21" t="s">
        <x:v>251</x:v>
      </x:c>
    </x:row>
    <x:row r="10" ht="28.5">
      <x:c r="A10" s="19" t="s">
        <x:v>252</x:v>
      </x:c>
      <x:c r="B10" s="20" t="s">
        <x:v>253</x:v>
      </x:c>
      <x:c r="C10" s="20" t="s">
        <x:v>190</x:v>
      </x:c>
      <x:c r="D10" s="20">
        <x:v>0</x:v>
      </x:c>
      <x:c r="E10" s="20">
        <x:v>20</x:v>
      </x:c>
      <x:c r="F10" s="20">
        <x:v>0</x:v>
      </x:c>
      <x:c r="G10" s="20" t="s">
        <x:v>254</x:v>
      </x:c>
      <x:c r="H10" s="21" t="s">
        <x:v>255</x:v>
      </x:c>
    </x:row>
    <x:row r="11" ht="28.5">
      <x:c r="A11" s="19" t="s">
        <x:v>256</x:v>
      </x:c>
      <x:c r="B11" s="20" t="s">
        <x:v>257</x:v>
      </x:c>
      <x:c r="C11" s="20" t="s">
        <x:v>190</x:v>
      </x:c>
      <x:c r="D11" s="20">
        <x:v>3</x:v>
      </x:c>
      <x:c r="E11" s="20">
        <x:v>10</x:v>
      </x:c>
      <x:c r="F11" s="20">
        <x:v>7.5</x:v>
      </x:c>
      <x:c r="G11" s="20" t="s">
        <x:v>258</x:v>
      </x:c>
      <x:c r="H11" s="21" t="s">
        <x:v>259</x:v>
      </x:c>
    </x:row>
    <x:row r="12" ht="28.5">
      <x:c r="A12" s="22" t="s">
        <x:v>260</x:v>
      </x:c>
      <x:c r="B12" s="23" t="s">
        <x:v>261</x:v>
      </x:c>
      <x:c r="C12" s="23" t="s">
        <x:v>190</x:v>
      </x:c>
      <x:c r="D12" s="23">
        <x:v>1</x:v>
      </x:c>
      <x:c r="E12" s="23">
        <x:v>10</x:v>
      </x:c>
      <x:c r="F12" s="23">
        <x:v>2.5</x:v>
      </x:c>
      <x:c r="G12" s="23" t="s">
        <x:v>262</x:v>
      </x:c>
      <x:c r="H12" s="24" t="s">
        <x:v>263</x:v>
      </x:c>
    </x:row>
    <x:row r="14" ht="15">
      <x:c r="A14" s="6" t="s">
        <x:v>264</x:v>
      </x:c>
      <x:c r="B14" s="6"/>
      <x:c r="C14" s="6"/>
      <x:c r="D14" s="6"/>
      <x:c r="E14" s="6"/>
      <x:c r="F14" s="6"/>
      <x:c r="G14" s="6"/>
      <x:c r="H14" s="6"/>
    </x:row>
    <x:row r="15" ht="15">
      <x:c r="A15" s="15" t="s">
        <x:v>14</x:v>
      </x:c>
      <x:c r="B15" s="15" t="s">
        <x:v>233</x:v>
      </x:c>
      <x:c r="C15" s="15" t="s">
        <x:v>71</x:v>
      </x:c>
      <x:c r="D15" s="15" t="s">
        <x:v>234</x:v>
      </x:c>
      <x:c r="E15" s="15" t="s">
        <x:v>15</x:v>
      </x:c>
      <x:c r="F15" s="15" t="s">
        <x:v>235</x:v>
      </x:c>
      <x:c r="G15" s="15" t="s">
        <x:v>219</x:v>
      </x:c>
      <x:c r="H15" s="15" t="s">
        <x:v>101</x:v>
      </x:c>
    </x:row>
    <x:row r="16" ht="28.5">
      <x:c r="A16" s="16" t="s">
        <x:v>236</x:v>
      </x:c>
      <x:c r="B16" s="17" t="s">
        <x:v>265</x:v>
      </x:c>
      <x:c r="C16" s="17" t="s">
        <x:v>190</x:v>
      </x:c>
      <x:c r="D16" s="17">
        <x:v>3</x:v>
      </x:c>
      <x:c r="E16" s="17">
        <x:v>10</x:v>
      </x:c>
      <x:c r="F16" s="17">
        <x:v>7.5</x:v>
      </x:c>
      <x:c r="G16" s="17" t="s">
        <x:v>266</x:v>
      </x:c>
      <x:c r="H16" s="18" t="s">
        <x:v>267</x:v>
      </x:c>
    </x:row>
    <x:row r="17">
      <x:c r="A17" s="19" t="s">
        <x:v>240</x:v>
      </x:c>
      <x:c r="B17" s="20" t="s">
        <x:v>268</x:v>
      </x:c>
      <x:c r="C17" s="20" t="s">
        <x:v>190</x:v>
      </x:c>
      <x:c r="D17" s="20">
        <x:v>2</x:v>
      </x:c>
      <x:c r="E17" s="20">
        <x:v>15</x:v>
      </x:c>
      <x:c r="F17" s="20">
        <x:v>7.5</x:v>
      </x:c>
      <x:c r="G17" s="20" t="s">
        <x:v>269</x:v>
      </x:c>
      <x:c r="H17" s="21" t="s">
        <x:v>270</x:v>
      </x:c>
    </x:row>
    <x:row r="18" ht="28.5">
      <x:c r="A18" s="19" t="s">
        <x:v>244</x:v>
      </x:c>
      <x:c r="B18" s="20" t="s">
        <x:v>271</x:v>
      </x:c>
      <x:c r="C18" s="20" t="s">
        <x:v>196</x:v>
      </x:c>
      <x:c r="D18" s="20"/>
      <x:c r="E18" s="20">
        <x:v>15</x:v>
      </x:c>
      <x:c r="F18" s="20"/>
      <x:c r="G18" s="20" t="s">
        <x:v>272</x:v>
      </x:c>
      <x:c r="H18" s="21" t="s">
        <x:v>273</x:v>
      </x:c>
    </x:row>
    <x:row r="19">
      <x:c r="A19" s="19" t="s">
        <x:v>248</x:v>
      </x:c>
      <x:c r="B19" s="20" t="s">
        <x:v>274</x:v>
      </x:c>
      <x:c r="C19" s="20" t="s">
        <x:v>196</x:v>
      </x:c>
      <x:c r="D19" s="20"/>
      <x:c r="E19" s="20">
        <x:v>20</x:v>
      </x:c>
      <x:c r="F19" s="20"/>
      <x:c r="G19" s="20" t="s">
        <x:v>275</x:v>
      </x:c>
      <x:c r="H19" s="21" t="s">
        <x:v>276</x:v>
      </x:c>
    </x:row>
    <x:row r="20">
      <x:c r="A20" s="19" t="s">
        <x:v>252</x:v>
      </x:c>
      <x:c r="B20" s="20" t="s">
        <x:v>277</x:v>
      </x:c>
      <x:c r="C20" s="20" t="s">
        <x:v>196</x:v>
      </x:c>
      <x:c r="D20" s="20"/>
      <x:c r="E20" s="20">
        <x:v>20</x:v>
      </x:c>
      <x:c r="F20" s="20"/>
      <x:c r="G20" s="20" t="s">
        <x:v>275</x:v>
      </x:c>
      <x:c r="H20" s="21" t="s">
        <x:v>278</x:v>
      </x:c>
    </x:row>
    <x:row r="21">
      <x:c r="A21" s="19" t="s">
        <x:v>256</x:v>
      </x:c>
      <x:c r="B21" s="20" t="s">
        <x:v>279</x:v>
      </x:c>
      <x:c r="C21" s="20" t="s">
        <x:v>190</x:v>
      </x:c>
      <x:c r="D21" s="20">
        <x:v>3</x:v>
      </x:c>
      <x:c r="E21" s="20">
        <x:v>10</x:v>
      </x:c>
      <x:c r="F21" s="20">
        <x:v>7.5</x:v>
      </x:c>
      <x:c r="G21" s="20" t="s">
        <x:v>280</x:v>
      </x:c>
      <x:c r="H21" s="21" t="s">
        <x:v>281</x:v>
      </x:c>
    </x:row>
    <x:row r="22">
      <x:c r="A22" s="22" t="s">
        <x:v>260</x:v>
      </x:c>
      <x:c r="B22" s="23" t="s">
        <x:v>282</x:v>
      </x:c>
      <x:c r="C22" s="23" t="s">
        <x:v>190</x:v>
      </x:c>
      <x:c r="D22" s="23">
        <x:v>3</x:v>
      </x:c>
      <x:c r="E22" s="23">
        <x:v>10</x:v>
      </x:c>
      <x:c r="F22" s="23">
        <x:v>7.5</x:v>
      </x:c>
      <x:c r="G22" s="23" t="s">
        <x:v>283</x:v>
      </x:c>
      <x:c r="H22" s="24" t="s">
        <x:v>284</x:v>
      </x:c>
    </x:row>
  </x:sheetData>
  <x:pageMargins left="0.7" right="0.7" top="0.75" bottom="0.75" header="0.3" footer="0.3"/>
</x:worksheet>
</file>

<file path=xl/worksheets/sheet7.xml><?xml version="1.0" encoding="utf-8"?>
<x:worksheet xmlns:x="http://schemas.openxmlformats.org/spreadsheetml/2006/main">
  <x:sheetFormatPr defaultRowHeight="14.25"/>
  <x:cols>
    <x:col min="1" max="1" width="6" customWidth="1"/>
    <x:col min="2" max="2" width="16" customWidth="1"/>
    <x:col min="3" max="3" width="22" customWidth="1"/>
    <x:col min="4" max="4" width="34" customWidth="1"/>
    <x:col min="5" max="5" width="30" customWidth="1"/>
    <x:col min="6" max="6" width="20" customWidth="1"/>
    <x:col min="7" max="7" width="46" customWidth="1"/>
    <x:col min="8" max="9" width="42" customWidth="1"/>
  </x:cols>
  <x:sheetData>
    <x:row r="1" ht="18">
      <x:c r="A1" s="38" t="str">
        <x:v>SUMBER DATA — FINAL BASELINE P03 Pemerintah Kota Tanjungpinang</x:v>
      </x:c>
      <x:c r="B1" s="38"/>
      <x:c r="C1" s="38"/>
      <x:c r="D1" s="38"/>
      <x:c r="E1" s="38"/>
      <x:c r="F1" s="38"/>
      <x:c r="G1" s="38"/>
      <x:c r="H1" s="38"/>
      <x:c r="I1" s="38"/>
    </x:row>
    <x:row r="2">
      <x:c r="A2" s="39" t="str">
        <x:v>Disalin dari FINAL BASELINE MITRA KINERJA — cut-off 28 Agustus 2026. Perkembangan setelah cut-off dinilai melalui Scorecard.</x:v>
      </x:c>
      <x:c r="B2" s="39"/>
      <x:c r="C2" s="39"/>
      <x:c r="D2" s="39"/>
      <x:c r="E2" s="39"/>
      <x:c r="F2" s="39"/>
      <x:c r="G2" s="39"/>
      <x:c r="H2" s="39"/>
      <x:c r="I2" s="39"/>
    </x:row>
    <x:row r="4" ht="15">
      <x:c r="A4" s="40" t="str">
        <x:v>No</x:v>
      </x:c>
      <x:c r="B4" s="41" t="str">
        <x:v>Kelompok</x:v>
      </x:c>
      <x:c r="C4" s="41" t="str">
        <x:v>Elemen baseline</x:v>
      </x:c>
      <x:c r="D4" s="41" t="str">
        <x:v>Yang diperiksa</x:v>
      </x:c>
      <x:c r="E4" s="41" t="str">
        <x:v>Sumber/bukti minimum</x:v>
      </x:c>
      <x:c r="F4" s="41" t="str">
        <x:v>Status</x:v>
      </x:c>
      <x:c r="G4" s="41" t="str">
        <x:v>Fakta/hasil pemeriksaan</x:v>
      </x:c>
      <x:c r="H4" s="41" t="str">
        <x:v>Sumber/link bukti</x:v>
      </x:c>
      <x:c r="I4" s="42" t="str">
        <x:v>Catatan khusus (opsional)</x:v>
      </x:c>
    </x:row>
    <x:row r="5" ht="72" customHeight="1">
      <x:c r="A5" s="43" t="n">
        <x:v>1</x:v>
      </x:c>
      <x:c r="B5" s="27" t="str">
        <x:v>IDENTITAS</x:v>
      </x:c>
      <x:c r="C5" s="27" t="str">
        <x:v>Identitas naskah</x:v>
      </x:c>
      <x:c r="D5" s="27" t="str">
        <x:v>Jenis, nomor para pihak, judul, dan nama resmi mitra sesuai naskah.</x:v>
      </x:c>
      <x:c r="E5" s="27" t="str">
        <x:v>Naskah bertanda tangan; P2MA sebagai pembanding.</x:v>
      </x:c>
      <x:c r="F5" s="27" t="str">
        <x:v>TERVERIFIKASI</x:v>
      </x:c>
      <x:c r="G5" s="27" t="str">
        <x:v>sudah sesuai</x:v>
      </x:c>
      <x:c r="H5" s="27" t="str">
        <x:v>https://p2ma.kemenkum.go.id/uploads/kerjasama/naskah/1778046924.pdf</x:v>
      </x:c>
      <x:c r="I5" s="44"/>
    </x:row>
    <x:row r="6" ht="72" customHeight="1">
      <x:c r="A6" s="43" t="n">
        <x:v>2</x:v>
      </x:c>
      <x:c r="B6" s="27" t="str">
        <x:v>MASA BERLAKU</x:v>
      </x:c>
      <x:c r="C6" s="27" t="str">
        <x:v>Masa berlaku</x:v>
      </x:c>
      <x:c r="D6" s="27" t="str">
        <x:v>Tanggal efektif, durasi, dan tanggal berakhir sesuai klausul naskah.</x:v>
      </x:c>
      <x:c r="E6" s="27" t="str">
        <x:v>Klausul jangka waktu; halaman tanda tangan; P2MA.</x:v>
      </x:c>
      <x:c r="F6" s="27" t="str">
        <x:v>TERVERIFIKASI</x:v>
      </x:c>
      <x:c r="G6" s="27" t="str">
        <x:v>P2MA publik menampilkan status Berlangsung, mulai 6 Januari 2026 dan berakhir 5 Januari 2031; tanggal sesuai data awal.</x:v>
      </x:c>
      <x:c r="H6" s="27" t="str">
        <x:v>https://p2ma.kemenkum.go.id/kdn/pencarian?tipe=1&amp;keyword=Pemerintah%20Kota%20Tanjungpinang</x:v>
      </x:c>
      <x:c r="I6" s="44"/>
    </x:row>
    <x:row r="7" ht="72" customHeight="1">
      <x:c r="A7" s="43" t="n">
        <x:v>3</x:v>
      </x:c>
      <x:c r="B7" s="27" t="str">
        <x:v>SUBSTANSI</x:v>
      </x:c>
      <x:c r="C7" s="27" t="str">
        <x:v>Ruang lingkup</x:v>
      </x:c>
      <x:c r="D7" s="27" t="str">
        <x:v>Ruang kerja, kewajiban, atau kegiatan utama yang disepakati.</x:v>
      </x:c>
      <x:c r="E7" s="27" t="str">
        <x:v>Pasal ruang lingkup/hak-kewajiban; lampiran.</x:v>
      </x:c>
      <x:c r="F7" s="27" t="str">
        <x:v>TERVERIFIKASI</x:v>
      </x:c>
      <x:c r="G7" s="27" t="str">
        <x:v>Ruang lingkup yang tercatat meliputi pembentukan produk hukum daerah; pembentukan dan pembinaan Pos Bantuan Hukum; JDIH; layanan Administrasi Hukum Umum; serta layanan Kekayaan Intelektual.</x:v>
      </x:c>
      <x:c r="H7" s="27" t="str">
        <x:v>https://p2ma.kemenkum.go.id/uploads/kerjasama/naskah/1778046924.pdf</x:v>
      </x:c>
      <x:c r="I7" s="44"/>
    </x:row>
    <x:row r="8" ht="72" customHeight="1">
      <x:c r="A8" s="43" t="n">
        <x:v>4</x:v>
      </x:c>
      <x:c r="B8" s="27" t="str">
        <x:v>TATA KELOLA</x:v>
      </x:c>
      <x:c r="C8" s="27" t="str">
        <x:v>Status arsip</x:v>
      </x:c>
      <x:c r="D8" s="27" t="str">
        <x:v>Ketersediaan naskah lengkap pada lokasi arsip resmi dan dapat ditemukan kembali.</x:v>
      </x:c>
      <x:c r="E8" s="27" t="str">
        <x:v>Arsip resmi; register; folder organisasi.</x:v>
      </x:c>
      <x:c r="F8" s="27" t="str">
        <x:v>BELUM TERSEDIA</x:v>
      </x:c>
      <x:c r="G8" s="27" t="str">
        <x:v>Salinan naskah dapat dibuka melalui P2MA. Lokasi arsip resmi internal, register, kelengkapan halaman, dan kemudahan temu kembali belum diperiksa.</x:v>
      </x:c>
      <x:c r="H8" s="27" t="str">
        <x:v>Naskah P2MA pada baris 5; arsip internal belum diperiksa.</x:v>
      </x:c>
      <x:c r="I8" s="44"/>
    </x:row>
    <x:row r="9" ht="72" customHeight="1">
      <x:c r="A9" s="43" t="n">
        <x:v>5</x:v>
      </x:c>
      <x:c r="B9" s="27" t="str">
        <x:v>TATA KELOLA</x:v>
      </x:c>
      <x:c r="C9" s="27" t="str">
        <x:v>Status P2MA</x:v>
      </x:c>
      <x:c r="D9" s="27" t="str">
        <x:v>Keberadaan entri dan kesesuaian metadata P2MA dengan naskah resmi.</x:v>
      </x:c>
      <x:c r="E9" s="27" t="str">
        <x:v>P2MA dan naskah bertanda tangan.</x:v>
      </x:c>
      <x:c r="F9" s="27" t="str">
        <x:v>TERVERIFIKASI</x:v>
      </x:c>
      <x:c r="G9" s="27" t="str">
        <x:v>Entri publik P2MA ditemukan dengan status Berlangsung dan naskah PDF dapat dibuka. Satu entri ditemukan dan tautan PDF dapat dibuka.</x:v>
      </x:c>
      <x:c r="H9" s="27" t="str">
        <x:v>https://p2ma.kemenkum.go.id/kdn/pencarian?tipe=1&amp;keyword=Pemerintah%20Kota%20Tanjungpinang</x:v>
      </x:c>
      <x:c r="I9" s="44"/>
    </x:row>
    <x:row r="10" ht="72" customHeight="1">
      <x:c r="A10" s="43" t="n">
        <x:v>6</x:v>
      </x:c>
      <x:c r="B10" s="27" t="str">
        <x:v>PENGAMPU</x:v>
      </x:c>
      <x:c r="C10" s="27" t="str">
        <x:v>Unit pengampu</x:v>
      </x:c>
      <x:c r="D10" s="27" t="str">
        <x:v>Unit internal yang bertanggung jawab atas substansi dan implementasi kerja sama.</x:v>
      </x:c>
      <x:c r="E10" s="27" t="str">
        <x:v>ND/SK/pembagian tugas; konfirmasi tertulis unit.</x:v>
      </x:c>
      <x:c r="F10" s="27" t="str">
        <x:v>BELUM TERSEDIA</x:v>
      </x:c>
      <x:c r="G10" s="27" t="str">
        <x:v>Naskah dan P2MA publik belum cukup untuk menetapkan unit internal yang bertanggung jawab atas implementasi kerja sama.</x:v>
      </x:c>
      <x:c r="H10" s="27" t="str">
        <x:v>Naskah/P2MA publik; ND, SK, pembagian tugas, atau konfirmasi unit belum diperoleh.</x:v>
      </x:c>
      <x:c r="I10" s="44"/>
    </x:row>
    <x:row r="11" ht="72" customHeight="1">
      <x:c r="A11" s="43" t="n">
        <x:v>7</x:v>
      </x:c>
      <x:c r="B11" s="27" t="str">
        <x:v>PIC</x:v>
      </x:c>
      <x:c r="C11" s="27" t="str">
        <x:v>PIC internal</x:v>
      </x:c>
      <x:c r="D11" s="27" t="str">
        <x:v>PIC utama dan cadangan yang aktif, lengkap dengan jabatan, kontak, dan dasar penetapan.</x:v>
      </x:c>
      <x:c r="E11" s="27" t="str">
        <x:v>ND/SK/daftar PIC; konfirmasi tertulis unit.</x:v>
      </x:c>
      <x:c r="F11" s="27" t="str">
        <x:v>BELUM TERSEDIA</x:v>
      </x:c>
      <x:c r="G11" s="27" t="str">
        <x:v>PIC internal utama dan cadangan belum dapat dipastikan dari sumber publik yang diperiksa.</x:v>
      </x:c>
      <x:c r="H11" s="27" t="str">
        <x:v>Daftar PIC, ND/SK, dan konfirmasi tertulis unit belum diperoleh.</x:v>
      </x:c>
      <x:c r="I11" s="44"/>
    </x:row>
    <x:row r="12" ht="72" customHeight="1">
      <x:c r="A12" s="43" t="n">
        <x:v>8</x:v>
      </x:c>
      <x:c r="B12" s="27" t="str">
        <x:v>PIC</x:v>
      </x:c>
      <x:c r="C12" s="27" t="str">
        <x:v>PIC mitra</x:v>
      </x:c>
      <x:c r="D12" s="27" t="str">
        <x:v>Penghubung operasional pihak mitra yang telah dikonfirmasi.</x:v>
      </x:c>
      <x:c r="E12" s="27" t="str">
        <x:v>Surat/email/form konfirmasi resmi dari mitra.</x:v>
      </x:c>
      <x:c r="F12" s="27" t="str">
        <x:v>BELUM TERSEDIA</x:v>
      </x:c>
      <x:c r="G12" s="27" t="str">
        <x:v>PIC operasional pihak mitra belum dikonfirmasi melalui surat, email resmi, atau formulir penunjukan.</x:v>
      </x:c>
      <x:c r="H12" s="27" t="str">
        <x:v>Surat/email/formulir penunjukan PIC mitra belum diperoleh.</x:v>
      </x:c>
      <x:c r="I12" s="44"/>
    </x:row>
    <x:row r="13" ht="72" customHeight="1">
      <x:c r="A13" s="43" t="n">
        <x:v>9</x:v>
      </x:c>
      <x:c r="B13" s="27" t="str">
        <x:v>TINDAK LANJUT</x:v>
      </x:c>
      <x:c r="C13" s="27" t="str">
        <x:v>Rencana tindak lanjut</x:v>
      </x:c>
      <x:c r="D13" s="27" t="str">
        <x:v>Dokumen atau komitmen operasional yang memuat kegiatan, periode, target, dan/atau PIC.</x:v>
      </x:c>
      <x:c r="E13" s="27" t="str">
        <x:v>Rencana aksi; matriks kerja; kalender; notula.</x:v>
      </x:c>
      <x:c r="F13" s="27" t="str">
        <x:v>BELUM TERSEDIA</x:v>
      </x:c>
      <x:c r="G13" s="27" t="str">
        <x:v>Ruang lingkup naskah tersedia, tetapi belum ditemukan rencana aksi atau komitmen operasional yang memuat kegiatan, periode, target, dan PIC.</x:v>
      </x:c>
      <x:c r="H13" s="27" t="str">
        <x:v>Rencana aksi, matriks kerja, kalender, atau notula belum diperoleh.</x:v>
      </x:c>
      <x:c r="I13" s="44"/>
    </x:row>
    <x:row r="14" ht="72" customHeight="1">
      <x:c r="A14" s="43" t="n">
        <x:v>10</x:v>
      </x:c>
      <x:c r="B14" s="27" t="str">
        <x:v>PELAKSANAAN</x:v>
      </x:c>
      <x:c r="C14" s="27" t="str">
        <x:v>Pelaksanaan dan hasil</x:v>
      </x:c>
      <x:c r="D14" s="27" t="str">
        <x:v>Kegiatan aktual, realisasi terhadap target jatuh tempo, serta output yang dihasilkan.</x:v>
      </x:c>
      <x:c r="E14" s="27" t="str">
        <x:v>Laporan; undangan; notula; daftar hadir; data hasil.</x:v>
      </x:c>
      <x:c r="F14" s="27" t="str">
        <x:v>BELUM TERSEDIA</x:v>
      </x:c>
      <x:c r="G14" s="27" t="str">
        <x:v>Status Berlangsung pada P2MA belum membuktikan kegiatan atau output. Laporan pelaksanaan dan data hasil belum diperiksa.</x:v>
      </x:c>
      <x:c r="H14" s="27" t="str">
        <x:v>Laporan, undangan, notula, daftar hadir, dan data hasil belum diperoleh.</x:v>
      </x:c>
      <x:c r="I14" s="44"/>
    </x:row>
    <x:row r="15" ht="72" customHeight="1">
      <x:c r="A15" s="43" t="n">
        <x:v>11</x:v>
      </x:c>
      <x:c r="B15" s="27" t="str">
        <x:v>EVIDEN</x:v>
      </x:c>
      <x:c r="C15" s="27" t="str">
        <x:v>Eviden implementasi</x:v>
      </x:c>
      <x:c r="D15" s="27" t="str">
        <x:v>Bukti pelaksanaan/output, lokasi penyimpanan, dan tingkat keteraturannya.</x:v>
      </x:c>
      <x:c r="E15" s="27" t="str">
        <x:v>Folder resmi; indeks bukti; dokumen/data kegiatan.</x:v>
      </x:c>
      <x:c r="F15" s="27" t="str">
        <x:v>BELUM TERSEDIA</x:v>
      </x:c>
      <x:c r="G15" s="27" t="str">
        <x:v>Naskah dan entri P2MA tersedia, tetapi folder resmi, indeks, serta bukti implementasi belum diperiksa.</x:v>
      </x:c>
      <x:c r="H15" s="27" t="str">
        <x:v>Folder eviden, indeks bukti, dan dokumen/data kegiatan belum diperoleh.</x:v>
      </x:c>
      <x:c r="I15" s="44"/>
    </x:row>
    <x:row r="16" ht="72" customHeight="1">
      <x:c r="A16" s="45" t="n">
        <x:v>12</x:v>
      </x:c>
      <x:c r="B16" s="46" t="str">
        <x:v>HAMBATAN</x:v>
      </x:c>
      <x:c r="C16" s="46" t="str">
        <x:v>Hambatan/gap</x:v>
      </x:c>
      <x:c r="D16" s="46" t="str">
        <x:v>Kendala faktual atau kekosongan data yang memengaruhi implementasi dan sudah dikonfirmasi.</x:v>
      </x:c>
      <x:c r="E16" s="46" t="str">
        <x:v>Konfirmasi unit/PIC/mitra; notula; laporan; bukti keterlambatan.</x:v>
      </x:c>
      <x:c r="F16" s="46" t="str">
        <x:v>BELUM TERSEDIA</x:v>
      </x:c>
      <x:c r="G16" s="46" t="str">
        <x:v>Hambatan operasional belum dikonfirmasi. Gap baseline pada cut-off mencakup arsip internal, unit pengampu, PIC, rencana tindak lanjut, pelaksanaan, dan eviden implementasi.</x:v>
      </x:c>
      <x:c r="H16" s="46" t="str">
        <x:v>Penelusuran publik P2MA; konfirmasi unit/PIC/mitra belum dilakukan.</x:v>
      </x:c>
      <x:c r="I16" s="47"/>
    </x:row>
  </x:sheetData>
  <x:pageMargins left="0.7" right="0.7" top="0.75" bottom="0.75" header="0.3" footer="0.3"/>
</x:worksheet>
</file>

<file path=xl/worksheets/sheet8.xml><?xml version="1.0" encoding="utf-8"?>
<x:worksheet xmlns:x="http://schemas.openxmlformats.org/spreadsheetml/2006/main">
  <x:sheetFormatPr defaultRowHeight="14.25"/>
  <x:cols>
    <x:col min="1" max="1" width="8.375" customWidth="1"/>
    <x:col min="2" max="2" width="34" customWidth="1"/>
    <x:col min="3" max="3" width="22" customWidth="1"/>
    <x:col min="4" max="4" width="48" customWidth="1"/>
    <x:col min="5" max="5" width="18" customWidth="1"/>
    <x:col min="6" max="6" width="42" customWidth="1"/>
  </x:cols>
  <x:sheetData>
    <x:row r="1" ht="18">
      <x:c r="A1" s="50" t="str">
        <x:v>SUMBER DATA PASCA-BASELINE — P03 PEMERINTAH KOTA TANJUNGPINANG</x:v>
      </x:c>
      <x:c r="B1" s="51"/>
      <x:c r="C1" s="51"/>
      <x:c r="D1" s="51"/>
      <x:c r="E1" s="51"/>
      <x:c r="F1" s="52"/>
    </x:row>
    <x:row r="2">
      <x:c r="A2" s="53" t="str">
        <x:v>Digunakan untuk penilaian Scorecard s.d. 27 September 2026. MoU berlaku sejak 6 Januari 2026 dan telah melewati 6 bulan.</x:v>
      </x:c>
      <x:c r="B2" s="48"/>
      <x:c r="C2" s="48"/>
      <x:c r="D2" s="48"/>
      <x:c r="E2" s="48"/>
      <x:c r="F2" s="54"/>
    </x:row>
    <x:row r="3">
      <x:c r="A3" s="55"/>
      <x:c r="F3" s="56"/>
    </x:row>
    <x:row r="4" ht="30">
      <x:c r="A4" s="57" t="str">
        <x:v>No</x:v>
      </x:c>
      <x:c r="B4" s="49" t="str">
        <x:v>Sumber</x:v>
      </x:c>
      <x:c r="C4" s="49" t="str">
        <x:v>Jenis Data</x:v>
      </x:c>
      <x:c r="D4" s="49" t="str">
        <x:v>Fakta Kunci</x:v>
      </x:c>
      <x:c r="E4" s="49" t="str">
        <x:v>Indikator Scorecard</x:v>
      </x:c>
      <x:c r="F4" s="58" t="str">
        <x:v>Catatan Rekonsiliasi</x:v>
      </x:c>
    </x:row>
    <x:row r="5" ht="42.75">
      <x:c r="A5" s="59" t="n">
        <x:v>1</x:v>
      </x:c>
      <x:c r="B5" s="20" t="str">
        <x:v>Data Stakeholder (8)(1).xlsx — IDENTITAS &amp; PIC</x:v>
      </x:c>
      <x:c r="C5" s="20" t="str">
        <x:v>Mitra</x:v>
      </x:c>
      <x:c r="D5" s="20" t="str">
        <x:v>PIC utama Lia Adhayatni, S.H., M.H. dan PIC cadangan Nidia Widiastuti Selayar, S.H., M.H.; PIC utama hadir dalam forum penguatan.</x:v>
      </x:c>
      <x:c r="E5" s="20" t="str">
        <x:v>I1, I7</x:v>
      </x:c>
      <x:c r="F5" s="60" t="str">
        <x:v>Menunjukkan PIC mitra sudah jelas; PIC internal individual masih perlu ditegaskan.</x:v>
      </x:c>
    </x:row>
    <x:row r="6" ht="42.75">
      <x:c r="A6" s="59" t="n">
        <x:v>2</x:v>
      </x:c>
      <x:c r="B6" s="20" t="str">
        <x:v>Data Stakeholder (8)(1).xlsx — PELAKSANAAN KEGIATAN</x:v>
      </x:c>
      <x:c r="C6" s="20" t="str">
        <x:v>Mitra</x:v>
      </x:c>
      <x:c r="D6" s="20" t="str">
        <x:v>10 kegiatan seluruhnya berstatus Sudah Dilaksanakan dan masing-masing memiliki tautan bukti; mencakup Posbankum dan harmonisasi produk hukum.</x:v>
      </x:c>
      <x:c r="E6" s="20" t="str">
        <x:v>I2, I3, I4, I5, I6</x:v>
      </x:c>
      <x:c r="F6" s="60" t="str">
        <x:v>Bukti kegiatan memperkuat implementasi pasca-baseline.</x:v>
      </x:c>
    </x:row>
    <x:row r="7" ht="42.75">
      <x:c r="A7" s="59" t="n">
        <x:v>3</x:v>
      </x:c>
      <x:c r="B7" s="20" t="str">
        <x:v>Data Stakeholder (8)(1).xlsx — USULAN TINDAK LANJUT</x:v>
      </x:c>
      <x:c r="C7" s="20" t="str">
        <x:v>Mitra</x:v>
      </x:c>
      <x:c r="D7" s="20" t="str">
        <x:v>2 tindak lanjut prioritas: penguatan paralegal Posbankum (1 bulan) dan proses harmonisasi produk hukum (3 bulan).</x:v>
      </x:c>
      <x:c r="E7" s="20" t="str">
        <x:v>I1, I2, I7</x:v>
      </x:c>
      <x:c r="F7" s="60" t="str">
        <x:v>Menunjukkan rencana tindak lanjut dengan target dan pihak yang dilibatkan.</x:v>
      </x:c>
    </x:row>
    <x:row r="8" ht="42.75">
      <x:c r="A8" s="59" t="n">
        <x:v>4</x:v>
      </x:c>
      <x:c r="B8" s="20" t="str">
        <x:v>RL14_P03_Produk_Hukum_Pembentukan Produk Hukum Daerah.xlsm</x:v>
      </x:c>
      <x:c r="C8" s="20" t="str">
        <x:v>Internal</x:v>
      </x:c>
      <x:c r="D8" s="20" t="str">
        <x:v>Harmonisasi rancangan produk hukum menghasilkan Surat Penyampaian Hasil; outcome berupa keselarasan rancangan; evidence di e-Harmonisasi.</x:v>
      </x:c>
      <x:c r="E8" s="20" t="str">
        <x:v>I2, I3, I4, I5, I6</x:v>
      </x:c>
      <x:c r="F8" s="60" t="str">
        <x:v>Perencanaan/NA/pembahasan/penetapan/pengundangan belum menghasilkan output pada matriks ini.</x:v>
      </x:c>
    </x:row>
    <x:row r="9" ht="42.75">
      <x:c r="A9" s="59" t="n">
        <x:v>5</x:v>
      </x:c>
      <x:c r="B9" s="20" t="str">
        <x:v>RL15_P03_Posbankum_Pembentukan dan Pembinaan Pos Bantuan Hukum.xlsm</x:v>
      </x:c>
      <x:c r="C9" s="20" t="str">
        <x:v>Internal</x:v>
      </x:c>
      <x:c r="D9" s="20" t="str">
        <x:v>Posbankum terbentuk di seluruh kelurahan; memberikan konsultasi, informasi hukum dan pendampingan; evidence rekapan layanan tersedia.</x:v>
      </x:c>
      <x:c r="E9" s="20" t="str">
        <x:v>I2, I3, I4, I5, I6, I7</x:v>
      </x:c>
      <x:c r="F9" s="60" t="str">
        <x:v>Masih diperlukan pembinaan berkelanjutan karena belum semua masyarakat menerima informasi hukum.</x:v>
      </x:c>
    </x:row>
    <x:row r="10" ht="42.75">
      <x:c r="A10" s="59" t="n">
        <x:v>6</x:v>
      </x:c>
      <x:c r="B10" s="20" t="str">
        <x:v>RL16_P03_JDIH_Jaringan Dokumentasi dan Informasi Hukum.xlsm</x:v>
      </x:c>
      <x:c r="C10" s="20" t="str">
        <x:v>Internal</x:v>
      </x:c>
      <x:c r="D10" s="20" t="str">
        <x:v>Asistensi/pendampingan JDIH terlaksana; kesiapan integrasi dengan JDIHN meningkat; evidence laporan, dokumentasi dan surat tersedia.</x:v>
      </x:c>
      <x:c r="E10" s="20" t="str">
        <x:v>I2, I3, I4, I5, I6, I7</x:v>
      </x:c>
      <x:c r="F10" s="60" t="str">
        <x:v>Penguatan kelembagaan dan pemutakhiran data masih perlu tindak lanjut.</x:v>
      </x:c>
    </x:row>
    <x:row r="11" ht="28.5">
      <x:c r="A11" s="59" t="n">
        <x:v>7</x:v>
      </x:c>
      <x:c r="B11" s="20" t="str">
        <x:v>RL17_P03_AHU_Layanan Administrasi Hukum Umum.xlsm</x:v>
      </x:c>
      <x:c r="C11" s="20" t="str">
        <x:v>Internal</x:v>
      </x:c>
      <x:c r="D11" s="20" t="str">
        <x:v>Status data terverifikasi, tetapi matriks menyatakan belum ada kegiatan/output pada layanan AHU.</x:v>
      </x:c>
      <x:c r="E11" s="20" t="str">
        <x:v>I2, I3, I7</x:v>
      </x:c>
      <x:c r="F11" s="60" t="str">
        <x:v>Menjadi gap implementasi, bukan kekurangan umur perjanjian.</x:v>
      </x:c>
    </x:row>
    <x:row r="12" ht="28.5">
      <x:c r="A12" s="61" t="n">
        <x:v>8</x:v>
      </x:c>
      <x:c r="B12" s="62" t="str">
        <x:v>RL18_P03_KI_Layanan Kekayaan Intelektual.xlsm</x:v>
      </x:c>
      <x:c r="C12" s="62" t="str">
        <x:v>Internal</x:v>
      </x:c>
      <x:c r="D12" s="62" t="str">
        <x:v>Data layanan KI belum diperoleh.</x:v>
      </x:c>
      <x:c r="E12" s="62" t="str">
        <x:v>I2, I3, I6, I7</x:v>
      </x:c>
      <x:c r="F12" s="63" t="str">
        <x:v>Perlu konfirmasi/pelengkapan data; tidak diperlakukan sebagai BELUM DAPAT DINILAI karena umur perjanjian &gt;6 bulan.</x:v>
      </x:c>
    </x:row>
    <x:row r="14" s="83" customFormat="1" ht="51">
      <x:c r="A14" s="96" t="str">
        <x:v>Catatan Kematangan</x:v>
      </x:c>
      <x:c r="B14" s="96" t="str">
        <x:v>MoU berlaku sejak 6 Januari 2026</x:v>
      </x:c>
      <x:c r="C14" s="96" t="str">
        <x:v>Usia saat penilaian 264 hari (&gt;6 bulan)</x:v>
      </x:c>
      <x:c r="D14" s="96" t="str">
        <x:v>Seluruh I1–I7 = DAPAT DINILAI</x:v>
      </x:c>
      <x:c r="E14" s="96" t="str">
        <x:v>Status Scorecard dihitung penuh</x:v>
      </x:c>
      <x:c r="F14" s="96" t="str">
        <x:v>Gap evidence/implementasi memengaruhi skor, bukan status BDN.</x:v>
      </x:c>
    </x:row>
  </x:sheetData>
  <x:pageMargins left="0.7" right="0.7" top="0.75" bottom="0.75" header="0.3" footer="0.3"/>
</x:worksheet>
</file>