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c09ad5c53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ILAIAN" sheetId="1" r:id="Ra44168254e704914"/>
    <x:sheet xmlns:r="http://schemas.openxmlformats.org/officeDocument/2006/relationships" name="KENDALI" sheetId="2" r:id="R517f955daf004784"/>
    <x:sheet xmlns:r="http://schemas.openxmlformats.org/officeDocument/2006/relationships" name="REKOMENDASI" sheetId="3" r:id="R2def22a2edf148f9"/>
    <x:sheet xmlns:r="http://schemas.openxmlformats.org/officeDocument/2006/relationships" name="RUBRIK" sheetId="4" r:id="R750d5051b9824b47"/>
    <x:sheet xmlns:r="http://schemas.openxmlformats.org/officeDocument/2006/relationships" name="PANDUAN" sheetId="5" r:id="Re71b5b70f4bb4fe3"/>
    <x:sheet xmlns:r="http://schemas.openxmlformats.org/officeDocument/2006/relationships" name="CONTOH" sheetId="6" r:id="R52d2850486dc43d3"/>
    <x:sheet xmlns:r="http://schemas.openxmlformats.org/officeDocument/2006/relationships" name="SUMBER_BASELINE" sheetId="7" r:id="Ra9b4e6defc8b4633"/>
    <x:sheet xmlns:r="http://schemas.openxmlformats.org/officeDocument/2006/relationships" name="SUMBER_AKTUAL" sheetId="8" r:id="R1c836099be6c44d4"/>
  </x:sheets>
</x:workbook>
</file>

<file path=xl/sharedStrings.xml><?xml version="1.0" encoding="utf-8"?>
<x:sst xmlns:x="http://schemas.openxmlformats.org/spreadsheetml/2006/main">
  <x:si>
    <x:t xml:space="preserve">1. PENILAIAN SCORECARD MITRA KINERJA</x:t>
  </x:si>
  <x:si>
    <x:t xml:space="preserve">Tujuan: menilai fakta pelaksanaan dan hasil kerja sama. PIC/unit teknis menyampaikan fakta &amp; evidence; Reviewer/Pengelola memberi status dan skor.</x:t>
  </x:si>
  <x:si>
    <x:t xml:space="preserve">Legenda</x:t>
  </x:si>
  <x:si>
    <x:t xml:space="preserve">BIRU = hasil otomatis / ringkasan</x:t>
  </x:si>
  <x:si>
    <x:t xml:space="preserve">A. IDENTITAS KERJA SAMA</x:t>
  </x:si>
  <x:si>
    <x:t xml:space="preserve">Nama Mitra</x:t>
  </x:si>
  <x:si>
    <x:t xml:space="preserve">Nomor/Tanggal Naskah</x:t>
  </x:si>
  <x:si>
    <x:t xml:space="preserve">Ruang Lingkup</x:t>
  </x:si>
  <x:si>
    <x:t xml:space="preserve">Periode Penilaian</x:t>
  </x:si>
  <x:si>
    <x:t xml:space="preserve">Reviewer/Pengelola</x:t>
  </x:si>
  <x:si>
    <x:t xml:space="preserve">Tanggal Penilaian</x:t>
  </x:si>
  <x:si>
    <x:t xml:space="preserve">PIC/Focal Point</x:t>
  </x:si>
  <x:si>
    <x:t xml:space="preserve">Masa Berlaku</x:t>
  </x:si>
  <x:si>
    <x:t xml:space="preserve">B. PENILAIAN I1–I7</x:t>
  </x:si>
  <x:si>
    <x:t xml:space="preserve">Indikator</x:t>
  </x:si>
  <x:si>
    <x:t xml:space="preserve">Bobot</x:t>
  </x:si>
  <x:si>
    <x:t xml:space="preserve">Apa yang Dinilai</x:t>
  </x:si>
  <x:si>
    <x:t xml:space="preserve">Kondisi Baseline</x:t>
  </x:si>
  <x:si>
    <x:t xml:space="preserve">Kondisi Saat Ini</x:t>
  </x:si>
  <x:si>
    <x:t xml:space="preserve">Status Penilaian</x:t>
  </x:si>
  <x:si>
    <x:t xml:space="preserve">Evidence / Lokasi Bukti</x:t>
  </x:si>
  <x:si>
    <x:t xml:space="preserve">Skor 0–4</x:t>
  </x:si>
  <x:si>
    <x:t xml:space="preserve">Nilai Bobot</x:t>
  </x:si>
  <x:si>
    <x:t xml:space="preserve">Alasan Skor / Temuan</x:t>
  </x:si>
  <x:si>
    <x:t xml:space="preserve">Catatan Tindak Lanjut</x:t>
  </x:si>
  <x:si>
    <x:t xml:space="preserve">I1. Kejelasan Pengelolaan &amp; Rencana Tindak Lanjut</x:t>
  </x:si>
  <x:si>
    <x:t xml:space="preserve">Apakah pelaksanaan kerja sama telah memiliki penanggung jawab yang jelas, rencana tindak lanjut yang dapat dilaksanakan, dan mekanisme koordinasi untuk memastikan tindak lanjut tersebut berjalan?</x:t>
  </x:si>
  <x:si>
    <x:t xml:space="preserve">I2. Implementasi / Tindak Lanjut</x:t>
  </x:si>
  <x:si>
    <x:t xml:space="preserve">Apakah kerja sama telah ditindaklanjuti melalui kegiatan atau langkah implementasi yang relevan dan dapat dibuktikan?</x:t>
  </x:si>
  <x:si>
    <x:t xml:space="preserve">I3. Output</x:t>
  </x:si>
  <x:si>
    <x:t xml:space="preserve">Apakah implementasi menghasilkan hasil langsung/produk yang seharusnya dicapai?</x:t>
  </x:si>
  <x:si>
    <x:t xml:space="preserve">I4. Outcome</x:t>
  </x:si>
  <x:si>
    <x:t xml:space="preserve">Apakah output menghasilkan perubahan atau manfaat bagi sasaran, proses, layanan, atau organisasi?</x:t>
  </x:si>
  <x:si>
    <x:t xml:space="preserve">I5. Kontribusi / Dampak</x:t>
  </x:si>
  <x:si>
    <x:t xml:space="preserve">Apakah hasil kerja sama memberikan kontribusi yang dapat dijelaskan terhadap kinerja organisasi dan/atau pelayanan hukum?</x:t>
  </x:si>
  <x:si>
    <x:t xml:space="preserve">I6. Evidence &amp; Data</x:t>
  </x:si>
  <x:si>
    <x:t xml:space="preserve">Apakah kondisi, pelaksanaan, dan hasil kerja sama didukung data/evidence yang dapat dipercaya dan ditelusuri?</x:t>
  </x:si>
  <x:si>
    <x:t xml:space="preserve">I7. Risiko &amp; Keberlanjutan</x:t>
  </x:si>
  <x:si>
    <x:t xml:space="preserve">Apakah risiko pelaksanaan dikendalikan dan terdapat kondisi yang mendukung keberlanjutan manfaat kerja sama?</x:t>
  </x:si>
  <x:si>
    <x:t xml:space="preserve">C. RINGKASAN OTOMATIS PENILAIAN</x:t>
  </x:si>
  <x:si>
    <x:t xml:space="preserve">Jumlah indikator dapat dinilai</x:t>
  </x:si>
  <x:si>
    <x:t xml:space="preserve">Panduan cepat untuk pengguna baru</x:t>
  </x:si>
  <x:si>
    <x:t xml:space="preserve">Jumlah BDN</x:t>
  </x:si>
  <x:si>
    <x:t xml:space="preserve">1</x:t>
  </x:si>
  <x:si>
    <x:t xml:space="preserve">Isi Baseline dan Kondisi Saat Ini berdasarkan fakta, bukan asumsi.</x:t>
  </x:si>
  <x:si>
    <x:t xml:space="preserve">Bukti belum memadai</x:t>
  </x:si>
  <x:si>
    <x:t xml:space="preserve">2</x:t>
  </x:si>
  <x:si>
    <x:t xml:space="preserve">Tentukan Status Penilaian sebelum memberi skor.</x:t>
  </x:si>
  <x:si>
    <x:t xml:space="preserve">Bobot yang dapat dinilai</x:t>
  </x:si>
  <x:si>
    <x:t xml:space="preserve">3</x:t>
  </x:si>
  <x:si>
    <x:t xml:space="preserve">Skor 0 hanya jika sudah dapat dinilai dan faktanya tidak terpenuhi.</x:t>
  </x:si>
  <x:si>
    <x:t xml:space="preserve">Nilai final</x:t>
  </x:si>
  <x:si>
    <x:t xml:space="preserve">4</x:t>
  </x:si>
  <x:si>
    <x:t xml:space="preserve">Jika evidence belum cukup, pilih BUKTI BELUM MEMADAI — jangan beri skor.</x:t>
  </x:si>
  <x:si>
    <x:t xml:space="preserve">Status Scorecard</x:t>
  </x:si>
  <x:si>
    <x:t xml:space="preserve">5</x:t>
  </x:si>
  <x:si>
    <x:t xml:space="preserve">Jika secara objektif belum waktunya hasil muncul, pilih BELUM DAPAT DINILAI.</x:t>
  </x:si>
  <x:si>
    <x:t xml:space="preserve">Kategori</x:t>
  </x:si>
  <x:si>
    <x:t xml:space="preserve">2. KENDALI MANAJERIAL</x:t>
  </x:si>
  <x:si>
    <x:t xml:space="preserve">Tujuan: membaca posisi kerja sama, peringatan dini, dan kebutuhan intervensi. Sheet ini tidak mengubah skor I1–I7.</x:t>
  </x:si>
  <x:si>
    <x:t xml:space="preserve">A. RINGKASAN DARI PENILAIAN</x:t>
  </x:si>
  <x:si>
    <x:t xml:space="preserve">B. POSISI PORTOFOLIO</x:t>
  </x:si>
  <x:si>
    <x:t xml:space="preserve">Posisi Portofolio</x:t>
  </x:si>
  <x:si>
    <x:t xml:space="preserve">Nilai Final</x:t>
  </x:si>
  <x:si>
    <x:t xml:space="preserve">Dasar Penetapan</x:t>
  </x:si>
  <x:si>
    <x:t xml:space="preserve">Indikator Dapat Dinilai</x:t>
  </x:si>
  <x:si>
    <x:t xml:space="preserve">BDN</x:t>
  </x:si>
  <x:si>
    <x:t xml:space="preserve">Bukti Belum Memadai</x:t>
  </x:si>
  <x:si>
    <x:t xml:space="preserve">Bobot Dinilai</x:t>
  </x:si>
  <x:si>
    <x:t xml:space="preserve">C. EARLY WARNING — TERPISAH DARI NILAI SCORECARD</x:t>
  </x:si>
  <x:si>
    <x:t xml:space="preserve">Area Kontrol</x:t>
  </x:si>
  <x:si>
    <x:t xml:space="preserve">Status</x:t>
  </x:si>
  <x:si>
    <x:t xml:space="preserve">Fakta / Bukti Singkat</x:t>
  </x:si>
  <x:si>
    <x:t xml:space="preserve">Tindakan</x:t>
  </x:si>
  <x:si>
    <x:t xml:space="preserve">Penanggung Jawab</x:t>
  </x:si>
  <x:si>
    <x:t xml:space="preserve">Target</x:t>
  </x:si>
  <x:si>
    <x:t xml:space="preserve">Progres</x:t>
  </x:si>
  <x:si>
    <x:t xml:space="preserve">Ringkasan Early Warning</x:t>
  </x:si>
  <x:si>
    <x:t xml:space="preserve">Warning Tertinggi</x:t>
  </x:si>
  <x:si>
    <x:t xml:space="preserve">Status Penanganan</x:t>
  </x:si>
  <x:si>
    <x:t xml:space="preserve">DALAM TINDAK LANJUT</x:t>
  </x:si>
  <x:si>
    <x:t xml:space="preserve">Catatan</x:t>
  </x:si>
  <x:si>
    <x:t xml:space="preserve">D. UJI KEBUTUHAN INTERVENSI PIMPINAN</x:t>
  </x:si>
  <x:si>
    <x:t xml:space="preserve">Perlu Intervensi Pimpinan?</x:t>
  </x:si>
  <x:si>
    <x:t xml:space="preserve">Panduan</x:t>
  </x:si>
  <x:si>
    <x:t xml:space="preserve">Intervensi hanya dipakai bila isu/keputusan tidak dapat diselesaikan pada level pengelola/unit pelaksana atau memang membutuhkan kewenangan/arahan pimpinan.</x:t>
  </x:si>
  <x:si>
    <x:t xml:space="preserve">Alasan Utama</x:t>
  </x:si>
  <x:si>
    <x:t xml:space="preserve">Uraian Singkat</x:t>
  </x:si>
  <x:si>
    <x:t xml:space="preserve">3. REKOMENDASI &amp; KEPUTUSAN</x:t>
  </x:si>
  <x:si>
    <x:t xml:space="preserve">Tujuan: merangkum hasil penilaian dan kendali menjadi rekomendasi yang dapat ditindaklanjuti serta keputusan/arahan sesuai kewenangan.</x:t>
  </x:si>
  <x:si>
    <x:t xml:space="preserve">A. RINGKASAN HASIL</x:t>
  </x:si>
  <x:si>
    <x:t xml:space="preserve">B. VALIDASI</x:t>
  </x:si>
  <x:si>
    <x:t xml:space="preserve">Status Validasi</x:t>
  </x:si>
  <x:si>
    <x:t xml:space="preserve">Validator</x:t>
  </x:si>
  <x:si>
    <x:t xml:space="preserve">Tanggal Validasi</x:t>
  </x:si>
  <x:si>
    <x:t xml:space="preserve">Catatan Validasi</x:t>
  </x:si>
  <x:si>
    <x:t xml:space="preserve">Intervensi Pimpinan</x:t>
  </x:si>
  <x:si>
    <x:t xml:space="preserve">C. REKOMENDASI TINDAK LANJUT</x:t>
  </x:si>
  <x:si>
    <x:t xml:space="preserve">Temuan Utama</x:t>
  </x:si>
  <x:si>
    <x:t xml:space="preserve">Rekomendasi bukan keputusan otomatis dari nilai. Gunakan nilai, posisi portofolio, warning, validasi, dan konteks substansi secara bersama.</x:t>
  </x:si>
  <x:si>
    <x:t xml:space="preserve">Rekomendasi</x:t>
  </x:si>
  <x:si>
    <x:t xml:space="preserve">Tindak Lanjut</x:t>
  </x:si>
  <x:si>
    <x:t xml:space="preserve">Target Waktu</x:t>
  </x:si>
  <x:si>
    <x:t xml:space="preserve">D. KEPUTUSAN / ARAHAN PIMPINAN</x:t>
  </x:si>
  <x:si>
    <x:t xml:space="preserve">Status Keputusan</x:t>
  </x:si>
  <x:si>
    <x:t xml:space="preserve">Pejabat Berwenang</x:t>
  </x:si>
  <x:si>
    <x:t xml:space="preserve">Tanggal Keputusan</x:t>
  </x:si>
  <x:si>
    <x:t xml:space="preserve">Keputusan / Arahan</x:t>
  </x:si>
  <x:si>
    <x:t xml:space="preserve">Review Berikutnya</x:t>
  </x:si>
  <x:si>
    <x:t xml:space="preserve">RUBRIK PENILAIAN I1–I7</x:t>
  </x:si>
  <x:si>
    <x:t xml:space="preserve">Gunakan setelah Status Penilaian = DAPAT DINILAI. Kolom 'Yang Dicek' membantu pengguna baru memahami indikator secara praktis.</x:t>
  </x:si>
  <x:si>
    <x:t xml:space="preserve">Yang Dicek</x:t>
  </x:si>
  <x:si>
    <x:t xml:space="preserve">Skor 0</x:t>
  </x:si>
  <x:si>
    <x:t xml:space="preserve">Skor 1</x:t>
  </x:si>
  <x:si>
    <x:t xml:space="preserve">Skor 2</x:t>
  </x:si>
  <x:si>
    <x:t xml:space="preserve">Skor 3</x:t>
  </x:si>
  <x:si>
    <x:t xml:space="preserve">Skor 4</x:t>
  </x:si>
  <x:si>
    <x:t xml:space="preserve">1) Penanggung jawab jelas; 2) ada rencana tindak lanjut yang realistis; 3) ada cara koordinasi untuk memastikan tindak lanjut berjalan.</x:t>
  </x:si>
  <x:si>
    <x:t xml:space="preserve">Setelah diverifikasi, penanggung jawab dan tindak lanjut belum dapat ditentukan.</x:t>
  </x:si>
  <x:si>
    <x:t xml:space="preserve">Penanggung jawab mulai diketahui, tetapi pembagian peran/tindak lanjut belum jelas.</x:t>
  </x:si>
  <x:si>
    <x:t xml:space="preserve">Penanggung jawab dan sebagian tindak lanjut sudah jelas, tetapi koordinasi atau kesiapan pelaksanaan belum konsisten.</x:t>
  </x:si>
  <x:si>
    <x:t xml:space="preserve">Penanggung jawab, rencana tindak lanjut, dan koordinasi jelas serta berjalan sesuai kebutuhan.</x:t>
  </x:si>
  <x:si>
    <x:t xml:space="preserve">Pengelolaan berjalan konsisten, adaptif terhadap perubahan, dan mampu menjaga kesinambungan pelaksanaan.</x:t>
  </x:si>
  <x:si>
    <x:t xml:space="preserve">Tidak mensyaratkan struktur PIC yang sama untuk semua kerja sama.</x:t>
  </x:si>
  <x:si>
    <x:t xml:space="preserve">Apakah ada kegiatan/langkah nyata setelah penandatanganan atau pada periode penilaian?</x:t>
  </x:si>
  <x:si>
    <x:t xml:space="preserve">Setelah cukup waktu dan diverifikasi, tidak terdapat tindak lanjut.</x:t>
  </x:si>
  <x:si>
    <x:t xml:space="preserve">Ada tindak lanjut sangat terbatas atau insidental.</x:t>
  </x:si>
  <x:si>
    <x:t xml:space="preserve">Sebagian tindak lanjut dilaksanakan, tetapi masih terdapat gap berarti.</x:t>
  </x:si>
  <x:si>
    <x:t xml:space="preserve">Tindak lanjut utama terlaksana dan berjalan cukup konsisten.</x:t>
  </x:si>
  <x:si>
    <x:t xml:space="preserve">Implementasi berjalan konsisten, terarah, dan tindak lanjut utama dikendalikan sampai selesai.</x:t>
  </x:si>
  <x:si>
    <x:t xml:space="preserve">Apakah kegiatan menghasilkan produk/hasil langsung yang seharusnya dicapai?</x:t>
  </x:si>
  <x:si>
    <x:t xml:space="preserve">Output sudah seharusnya ada tetapi tidak dihasilkan.</x:t>
  </x:si>
  <x:si>
    <x:t xml:space="preserve">Output sangat terbatas.</x:t>
  </x:si>
  <x:si>
    <x:t xml:space="preserve">Sebagian output tercapai.</x:t>
  </x:si>
  <x:si>
    <x:t xml:space="preserve">Sebagian besar output utama tercapai dan dapat dibuktikan.</x:t>
  </x:si>
  <x:si>
    <x:t xml:space="preserve">Output utama tercapai lengkap/konsisten dan kualitas/cakupannya kuat.</x:t>
  </x:si>
  <x:si>
    <x:t xml:space="preserve">Apakah output mulai memberi perubahan/manfaat kepada sasaran, proses, layanan, atau organisasi?</x:t>
  </x:si>
  <x:si>
    <x:t xml:space="preserve">Sudah cukup waktu untuk menilai tetapi tidak ditemukan manfaat/perubahan.</x:t>
  </x:si>
  <x:si>
    <x:t xml:space="preserve">Manfaat awal sangat terbatas.</x:t>
  </x:si>
  <x:si>
    <x:t xml:space="preserve">Manfaat terlihat pada sebagian sasaran.</x:t>
  </x:si>
  <x:si>
    <x:t xml:space="preserve">Outcome utama dapat ditunjukkan dengan cukup jelas dan terukur.</x:t>
  </x:si>
  <x:si>
    <x:t xml:space="preserve">Outcome kuat, konsisten, terukur, dan terlihat pada sasaran yang relevan.</x:t>
  </x:si>
  <x:si>
    <x:t xml:space="preserve">Jika belum cukup waktu, gunakan BDN, bukan skor 0.</x:t>
  </x:si>
  <x:si>
    <x:t xml:space="preserve">Apakah hasil kerja sama berkontribusi terhadap sasaran kinerja organisasi dan/atau pelayanan hukum?</x:t>
  </x:si>
  <x:si>
    <x:t xml:space="preserve">Sudah layak dinilai tetapi tidak ditemukan kontribusi yang dapat dibuktikan.</x:t>
  </x:si>
  <x:si>
    <x:t xml:space="preserve">Hubungan dengan kinerja/pelayanan sangat terbatas.</x:t>
  </x:si>
  <x:si>
    <x:t xml:space="preserve">Ada kontribusi yang dapat dijelaskan dan didukung sebagian data.</x:t>
  </x:si>
  <x:si>
    <x:t xml:space="preserve">Kontribusi terhadap sasaran kinerja/pelayanan jelas dan didukung evidence terukur.</x:t>
  </x:si>
  <x:si>
    <x:t xml:space="preserve">Kontribusi kuat, konsisten, strategis, dan layak dipertahankan atau direplikasi.</x:t>
  </x:si>
  <x:si>
    <x:t xml:space="preserve">Gunakan logika kontribusi; jangan memaksakan klaim kausalitas.</x:t>
  </x:si>
  <x:si>
    <x:t xml:space="preserve">Apakah data/evidence cukup, mutakhir, dan dapat ditelusuri ke sumbernya?</x:t>
  </x:si>
  <x:si>
    <x:t xml:space="preserve">Tidak tersedia data/evidence yang cukup untuk memastikan kondisi kerja sama.</x:t>
  </x:si>
  <x:si>
    <x:t xml:space="preserve">Evidence sangat terbatas, tersebar, atau sulit diverifikasi.</x:t>
  </x:si>
  <x:si>
    <x:t xml:space="preserve">Evidence utama tersedia tetapi belum konsisten dalam kelengkapan/keterbaruan/keterlacakan.</x:t>
  </x:si>
  <x:si>
    <x:t xml:space="preserve">Evidence utama lengkap, mutakhir, jelas sumber/lokasinya, dan dapat ditelusuri.</x:t>
  </x:si>
  <x:si>
    <x:t xml:space="preserve">Evidence lengkap, terstruktur, konsisten, memiliki jejak sumber/versi, dan siap digunakan untuk evaluasi/audit.</x:t>
  </x:si>
  <x:si>
    <x:t xml:space="preserve">Evidence boleh tersimpan di unit pelaksana sepanjang sumber/lokasinya dapat ditelusuri.</x:t>
  </x:si>
  <x:si>
    <x:t xml:space="preserve">Apakah risiko utama ditangani dan ada kondisi yang mendukung keberlanjutan manfaat?</x:t>
  </x:si>
  <x:si>
    <x:t xml:space="preserve">Risiko material tidak dikendalikan dan keberlanjutan terancam.</x:t>
  </x:si>
  <x:si>
    <x:t xml:space="preserve">Risiko diketahui tetapi penanganannya lemah.</x:t>
  </x:si>
  <x:si>
    <x:t xml:space="preserve">Risiko utama mulai ditangani tetapi masih ada tindak lanjut penting.</x:t>
  </x:si>
  <x:si>
    <x:t xml:space="preserve">Risiko utama terkendali dan keberlanjutan manfaat cukup terjamin.</x:t>
  </x:si>
  <x:si>
    <x:t xml:space="preserve">Risiko dikelola aktif dan konsisten serta terdapat dukungan kuat bagi keberlanjutan/replikasi manfaat.</x:t>
  </x:si>
  <x:si>
    <x:t xml:space="preserve">Berbeda dari Early Warning; I7 menilai kualitas pengelolaan risiko, bukan tingkat urgensi saat ini.</x:t>
  </x:si>
  <x:si>
    <x:t xml:space="preserve">PANDUAN PENGGUNAAN SCORECARD MITRA KINERJA</x:t>
  </x:si>
  <x:si>
    <x:t xml:space="preserve">Alur: 1) nilai fakta, 2) baca kendali, 3) susun rekomendasi/keputusan.</x:t>
  </x:si>
  <x:si>
    <x:t xml:space="preserve">1. SIAPA MENGISI APA</x:t>
  </x:si>
  <x:si>
    <x:t xml:space="preserve">Peran</x:t>
  </x:si>
  <x:si>
    <x:t xml:space="preserve">Tugas Utama</x:t>
  </x:si>
  <x:si>
    <x:t xml:space="preserve">PIC / Unit Teknis</x:t>
  </x:si>
  <x:si>
    <x:t xml:space="preserve">Menyampaikan fakta pelaksanaan, hasil, evidence, kendala, dan tindak lanjut.</x:t>
  </x:si>
  <x:si>
    <x:t xml:space="preserve">Reviewer / Pengelola</x:t>
  </x:si>
  <x:si>
    <x:t xml:space="preserve">Menilai status, memeriksa evidence, memberi skor I1–I7, menetapkan posisi portofolio, Early Warning, dan draft rekomendasi.</x:t>
  </x:si>
  <x:si>
    <x:t xml:space="preserve">Memastikan fakta, evidence, skor, dan alasan konsisten.</x:t>
  </x:si>
  <x:si>
    <x:t xml:space="preserve">Pimpinan / Pejabat Berwenang</x:t>
  </x:si>
  <x:si>
    <x:t xml:space="preserve">Memberi keputusan/arahan sesuai kewenangan; tidak otomatis mengikuti nilai total.</x:t>
  </x:si>
  <x:si>
    <x:t xml:space="preserve">2. URUTAN KERJA</x:t>
  </x:si>
  <x:si>
    <x:t xml:space="preserve">PENILAIAN</x:t>
  </x:si>
  <x:si>
    <x:t xml:space="preserve">Isi identitas, baseline, kondisi saat ini, status penilaian, evidence, skor, dan alasan.</x:t>
  </x:si>
  <x:si>
    <x:t xml:space="preserve">KENDALI</x:t>
  </x:si>
  <x:si>
    <x:t xml:space="preserve">Tetapkan posisi portofolio, Early Warning, serta perlu/tidaknya intervensi pimpinan.</x:t>
  </x:si>
  <x:si>
    <x:t xml:space="preserve">REKOMENDASI</x:t>
  </x:si>
  <x:si>
    <x:t xml:space="preserve">Validasi hasil, susun rekomendasi/tindak lanjut, lalu catat keputusan/arahan pimpinan.</x:t>
  </x:si>
  <x:si>
    <x:t xml:space="preserve">RUBRIK</x:t>
  </x:si>
  <x:si>
    <x:t xml:space="preserve">Buka hanya saat perlu menentukan arti skor 0–4.</x:t>
  </x:si>
  <x:si>
    <x:t xml:space="preserve">CONTOH</x:t>
  </x:si>
  <x:si>
    <x:t xml:space="preserve">Gunakan jika masih ragu membedakan skor 0, BDN, dan bukti belum memadai.</x:t>
  </x:si>
  <x:si>
    <x:t xml:space="preserve">3. STATUS PENILAIAN</x:t>
  </x:si>
  <x:si>
    <x:t xml:space="preserve">Gunakan ketika</x:t>
  </x:si>
  <x:si>
    <x:t xml:space="preserve">Skor?</x:t>
  </x:si>
  <x:si>
    <x:t xml:space="preserve">DAPAT DINILAI</x:t>
  </x:si>
  <x:si>
    <x:t xml:space="preserve">Sudah waktunya dinilai dan evidence/fakta cukup.</x:t>
  </x:si>
  <x:si>
    <x:t xml:space="preserve">Ya, 0–4</x:t>
  </x:si>
  <x:si>
    <x:t xml:space="preserve">BUKTI BELUM MEMADAI</x:t>
  </x:si>
  <x:si>
    <x:t xml:space="preserve">Sudah waktunya dinilai tetapi fakta belum dapat dipastikan karena evidence belum cukup.</x:t>
  </x:si>
  <x:si>
    <x:t xml:space="preserve">Tidak</x:t>
  </x:si>
  <x:si>
    <x:t xml:space="preserve">BELUM DAPAT DINILAI</x:t>
  </x:si>
  <x:si>
    <x:t xml:space="preserve">Digunakan bila secara objektif belum cukup waktu bagi indikator untuk menghasilkan hasil/manfaat. Ini terutama relevan pada masa implementasi awal untuk outcome dan kontribusi/dampak.</x:t>
  </x:si>
  <x:si>
    <x:t xml:space="preserve">4. ATURAN SKOR</x:t>
  </x:si>
  <x:si>
    <x:t xml:space="preserve">Hanya jika indikator sudah dapat dinilai, evidence cukup, dan secara faktual unsur tidak terpenuhi.</x:t>
  </x:si>
  <x:si>
    <x:t xml:space="preserve">Bukan untuk menutupi kinerja rendah. Jika sudah cukup waktu dan tidak ada hasil, gunakan skor 0 sesuai rubrik.</x:t>
  </x:si>
  <x:si>
    <x:t xml:space="preserve">Bukan skor 0; harus diikuti tindakan verifikasi/melengkapi evidence.</x:t>
  </x:si>
  <x:si>
    <x:t xml:space="preserve">Hanya muncul jika seluruh 7 indikator dapat dinilai.</x:t>
  </x:si>
  <x:si>
    <x:t xml:space="preserve">Masa Implementasi Awal</x:t>
  </x:si>
  <x:si>
    <x:t xml:space="preserve">Digunakan bila kerja sama masih baru sehingga sebagian indikator hasil (terutama outcome dan kontribusi/dampak) secara objektif belum layak diberi skor. Indikator yang sudah matang tetap dapat dinilai.</x:t>
  </x:si>
  <x:si>
    <x:t xml:space="preserve">Nilai final/kategori belum ditetapkan sampai seluruh indikator hasil memasuki periode penilaian yang memadai.</x:t>
  </x:si>
  <x:si>
    <x:t xml:space="preserve">5. ESTIMASI WAKTU</x:t>
  </x:si>
  <x:si>
    <x:t xml:space="preserve">Kondisi Pengguna</x:t>
  </x:si>
  <x:si>
    <x:t xml:space="preserve">Estimasi Waktu per Naskah</x:t>
  </x:si>
  <x:si>
    <x:t xml:space="preserve">Pertama kali, evidence belum tertata</x:t>
  </x:si>
  <x:si>
    <x:t xml:space="preserve">60–120 menit atau lebih</x:t>
  </x:si>
  <x:si>
    <x:t xml:space="preserve">Pertama kali, evidence sudah tersedia</x:t>
  </x:si>
  <x:si>
    <x:t xml:space="preserve">45–75 menit</x:t>
  </x:si>
  <x:si>
    <x:t xml:space="preserve">Sudah memahami instrumen dan evidence siap</x:t>
  </x:si>
  <x:si>
    <x:t xml:space="preserve">25–45 menit</x:t>
  </x:si>
  <x:si>
    <x:t xml:space="preserve">Update berkala setelah data tertata</x:t>
  </x:si>
  <x:si>
    <x:t xml:space="preserve">15–30 menit</x:t>
  </x:si>
  <x:si>
    <x:t xml:space="preserve">6. CARA MEMBACA HASIL</x:t>
  </x:si>
  <x:si>
    <x:t xml:space="preserve">Situasi</x:t>
  </x:si>
  <x:si>
    <x:t xml:space="preserve">Makna</x:t>
  </x:si>
  <x:si>
    <x:t xml:space="preserve">Banyak BDN karena belum cukup waktu</x:t>
  </x:si>
  <x:si>
    <x:t xml:space="preserve">Normal; jadwalkan review berikutnya.</x:t>
  </x:si>
  <x:si>
    <x:t xml:space="preserve">Banyak bukti belum memadai</x:t>
  </x:si>
  <x:si>
    <x:t xml:space="preserve">Ada gap tata kelola evidence; perlu verifikasi/perbaikan dokumentasi.</x:t>
  </x:si>
  <x:si>
    <x:t xml:space="preserve">Banyak skor 0 setelah cukup waktu</x:t>
  </x:si>
  <x:si>
    <x:t xml:space="preserve">Masalah pelaksanaan/hasil kerja sama; perlu tindakan korektif atau keputusan keberlanjutan.</x:t>
  </x:si>
  <x:si>
    <x:t xml:space="preserve">Warning tinggi meski nilai baik</x:t>
  </x:si>
  <x:si>
    <x:t xml:space="preserve">Tetap perlu tindakan; Early Warning memang terpisah dari nilai Scorecard.</x:t>
  </x:si>
  <x:si>
    <x:t xml:space="preserve">Intervensi = YA</x:t>
  </x:si>
  <x:si>
    <x:t xml:space="preserve">Ada isu/keputusan yang membutuhkan kewenangan/arahan pimpinan.</x:t>
  </x:si>
  <x:si>
    <x:t xml:space="preserve">CONTOH PENGISIAN — UNTUK PENGGUNA BARU</x:t>
  </x:si>
  <x:si>
    <x:t xml:space="preserve">Contoh membedakan kerja sama lama yang pasif dengan kerja sama baru yang hasilnya memang belum jatuh tempo.</x:t>
  </x:si>
  <x:si>
    <x:t xml:space="preserve">CONTOH A — PKS SUDAH CUKUP LAMA, TETAPI TIDAK AKTIF</x:t>
  </x:si>
  <x:si>
    <x:t xml:space="preserve">Temuan</x:t>
  </x:si>
  <x:si>
    <x:t xml:space="preserve">Skor</x:t>
  </x:si>
  <x:si>
    <x:t xml:space="preserve">Nilai</x:t>
  </x:si>
  <x:si>
    <x:t xml:space="preserve">I1</x:t>
  </x:si>
  <x:si>
    <x:t xml:space="preserve">PIC diketahui, tetapi tidak ada rencana tindak lanjut yang jelas.</x:t>
  </x:si>
  <x:si>
    <x:t xml:space="preserve">Pengelolaan lemah</x:t>
  </x:si>
  <x:si>
    <x:t xml:space="preserve">Tetapkan tindak lanjut/owner.</x:t>
  </x:si>
  <x:si>
    <x:t xml:space="preserve">I2</x:t>
  </x:si>
  <x:si>
    <x:t xml:space="preserve">Tidak ada kegiatan setelah penandatanganan.</x:t>
  </x:si>
  <x:si>
    <x:t xml:space="preserve">Tidak ada implementasi</x:t>
  </x:si>
  <x:si>
    <x:t xml:space="preserve">Aktivasi atau evaluasi keberlanjutan.</x:t>
  </x:si>
  <x:si>
    <x:t xml:space="preserve">I3</x:t>
  </x:si>
  <x:si>
    <x:t xml:space="preserve">Tidak ada output padahal periode sudah memadai.</x:t>
  </x:si>
  <x:si>
    <x:t xml:space="preserve">Output tidak tercapai</x:t>
  </x:si>
  <x:si>
    <x:t xml:space="preserve">Tentukan output prioritas.</x:t>
  </x:si>
  <x:si>
    <x:t xml:space="preserve">I4</x:t>
  </x:si>
  <x:si>
    <x:t xml:space="preserve">Tidak ada manfaat/perubahan setelah periode memadai.</x:t>
  </x:si>
  <x:si>
    <x:t xml:space="preserve">Outcome tidak terbentuk</x:t>
  </x:si>
  <x:si>
    <x:t xml:space="preserve">Perbaiki implementasi/evaluasi kelanjutan.</x:t>
  </x:si>
  <x:si>
    <x:t xml:space="preserve">I5</x:t>
  </x:si>
  <x:si>
    <x:t xml:space="preserve">Tidak ditemukan kontribusi terhadap kinerja/pelayanan.</x:t>
  </x:si>
  <x:si>
    <x:t xml:space="preserve">Kontribusi belum terbukti</x:t>
  </x:si>
  <x:si>
    <x:t xml:space="preserve">Kaji relevansi dan nilai strategis.</x:t>
  </x:si>
  <x:si>
    <x:t xml:space="preserve">I6</x:t>
  </x:si>
  <x:si>
    <x:t xml:space="preserve">Verifikasi lengkap menunjukkan memang tidak ada implementasi.</x:t>
  </x:si>
  <x:si>
    <x:t xml:space="preserve">Evidence cukup untuk menyimpulkan kondisi</x:t>
  </x:si>
  <x:si>
    <x:t xml:space="preserve">Pertahankan keterlacakan data.</x:t>
  </x:si>
  <x:si>
    <x:t xml:space="preserve">I7</x:t>
  </x:si>
  <x:si>
    <x:t xml:space="preserve">Kerja sama pasif; tidak ada langkah keberlanjutan.</x:t>
  </x:si>
  <x:si>
    <x:t xml:space="preserve">Risiko keberlanjutan tinggi</x:t>
  </x:si>
  <x:si>
    <x:t xml:space="preserve">Tentukan lanjut/perbaiki/hentikan.</x:t>
  </x:si>
  <x:si>
    <x:t xml:space="preserve">CONTOH B — MASA IMPLEMENTASI AWAL: HASIL BELUM MEMASUKI PERIODE PENILAIAN</x:t>
  </x:si>
  <x:si>
    <x:t xml:space="preserve">Tanggung jawab, rencana awal, dan koordinasi sudah jelas.</x:t>
  </x:si>
  <x:si>
    <x:t xml:space="preserve">Kesiapan baik</x:t>
  </x:si>
  <x:si>
    <x:t xml:space="preserve">Lanjutkan.</x:t>
  </x:si>
  <x:si>
    <x:t xml:space="preserve">Langkah persiapan sudah berjalan.</x:t>
  </x:si>
  <x:si>
    <x:t xml:space="preserve">Implementasi awal</x:t>
  </x:si>
  <x:si>
    <x:t xml:space="preserve">Pantau tindak lanjut.</x:t>
  </x:si>
  <x:si>
    <x:t xml:space="preserve">Output utama dijadwalkan pada periode berikutnya.</x:t>
  </x:si>
  <x:si>
    <x:t xml:space="preserve">Belum jatuh tempo</x:t>
  </x:si>
  <x:si>
    <x:t xml:space="preserve">Review pada jadwal output.</x:t>
  </x:si>
  <x:si>
    <x:t xml:space="preserve">Outcome belum mungkin terlihat.</x:t>
  </x:si>
  <x:si>
    <x:t xml:space="preserve">Belum matang</x:t>
  </x:si>
  <x:si>
    <x:t xml:space="preserve">Review setelah output tersedia.</x:t>
  </x:si>
  <x:si>
    <x:t xml:space="preserve">Kontribusi/dampak belum mungkin diukur.</x:t>
  </x:si>
  <x:si>
    <x:t xml:space="preserve">Review setelah outcome tersedia.</x:t>
  </x:si>
  <x:si>
    <x:t xml:space="preserve">Dokumen/evidence persiapan dapat ditelusuri.</x:t>
  </x:si>
  <x:si>
    <x:t xml:space="preserve">Evidence baik</x:t>
  </x:si>
  <x:si>
    <x:t xml:space="preserve">Pertahankan.</x:t>
  </x:si>
  <x:si>
    <x:t xml:space="preserve">Risiko utama telah diidentifikasi dan ditangani.</x:t>
  </x:si>
  <x:si>
    <x:t xml:space="preserve">Risiko terkendali</x:t>
  </x:si>
  <x:si>
    <x:t xml:space="preserve">Pantau perubahan.</x:t>
  </x:si>
</x:sst>
</file>

<file path=xl/styles.xml><?xml version="1.0" encoding="utf-8"?>
<x:styleSheet xmlns:x="http://schemas.openxmlformats.org/spreadsheetml/2006/main">
  <x:numFmts count="1">
    <x:numFmt numFmtId="164" formatCode="dd\ mmm\ yyyy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sz val="11"/>
      <x:color rgb="FF1F1F1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5E8BF"/>
      </x:patternFill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theme="1" tint="0.4999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6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</x:borders>
  <x:cellStyleXfs count="1">
    <x:xf numFmtId="0" fontId="0" fillId="0" borderId="0"/>
  </x:cellStyleXfs>
  <x:cellXfs count="727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4" borderId="1" xfId="0" applyFont="1" applyFill="1" applyBorder="1" applyAlignment="1">
      <x:alignment vertical="center"/>
    </x:xf>
    <x:xf numFmtId="0" fontId="0" fillId="5" borderId="2" xfId="0" applyFill="1" applyBorder="1"/>
    <x:xf numFmtId="0" fontId="0" fillId="6" borderId="3" xfId="0" applyFill="1" applyBorder="1"/>
    <x:xf numFmtId="0" fontId="3" fillId="7" borderId="0" xfId="0" applyFont="1" applyFill="1" applyAlignment="1">
      <x:alignment vertical="center"/>
    </x:xf>
    <x:xf numFmtId="0" fontId="0" fillId="0" borderId="6" xfId="0" applyBorder="1"/>
    <x:xf numFmtId="0" fontId="3" fillId="4" borderId="4" xfId="0" applyFont="1" applyFill="1" applyBorder="1" applyAlignment="1">
      <x:alignment vertical="center"/>
    </x:xf>
    <x:xf numFmtId="0" fontId="0" fillId="5" borderId="5" xfId="0" applyFill="1" applyBorder="1" applyAlignment="1">
      <x:alignment vertical="top" wrapText="1"/>
    </x:xf>
    <x:xf numFmtId="0" fontId="0" fillId="5" borderId="6" xfId="0" applyFill="1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5" borderId="8" xfId="0" applyFill="1" applyBorder="1" applyAlignment="1">
      <x:alignment vertical="top" wrapText="1"/>
    </x:xf>
    <x:xf numFmtId="0" fontId="0" fillId="5" borderId="10" xfId="0" applyFill="1" applyBorder="1" applyAlignment="1">
      <x:alignment vertical="top" wrapText="1"/>
    </x:xf>
    <x:xf numFmtId="0" fontId="0" fillId="5" borderId="11" xfId="0" applyFill="1" applyBorder="1" applyAlignment="1">
      <x:alignment vertical="top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8" xfId="0" applyBorder="1" applyAlignment="1">
      <x:alignment wrapText="1"/>
    </x:xf>
    <x:xf numFmtId="0" fontId="0" fillId="0" borderId="9" xfId="0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5" xfId="0" applyBorder="1" applyAlignment="1">
      <x:alignment vertical="top" wrapText="1"/>
    </x:xf>
    <x:xf numFmtId="0" fontId="0" fillId="0" borderId="6" xfId="0" applyBorder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3" fillId="6" borderId="0" xfId="0" applyFont="1" applyFill="1" applyAlignment="1">
      <x:alignment vertical="center"/>
    </x:xf>
    <x:xf numFmtId="0" fontId="3" fillId="4" borderId="4" xfId="0" applyFont="1" applyFill="1" applyBorder="1" applyAlignment="1">
      <x:alignment vertical="center" wrapText="1"/>
    </x:xf>
    <x:xf numFmtId="0" fontId="3" fillId="4" borderId="7" xfId="0" applyFont="1" applyFill="1" applyBorder="1" applyAlignment="1">
      <x:alignment vertical="center" wrapText="1"/>
    </x:xf>
    <x:xf numFmtId="0" fontId="3" fillId="4" borderId="9" xfId="0" applyFont="1" applyFill="1" applyBorder="1" applyAlignment="1">
      <x:alignment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6" fillId="8" borderId="0" xfId="0" applyFont="1" applyFill="1"/>
    <x:xf numFmtId="0" fontId="0" fillId="9" borderId="0" xfId="0" applyFill="1"/>
    <x:xf numFmtId="0" fontId="4" fillId="10" borderId="12" xfId="0" applyFont="1" applyFill="1" applyBorder="1" applyAlignment="1">
      <x:alignment wrapText="1"/>
    </x:xf>
    <x:xf numFmtId="0" fontId="4" fillId="10" borderId="13" xfId="0" applyFont="1" applyFill="1" applyBorder="1" applyAlignment="1">
      <x:alignment wrapText="1"/>
    </x:xf>
    <x:xf numFmtId="0" fontId="4" fillId="10" borderId="14" xfId="0" applyFont="1" applyFill="1" applyBorder="1" applyAlignment="1">
      <x:alignment wrapText="1"/>
    </x:xf>
    <x:xf numFmtId="0" fontId="0" fillId="0" borderId="15" xfId="0" applyBorder="1" applyAlignment="1">
      <x:alignment vertical="top" wrapText="1"/>
    </x:xf>
    <x:xf numFmtId="0" fontId="0" fillId="0" borderId="16" xfId="0" applyBorder="1" applyAlignment="1">
      <x:alignment vertical="top" wrapText="1"/>
    </x:xf>
    <x:xf numFmtId="0" fontId="0" fillId="0" borderId="17" xfId="0" applyBorder="1" applyAlignment="1">
      <x:alignment vertical="top" wrapText="1"/>
    </x:xf>
    <x:xf numFmtId="0" fontId="0" fillId="0" borderId="18" xfId="0" applyBorder="1" applyAlignment="1">
      <x:alignment vertical="top" wrapText="1"/>
    </x:xf>
    <x:xf numFmtId="0" fontId="0" fillId="0" borderId="19" xfId="0" applyBorder="1" applyAlignment="1">
      <x:alignment vertical="top" wrapText="1"/>
    </x:xf>
    <x:xf numFmtId="0" fontId="7" fillId="12" borderId="0" xfId="0" applyFont="1" applyFill="1"/>
    <x:xf numFmtId="0" fontId="4" fillId="13" borderId="0" xfId="0" applyFont="1" applyFill="1" applyAlignment="1">
      <x:alignment wrapText="1"/>
    </x:xf>
    <x:xf numFmtId="0" fontId="6" fillId="11" borderId="21" xfId="0" applyFont="1" applyFill="1" applyBorder="1"/>
    <x:xf numFmtId="0" fontId="6" fillId="11" borderId="22" xfId="0" applyFont="1" applyFill="1" applyBorder="1"/>
    <x:xf numFmtId="0" fontId="6" fillId="11" borderId="23" xfId="0" applyFont="1" applyFill="1" applyBorder="1"/>
    <x:xf numFmtId="0" fontId="7" fillId="12" borderId="24" xfId="0" applyFont="1" applyFill="1" applyBorder="1"/>
    <x:xf numFmtId="0" fontId="7" fillId="12" borderId="25" xfId="0" applyFont="1" applyFill="1" applyBorder="1"/>
    <x:xf numFmtId="0" fontId="0" fillId="0" borderId="24" xfId="0" applyBorder="1"/>
    <x:xf numFmtId="0" fontId="0" fillId="0" borderId="25" xfId="0" applyBorder="1"/>
    <x:xf numFmtId="0" fontId="4" fillId="13" borderId="24" xfId="0" applyFont="1" applyFill="1" applyBorder="1" applyAlignment="1">
      <x:alignment wrapText="1"/>
    </x:xf>
    <x:xf numFmtId="0" fontId="4" fillId="13" borderId="25" xfId="0" applyFont="1" applyFill="1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25" xfId="0" applyBorder="1" applyAlignment="1">
      <x:alignment wrapText="1"/>
    </x:xf>
    <x:xf numFmtId="0" fontId="0" fillId="0" borderId="26" xfId="0" applyBorder="1" applyAlignment="1">
      <x:alignment wrapText="1"/>
    </x:xf>
    <x:xf numFmtId="0" fontId="0" fillId="0" borderId="27" xfId="0" applyBorder="1" applyAlignment="1">
      <x:alignment wrapText="1"/>
    </x:xf>
    <x:xf numFmtId="0" fontId="0" fillId="0" borderId="28" xfId="0" applyBorder="1" applyAlignment="1">
      <x:alignment wrapText="1"/>
    </x:xf>
    <x:xf numFmtId="0" fontId="3" fillId="4" borderId="4" xfId="0" applyFont="1" applyFill="1" applyBorder="1" applyAlignment="1">
      <x:alignment vertical="top"/>
    </x:xf>
    <x:xf numFmtId="0" fontId="3" fillId="4" borderId="5" xfId="0" applyFont="1" applyFill="1" applyBorder="1" applyAlignment="1">
      <x:alignment vertical="top"/>
    </x:xf>
    <x:xf numFmtId="0" fontId="3" fillId="4" borderId="7" xfId="0" applyFont="1" applyFill="1" applyBorder="1" applyAlignment="1">
      <x:alignment vertical="top"/>
    </x:xf>
    <x:xf numFmtId="0" fontId="3" fillId="4" borderId="0" xfId="0" applyFont="1" applyFill="1" applyAlignment="1">
      <x:alignment vertical="top"/>
    </x:xf>
    <x:xf numFmtId="0" fontId="3" fillId="4" borderId="9" xfId="0" applyFont="1" applyFill="1" applyBorder="1" applyAlignment="1">
      <x:alignment vertical="top"/>
    </x:xf>
    <x:xf numFmtId="0" fontId="3" fillId="4" borderId="10" xfId="0" applyFont="1" applyFill="1" applyBorder="1" applyAlignment="1">
      <x:alignment vertical="top"/>
    </x:xf>
    <x:xf numFmtId="0" fontId="5" fillId="0" borderId="29" xfId="0" applyFont="1" applyBorder="1" applyAlignment="1">
      <x:alignment vertical="top" wrapText="1"/>
    </x:xf>
    <x:xf numFmtId="0" fontId="5" fillId="0" borderId="29" xfId="0" applyFont="1" applyBorder="1" applyAlignment="1">
      <x:alignment horizontal="center" vertical="top" wrapText="1"/>
    </x:xf>
    <x:xf numFmtId="0" fontId="0" fillId="0" borderId="29" xfId="0" applyBorder="1" applyAlignment="1">
      <x:alignment vertical="top" wrapText="1"/>
    </x:xf>
    <x:xf numFmtId="0" fontId="0" fillId="5" borderId="29" xfId="0" applyFill="1" applyBorder="1" applyAlignment="1">
      <x:alignment vertical="top" wrapText="1"/>
    </x:xf>
    <x:xf numFmtId="0" fontId="0" fillId="6" borderId="29" xfId="0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/>
    </x:xf>
    <x:xf numFmtId="0" fontId="0" fillId="6" borderId="29" xfId="0" applyFill="1" applyBorder="1" applyAlignment="1">
      <x:alignment horizontal="center" vertical="center" wrapText="1"/>
    </x:xf>
    <x:xf numFmtId="0" fontId="0" fillId="0" borderId="0" xfId="0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3" fillId="4" borderId="29" xfId="0" applyFont="1" applyFill="1" applyBorder="1" applyAlignment="1">
      <x:alignment vertical="center" wrapText="1"/>
    </x:xf>
    <x:xf numFmtId="0" fontId="0" fillId="0" borderId="29" xfId="0" applyBorder="1" applyAlignment="1">
      <x:alignment horizontal="center" vertical="top" wrapText="1"/>
    </x:xf>
    <x:xf numFmtId="0" fontId="3" fillId="0" borderId="0" xfId="0" applyFont="1" applyAlignment="1">
      <x:alignment vertical="center"/>
    </x:xf>
    <x:xf numFmtId="164" fontId="0" fillId="5" borderId="29" xfId="0" applyNumberFormat="1" applyFill="1" applyBorder="1" applyAlignment="1">
      <x:alignment vertical="top" wrapText="1"/>
    </x:xf>
    <x:xf numFmtId="0" fontId="0" fillId="0" borderId="0" xfId="0" applyAlignment="1">
      <x:alignment vertical="top"/>
    </x:xf>
    <x:xf numFmtId="0" fontId="0" fillId="6" borderId="29" xfId="0" applyFill="1" applyBorder="1" applyAlignment="1">
      <x:alignment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0" xfId="0" applyBorder="1" applyAlignment="1">
      <x:alignment horizontal="center"/>
    </x:xf>
    <x:xf numFmtId="0" fontId="3" fillId="0" borderId="29" xfId="0" applyFont="1" applyBorder="1" applyAlignment="1">
      <x:alignment horizontal="center" vertical="center"/>
    </x:xf>
    <x:xf numFmtId="0" fontId="0" fillId="0" borderId="29" xfId="0" applyBorder="1" applyAlignment="1">
      <x:alignment horizontal="center" vertical="top" wrapText="1"/>
    </x:xf>
    <x:xf numFmtId="164" fontId="0" fillId="0" borderId="29" xfId="0" applyNumberFormat="1" applyBorder="1" applyAlignment="1">
      <x:alignment horizontal="center" vertical="top" wrapText="1"/>
    </x:xf>
    <x:xf numFmtId="0" fontId="3" fillId="0" borderId="29" xfId="0" applyFont="1" applyBorder="1" applyAlignment="1">
      <x:alignment vertical="center"/>
    </x:xf>
    <x:xf numFmtId="0" fontId="0" fillId="0" borderId="7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164" fontId="0" fillId="0" borderId="29" xfId="0" applyNumberFormat="1" applyBorder="1" applyAlignment="1">
      <x:alignment vertical="top" wrapText="1"/>
    </x:xf>
    <x:xf numFmtId="0" fontId="8" fillId="14" borderId="0" xfId="0" applyFont="1" applyFill="1" applyAlignment="1">
      <x:alignment vertical="top" wrapText="1"/>
    </x:xf>
    <x:xf numFmtId="0" fontId="0" fillId="0" borderId="29" xfId="0" applyBorder="1" applyAlignment="1">
      <x:alignment horizontal="center" vertical="top" wrapText="1"/>
    </x:xf>
    <x:xf numFmtId="0" fontId="0" fillId="6" borderId="30" xfId="0" applyFill="1" applyBorder="1" applyAlignment="1">
      <x:alignment horizontal="center" vertical="center" wrapText="1"/>
    </x:xf>
    <x:xf numFmtId="0" fontId="0" fillId="6" borderId="31" xfId="0" applyFill="1" applyBorder="1" applyAlignment="1">
      <x:alignment horizontal="center" vertical="center" wrapText="1"/>
    </x:xf>
    <x:xf numFmtId="0" fontId="0" fillId="6" borderId="29" xfId="0" applyFill="1" applyBorder="1" applyAlignment="1">
      <x:alignment horizontal="center" vertical="center" wrapText="1"/>
    </x:xf>
    <x:xf numFmtId="0" fontId="0" fillId="15" borderId="29" xfId="0" applyFill="1" applyBorder="1" applyAlignment="1">
      <x:alignment horizontal="center" vertical="center" wrapText="1"/>
    </x:xf>
    <x:xf numFmtId="2" fontId="0" fillId="6" borderId="30" xfId="0" applyNumberFormat="1" applyFill="1" applyBorder="1" applyAlignment="1">
      <x:alignment horizontal="center" vertical="center" wrapText="1"/>
    </x:xf>
    <x:xf numFmtId="2" fontId="0" fillId="6" borderId="31" xfId="0" applyNumberFormat="1" applyFill="1" applyBorder="1" applyAlignment="1">
      <x:alignment horizontal="center" vertical="center" wrapText="1"/>
    </x:xf>
    <x:xf numFmtId="2" fontId="0" fillId="15" borderId="30" xfId="0" applyNumberFormat="1" applyFill="1" applyBorder="1" applyAlignment="1">
      <x:alignment horizontal="center" vertical="center" wrapText="1"/>
    </x:xf>
    <x:xf numFmtId="2" fontId="0" fillId="15" borderId="31" xfId="0" applyNumberFormat="1" applyFill="1" applyBorder="1" applyAlignment="1">
      <x:alignment horizontal="center" vertical="center" wrapText="1"/>
    </x:xf>
    <x:xf numFmtId="0" fontId="0" fillId="5" borderId="5" xfId="0" applyFill="1" applyBorder="1" applyAlignment="1">
      <x:alignment horizontal="center" vertical="top" wrapText="1"/>
    </x:xf>
    <x:xf numFmtId="0" fontId="0" fillId="5" borderId="0" xfId="0" applyFill="1" applyAlignment="1">
      <x:alignment horizontal="center" vertical="top" wrapText="1"/>
    </x:xf>
    <x:xf numFmtId="0" fontId="0" fillId="5" borderId="10" xfId="0" applyFill="1" applyBorder="1" applyAlignment="1">
      <x:alignment horizontal="center"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9" xfId="0" applyBorder="1" applyAlignment="1">
      <x:alignment horizontal="center" vertical="center" wrapText="1"/>
    </x:xf>
    <x:xf numFmtId="0" fontId="3" fillId="4" borderId="32" xfId="0" applyFont="1" applyFill="1" applyBorder="1" applyAlignment="1">
      <x:alignment horizontal="center" vertical="center" wrapText="1"/>
    </x:xf>
    <x:xf numFmtId="0" fontId="3" fillId="4" borderId="33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/>
    </x:xf>
    <x:xf numFmtId="0" fontId="5" fillId="0" borderId="4" xfId="0" applyFont="1" applyBorder="1" applyAlignment="1">
      <x:alignment horizontal="center" vertical="top" wrapText="1"/>
    </x:xf>
    <x:xf numFmtId="0" fontId="5" fillId="0" borderId="5" xfId="0" applyFont="1" applyBorder="1" applyAlignment="1">
      <x:alignment horizontal="center" vertical="top" wrapText="1"/>
    </x:xf>
    <x:xf numFmtId="0" fontId="0" fillId="0" borderId="6" xfId="0" applyBorder="1" applyAlignment="1">
      <x:alignment horizontal="center" vertical="top" wrapText="1"/>
    </x:xf>
    <x:xf numFmtId="0" fontId="5" fillId="0" borderId="7" xfId="0" applyFont="1" applyBorder="1" applyAlignment="1">
      <x:alignment horizontal="center" vertical="top" wrapText="1"/>
    </x:xf>
    <x:xf numFmtId="0" fontId="5" fillId="0" borderId="0" xfId="0" applyFont="1" applyAlignment="1">
      <x:alignment horizontal="center" vertical="top" wrapText="1"/>
    </x:xf>
    <x:xf numFmtId="0" fontId="0" fillId="0" borderId="8" xfId="0" applyBorder="1" applyAlignment="1">
      <x:alignment horizontal="center" vertical="top" wrapText="1"/>
    </x:xf>
    <x:xf numFmtId="0" fontId="5" fillId="0" borderId="9" xfId="0" applyFont="1" applyBorder="1" applyAlignment="1">
      <x:alignment horizontal="center" vertical="top" wrapText="1"/>
    </x:xf>
    <x:xf numFmtId="0" fontId="5" fillId="0" borderId="10" xfId="0" applyFont="1" applyBorder="1" applyAlignment="1">
      <x:alignment horizontal="center" vertical="top" wrapText="1"/>
    </x:xf>
    <x:xf numFmtId="0" fontId="0" fillId="0" borderId="10" xfId="0" applyBorder="1" applyAlignment="1">
      <x:alignment horizontal="center" vertical="top" wrapText="1"/>
    </x:xf>
    <x:xf numFmtId="0" fontId="0" fillId="0" borderId="11" xfId="0" applyBorder="1" applyAlignment="1">
      <x:alignment horizontal="center" vertical="top" wrapText="1"/>
    </x:xf>
    <x:xf numFmtId="0" fontId="0" fillId="0" borderId="0" xfId="0" applyAlignment="1">
      <x:alignment horizontal="center"/>
    </x:xf>
    <x:xf numFmtId="0" fontId="0" fillId="0" borderId="20" xfId="0" applyBorder="1"/>
    <x:xf numFmtId="0" fontId="0" fillId="0" borderId="20" xfId="0" applyBorder="1" applyAlignment="1">
      <x:alignment wrapText="1"/>
    </x:xf>
    <x:xf numFmtId="0" fontId="0" fillId="0" borderId="34" xfId="0" applyBorder="1"/>
    <x:xf numFmtId="0" fontId="0" fillId="5" borderId="29" xfId="0" applyFill="1" applyBorder="1" applyAlignment="1">
      <x:alignment horizontal="center" vertical="top" wrapText="1"/>
    </x:xf>
    <x:xf numFmtId="0" fontId="3" fillId="4" borderId="29" xfId="0" applyFont="1" applyFill="1" applyBorder="1" applyAlignment="1">
      <x:alignment horizontal="center" vertical="center"/>
    </x:xf>
    <x:xf numFmtId="0" fontId="3" fillId="4" borderId="32" xfId="0" applyFont="1" applyFill="1" applyBorder="1" applyAlignment="1">
      <x:alignment horizontal="center" vertical="center"/>
    </x:xf>
    <x:xf numFmtId="0" fontId="3" fillId="4" borderId="35" xfId="0" applyFont="1" applyFill="1" applyBorder="1" applyAlignment="1">
      <x:alignment horizontal="center" vertical="center"/>
    </x:xf>
    <x:xf numFmtId="0" fontId="3" fillId="4" borderId="33" xfId="0" applyFont="1" applyFill="1" applyBorder="1" applyAlignment="1">
      <x:alignment horizontal="center" vertical="center"/>
    </x:xf>
    <x:xf numFmtId="2" fontId="0" fillId="6" borderId="29" xfId="0" applyNumberFormat="1" applyFill="1" applyBorder="1" applyAlignment="1">
      <x:alignment horizontal="center" vertical="center" wrapText="1"/>
    </x:xf>
    <x:xf numFmtId="0" fontId="3" fillId="4" borderId="29" xfId="0" applyFont="1" applyFill="1" applyBorder="1" applyAlignment="1">
      <x:alignment vertical="top"/>
    </x:xf>
    <x:xf numFmtId="2" fontId="0" fillId="6" borderId="29" xfId="0" applyNumberFormat="1" applyFill="1" applyBorder="1" applyAlignment="1">
      <x:alignment vertical="top" wrapText="1"/>
    </x:xf>
    <x:xf numFmtId="164" fontId="0" fillId="5" borderId="29" xfId="0" applyNumberFormat="1" applyFill="1" applyBorder="1" applyAlignment="1">
      <x:alignment horizontal="left" vertical="top" wrapText="1"/>
    </x:xf>
    <x:xf numFmtId="0" fontId="3" fillId="4" borderId="32" xfId="0" applyFont="1" applyFill="1" applyBorder="1" applyAlignment="1">
      <x:alignment horizontal="center" vertical="top"/>
    </x:xf>
    <x:xf numFmtId="0" fontId="3" fillId="4" borderId="35" xfId="0" applyFont="1" applyFill="1" applyBorder="1" applyAlignment="1">
      <x:alignment horizontal="center" vertical="top"/>
    </x:xf>
    <x:xf numFmtId="0" fontId="3" fillId="4" borderId="33" xfId="0" applyFont="1" applyFill="1" applyBorder="1" applyAlignment="1">
      <x:alignment horizontal="center" vertical="top"/>
    </x:xf>
    <x:xf numFmtId="0" fontId="3" fillId="0" borderId="29" xfId="0" applyFont="1" applyBorder="1" applyAlignment="1">
      <x:alignment vertical="top"/>
    </x:xf>
    <x:xf numFmtId="0" fontId="3" fillId="0" borderId="29" xfId="0" applyFont="1" applyBorder="1" applyAlignment="1">
      <x:alignment horizontal="left" vertical="top" wrapText="1"/>
    </x:xf>
    <x:xf numFmtId="0" fontId="0" fillId="0" borderId="36" xfId="0" applyNumberFormat="1" applyFont="1" applyFill="1" applyBorder="1"/>
    <x:xf numFmtId="0" fontId="1" fillId="2" borderId="36" xfId="0" applyNumberFormat="1" applyFont="1" applyFill="1" applyBorder="1" applyAlignment="1">
      <x:alignment vertical="center"/>
    </x:xf>
    <x:xf numFmtId="0" fontId="2" fillId="3" borderId="36" xfId="0" applyNumberFormat="1" applyFont="1" applyFill="1" applyBorder="1" applyAlignment="1">
      <x:alignment vertical="center" wrapText="1"/>
    </x:xf>
    <x:xf numFmtId="0" fontId="3" fillId="4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/>
    <x:xf numFmtId="0" fontId="0" fillId="6" borderId="36" xfId="0" applyNumberFormat="1" applyFont="1" applyFill="1" applyBorder="1"/>
    <x:xf numFmtId="0" fontId="3" fillId="7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 applyAlignment="1">
      <x:alignment vertical="top" wrapText="1"/>
    </x:xf>
    <x:xf numFmtId="0" fontId="4" fillId="3" borderId="36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3" fillId="6" borderId="36" xfId="0" applyNumberFormat="1" applyFont="1" applyFill="1" applyBorder="1" applyAlignment="1">
      <x:alignment vertical="center"/>
    </x:xf>
    <x:xf numFmtId="0" fontId="3" fillId="4" borderId="36" xfId="0" applyNumberFormat="1" applyFont="1" applyFill="1" applyBorder="1" applyAlignment="1">
      <x:alignment vertical="center" wrapText="1"/>
    </x:xf>
    <x:xf numFmtId="0" fontId="6" fillId="2" borderId="36" xfId="0" applyNumberFormat="1" applyFont="1" applyFill="1" applyBorder="1"/>
    <x:xf numFmtId="0" fontId="4" fillId="3" borderId="36" xfId="0" applyNumberFormat="1" applyFont="1" applyFill="1" applyBorder="1" applyAlignment="1">
      <x:alignment wrapText="1"/>
    </x:xf>
    <x:xf numFmtId="0" fontId="7" fillId="6" borderId="36" xfId="0" applyNumberFormat="1" applyFont="1" applyFill="1" applyBorder="1"/>
    <x:xf numFmtId="0" fontId="4" fillId="13" borderId="36" xfId="0" applyNumberFormat="1" applyFont="1" applyFill="1" applyBorder="1" applyAlignment="1">
      <x:alignment wrapText="1"/>
    </x:xf>
    <x:xf numFmtId="0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6" fillId="11" borderId="39" xfId="0" applyNumberFormat="1" applyFont="1" applyFill="1" applyBorder="1"/>
    <x:xf numFmtId="0" fontId="7" fillId="6" borderId="40" xfId="0" applyNumberFormat="1" applyFont="1" applyFill="1" applyBorder="1"/>
    <x:xf numFmtId="0" fontId="7" fillId="6" borderId="41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4" fillId="13" borderId="40" xfId="0" applyNumberFormat="1" applyFont="1" applyFill="1" applyBorder="1" applyAlignment="1">
      <x:alignment wrapText="1"/>
    </x:xf>
    <x:xf numFmtId="0" fontId="4" fillId="13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3" fillId="4" borderId="36" xfId="0" applyNumberFormat="1" applyFont="1" applyFill="1" applyBorder="1" applyAlignment="1">
      <x:alignment vertical="top"/>
    </x:xf>
    <x:xf numFmtId="0" fontId="5" fillId="0" borderId="45" xfId="0" applyNumberFormat="1" applyFont="1" applyFill="1" applyBorder="1" applyAlignment="1">
      <x:alignment vertical="top" wrapText="1"/>
    </x:xf>
    <x:xf numFmtId="0" fontId="5" fillId="0" borderId="45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vertical="top" wrapText="1"/>
    </x:xf>
    <x:xf numFmtId="0" fontId="0" fillId="6" borderId="45" xfId="0" applyNumberFormat="1" applyFont="1" applyFill="1" applyBorder="1" applyAlignment="1">
      <x:alignment vertical="center" wrapText="1"/>
    </x:xf>
    <x:xf numFmtId="0" fontId="3" fillId="4" borderId="45" xfId="0" applyNumberFormat="1" applyFont="1" applyFill="1" applyBorder="1" applyAlignment="1">
      <x:alignment vertical="center"/>
    </x:xf>
    <x:xf numFmtId="0" fontId="0" fillId="6" borderId="45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horizontal="center" vertical="top" wrapText="1"/>
    </x:xf>
    <x:xf numFmtId="0" fontId="3" fillId="0" borderId="36" xfId="0" applyNumberFormat="1" applyFont="1" applyFill="1" applyBorder="1" applyAlignment="1">
      <x:alignment vertical="center"/>
    </x:xf>
    <x:xf numFmtId="164" fontId="0" fillId="5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/>
    </x:xf>
    <x:xf numFmtId="0" fontId="0" fillId="6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horizontal="left" vertical="top" wrapText="1"/>
    </x:xf>
    <x:xf numFmtId="0" fontId="3" fillId="4" borderId="45" xfId="0" applyNumberFormat="1" applyFont="1" applyFill="1" applyBorder="1" applyAlignment="1">
      <x:alignment vertical="top" wrapText="1"/>
    </x:xf>
    <x:xf numFmtId="0" fontId="3" fillId="4" borderId="45" xfId="0" applyNumberFormat="1" applyFont="1" applyFill="1" applyBorder="1" applyAlignment="1">
      <x:alignment horizontal="left" vertical="top" wrapText="1"/>
    </x:xf>
    <x:xf numFmtId="0" fontId="0" fillId="0" borderId="36" xfId="0" applyNumberFormat="1" applyFont="1" applyFill="1" applyBorder="1" applyAlignment="1">
      <x:alignment horizontal="center"/>
    </x:xf>
    <x:xf numFmtId="0" fontId="3" fillId="0" borderId="45" xfId="0" applyNumberFormat="1" applyFont="1" applyFill="1" applyBorder="1" applyAlignment="1">
      <x:alignment horizontal="center" vertical="center"/>
    </x:xf>
    <x:xf numFmtId="164" fontId="0" fillId="0" borderId="45" xfId="0" applyNumberFormat="1" applyFont="1" applyFill="1" applyBorder="1" applyAlignment="1">
      <x:alignment horizontal="center" vertical="top" wrapText="1"/>
    </x:xf>
    <x:xf numFmtId="0" fontId="3" fillId="0" borderId="45" xfId="0" applyNumberFormat="1" applyFont="1" applyFill="1" applyBorder="1" applyAlignment="1">
      <x:alignment vertical="center"/>
    </x:xf>
    <x:xf numFmtId="164" fontId="0" fillId="0" borderId="45" xfId="0" applyNumberFormat="1" applyFont="1" applyFill="1" applyBorder="1" applyAlignment="1">
      <x:alignment vertical="top" wrapText="1"/>
    </x:xf>
    <x:xf numFmtId="0" fontId="8" fillId="6" borderId="36" xfId="0" applyNumberFormat="1" applyFont="1" applyFill="1" applyBorder="1" applyAlignment="1">
      <x:alignment vertical="top" wrapText="1"/>
    </x:xf>
    <x:xf numFmtId="0" fontId="0" fillId="6" borderId="46" xfId="0" applyNumberFormat="1" applyFont="1" applyFill="1" applyBorder="1" applyAlignment="1">
      <x:alignment horizontal="center" vertical="center" wrapText="1"/>
    </x:xf>
    <x:xf numFmtId="0" fontId="0" fillId="6" borderId="47" xfId="0" applyNumberFormat="1" applyFont="1" applyFill="1" applyBorder="1" applyAlignment="1">
      <x:alignment horizontal="center" vertical="center" wrapText="1"/>
    </x:xf>
    <x:xf numFmtId="0" fontId="0" fillId="15" borderId="45" xfId="0" applyNumberFormat="1" applyFont="1" applyFill="1" applyBorder="1" applyAlignment="1">
      <x:alignment horizontal="center" vertical="center" wrapText="1"/>
    </x:xf>
    <x:xf numFmtId="2" fontId="0" fillId="6" borderId="46" xfId="0" applyNumberFormat="1" applyFont="1" applyFill="1" applyBorder="1" applyAlignment="1">
      <x:alignment horizontal="center" vertical="center" wrapText="1"/>
    </x:xf>
    <x:xf numFmtId="2" fontId="0" fillId="6" borderId="47" xfId="0" applyNumberFormat="1" applyFont="1" applyFill="1" applyBorder="1" applyAlignment="1">
      <x:alignment horizontal="center" vertical="center" wrapText="1"/>
    </x:xf>
    <x:xf numFmtId="2" fontId="0" fillId="15" borderId="46" xfId="0" applyNumberFormat="1" applyFont="1" applyFill="1" applyBorder="1" applyAlignment="1">
      <x:alignment horizontal="center" vertical="center" wrapText="1"/>
    </x:xf>
    <x:xf numFmtId="2" fontId="0" fillId="15" borderId="47" xfId="0" applyNumberFormat="1" applyFont="1" applyFill="1" applyBorder="1" applyAlignment="1">
      <x:alignment horizontal="center" vertical="center" wrapText="1"/>
    </x:xf>
    <x:xf numFmtId="0" fontId="0" fillId="5" borderId="36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horizontal="center" vertical="center" wrapText="1"/>
    </x:xf>
    <x:xf numFmtId="0" fontId="3" fillId="4" borderId="48" xfId="0" applyNumberFormat="1" applyFont="1" applyFill="1" applyBorder="1" applyAlignment="1">
      <x:alignment horizontal="center" vertical="center" wrapText="1"/>
    </x:xf>
    <x:xf numFmtId="0" fontId="3" fillId="4" borderId="49" xfId="0" applyNumberFormat="1" applyFont="1" applyFill="1" applyBorder="1" applyAlignment="1">
      <x:alignment horizontal="center" vertical="center" wrapText="1"/>
    </x:xf>
    <x:xf numFmtId="0" fontId="2" fillId="3" borderId="36" xfId="0" applyNumberFormat="1" applyFont="1" applyFill="1" applyBorder="1" applyAlignment="1">
      <x:alignment horizontal="center" vertical="center" wrapText="1"/>
    </x:xf>
    <x:xf numFmtId="0" fontId="1" fillId="2" borderId="36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top" wrapText="1"/>
    </x:xf>
    <x:xf numFmtId="0" fontId="0" fillId="0" borderId="50" xfId="0" applyNumberFormat="1" applyFont="1" applyFill="1" applyBorder="1"/>
    <x:xf numFmtId="0" fontId="0" fillId="5" borderId="45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horizontal="center" vertical="center"/>
    </x:xf>
    <x:xf numFmtId="0" fontId="3" fillId="4" borderId="48" xfId="0" applyNumberFormat="1" applyFont="1" applyFill="1" applyBorder="1" applyAlignment="1">
      <x:alignment horizontal="center" vertical="center"/>
    </x:xf>
    <x:xf numFmtId="0" fontId="3" fillId="4" borderId="51" xfId="0" applyNumberFormat="1" applyFont="1" applyFill="1" applyBorder="1" applyAlignment="1">
      <x:alignment horizontal="center" vertical="center"/>
    </x:xf>
    <x:xf numFmtId="0" fontId="3" fillId="4" borderId="49" xfId="0" applyNumberFormat="1" applyFont="1" applyFill="1" applyBorder="1" applyAlignment="1">
      <x:alignment horizontal="center" vertical="center"/>
    </x:xf>
    <x:xf numFmtId="2" fontId="0" fillId="6" borderId="45" xfId="0" applyNumberFormat="1" applyFont="1" applyFill="1" applyBorder="1" applyAlignment="1">
      <x:alignment horizontal="center" vertical="center" wrapText="1"/>
    </x:xf>
    <x:xf numFmtId="0" fontId="3" fillId="4" borderId="45" xfId="0" applyNumberFormat="1" applyFont="1" applyFill="1" applyBorder="1" applyAlignment="1">
      <x:alignment vertical="top"/>
    </x:xf>
    <x:xf numFmtId="2" fontId="0" fillId="6" borderId="45" xfId="0" applyNumberFormat="1" applyFont="1" applyFill="1" applyBorder="1" applyAlignment="1">
      <x:alignment vertical="top" wrapText="1"/>
    </x:xf>
    <x:xf numFmtId="164" fontId="0" fillId="5" borderId="45" xfId="0" applyNumberFormat="1" applyFont="1" applyFill="1" applyBorder="1" applyAlignment="1">
      <x:alignment horizontal="left" vertical="top" wrapText="1"/>
    </x:xf>
    <x:xf numFmtId="0" fontId="3" fillId="4" borderId="48" xfId="0" applyNumberFormat="1" applyFont="1" applyFill="1" applyBorder="1" applyAlignment="1">
      <x:alignment horizontal="center" vertical="top"/>
    </x:xf>
    <x:xf numFmtId="0" fontId="3" fillId="4" borderId="51" xfId="0" applyNumberFormat="1" applyFont="1" applyFill="1" applyBorder="1" applyAlignment="1">
      <x:alignment horizontal="center" vertical="top"/>
    </x:xf>
    <x:xf numFmtId="0" fontId="3" fillId="4" borderId="49" xfId="0" applyNumberFormat="1" applyFont="1" applyFill="1" applyBorder="1" applyAlignment="1">
      <x:alignment horizontal="center" vertical="top"/>
    </x:xf>
    <x:xf numFmtId="0" fontId="3" fillId="0" borderId="45" xfId="0" applyNumberFormat="1" applyFont="1" applyFill="1" applyBorder="1" applyAlignment="1">
      <x:alignment vertical="top"/>
    </x:xf>
    <x:xf numFmtId="0" fontId="3" fillId="0" borderId="45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0" fillId="16" borderId="36" xfId="0" applyNumberFormat="1" applyFont="1" applyFill="1" applyBorder="1"/>
    <x:xf numFmtId="0" fontId="8" fillId="16" borderId="0" xfId="0" applyNumberFormat="1" applyFont="1" applyFill="1" applyBorder="1"/>
    <x:xf numFmtId="0" fontId="8" fillId="16" borderId="36" xfId="0" applyNumberFormat="1" applyFont="1" applyFill="1" applyBorder="1"/>
    <x:xf numFmtId="0" fontId="0" fillId="17" borderId="0" xfId="0" applyNumberFormat="1" applyFont="1" applyFill="1" applyBorder="1"/>
    <x:xf numFmtId="0" fontId="0" fillId="17" borderId="36" xfId="0" applyNumberFormat="1" applyFont="1" applyFill="1" applyBorder="1"/>
    <x:xf numFmtId="0" fontId="8" fillId="17" borderId="0" xfId="0" applyNumberFormat="1" applyFont="1" applyFill="1" applyBorder="1"/>
    <x:xf numFmtId="0" fontId="8" fillId="17" borderId="36" xfId="0" applyNumberFormat="1" applyFont="1" applyFill="1" applyBorder="1"/>
    <x:xf numFmtId="0" fontId="0" fillId="18" borderId="0" xfId="0" applyNumberFormat="1" applyFont="1" applyFill="1" applyBorder="1"/>
    <x:xf numFmtId="0" fontId="0" fillId="18" borderId="36" xfId="0" applyNumberFormat="1" applyFont="1" applyFill="1" applyBorder="1"/>
    <x:xf numFmtId="0" fontId="8" fillId="18" borderId="0" xfId="0" applyNumberFormat="1" applyFont="1" applyFill="1" applyBorder="1"/>
    <x:xf numFmtId="0" fontId="8" fillId="18" borderId="36" xfId="0" applyNumberFormat="1" applyFont="1" applyFill="1" applyBorder="1"/>
    <x:xf numFmtId="0" fontId="0" fillId="19" borderId="0" xfId="0" applyNumberFormat="1" applyFont="1" applyFill="1" applyBorder="1"/>
    <x:xf numFmtId="0" fontId="0" fillId="19" borderId="36" xfId="0" applyNumberFormat="1" applyFont="1" applyFill="1" applyBorder="1"/>
    <x:xf numFmtId="0" fontId="8" fillId="19" borderId="0" xfId="0" applyNumberFormat="1" applyFont="1" applyFill="1" applyBorder="1"/>
    <x:xf numFmtId="0" fontId="8" fillId="19" borderId="36" xfId="0" applyNumberFormat="1" applyFont="1" applyFill="1" applyBorder="1"/>
    <x:xf numFmtId="0" fontId="0" fillId="20" borderId="0" xfId="0" applyNumberFormat="1" applyFont="1" applyFill="1" applyBorder="1" applyAlignment="1">
      <x:alignment horizontal="center" vertical="top" wrapText="1"/>
    </x:xf>
    <x:xf numFmtId="0" fontId="0" fillId="20" borderId="36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0" borderId="36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horizontal="center" vertical="top" wrapText="1"/>
    </x:xf>
    <x:xf numFmtId="0" fontId="0" fillId="16" borderId="36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36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top" wrapText="1"/>
    </x:xf>
    <x:xf numFmtId="0" fontId="0" fillId="17" borderId="45" xfId="0" applyNumberFormat="1" applyFont="1" applyFill="1" applyBorder="1" applyAlignment="1">
      <x:alignment vertical="top" wrapText="1"/>
    </x:xf>
    <x:xf numFmtId="0" fontId="0" fillId="20" borderId="29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16" borderId="29" xfId="0" applyNumberFormat="1" applyFont="1" applyFill="1" applyBorder="1" applyAlignment="1">
      <x:alignment vertical="top" wrapText="1"/>
    </x:xf>
    <x:xf numFmtId="0" fontId="0" fillId="16" borderId="45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center" wrapText="1"/>
    </x:xf>
    <x:xf numFmtId="0" fontId="0" fillId="17" borderId="45" xfId="0" applyNumberFormat="1" applyFont="1" applyFill="1" applyBorder="1" applyAlignment="1">
      <x:alignment vertical="center" wrapText="1"/>
    </x:xf>
    <x:xf numFmtId="0" fontId="0" fillId="18" borderId="29" xfId="0" applyNumberFormat="1" applyFont="1" applyFill="1" applyBorder="1" applyAlignment="1">
      <x:alignment vertical="top" wrapText="1"/>
    </x:xf>
    <x:xf numFmtId="0" fontId="0" fillId="18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top" wrapText="1"/>
    </x:xf>
    <x:xf numFmtId="0" fontId="0" fillId="19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center" wrapText="1"/>
    </x:xf>
    <x:xf numFmtId="0" fontId="0" fillId="19" borderId="45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horizontal="center" vertical="center" wrapText="1"/>
    </x:xf>
    <x:xf numFmtId="0" fontId="4" fillId="3" borderId="22" xfId="0" applyNumberFormat="1" applyFont="1" applyFill="1" applyBorder="1" applyAlignment="1">
      <x:alignment horizontal="center"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5" fillId="0" borderId="52" xfId="0" applyNumberFormat="1" applyFont="1" applyFill="1" applyBorder="1" applyAlignment="1">
      <x:alignment vertical="top" wrapText="1"/>
    </x:xf>
    <x:xf numFmtId="0" fontId="5" fillId="0" borderId="29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16" borderId="53" xfId="0" applyNumberFormat="1" applyFont="1" applyFill="1" applyBorder="1" applyAlignment="1">
      <x:alignment vertical="top" wrapText="1"/>
    </x:xf>
    <x:xf numFmtId="0" fontId="5" fillId="0" borderId="54" xfId="0" applyNumberFormat="1" applyFont="1" applyFill="1" applyBorder="1" applyAlignment="1">
      <x:alignment vertical="top" wrapText="1"/>
    </x:xf>
    <x:xf numFmtId="0" fontId="5" fillId="0" borderId="55" xfId="0" applyNumberFormat="1" applyFont="1" applyFill="1" applyBorder="1" applyAlignment="1">
      <x:alignment horizontal="center" vertical="top" wrapText="1"/>
    </x:xf>
    <x:xf numFmtId="0" fontId="0" fillId="0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top" wrapText="1"/>
    </x:xf>
    <x:xf numFmtId="0" fontId="0" fillId="20" borderId="55" xfId="0" applyNumberFormat="1" applyFont="1" applyFill="1" applyBorder="1" applyAlignment="1">
      <x:alignment vertical="top" wrapText="1"/>
    </x:xf>
    <x:xf numFmtId="0" fontId="0" fillId="18" borderId="55" xfId="0" applyNumberFormat="1" applyFont="1" applyFill="1" applyBorder="1" applyAlignment="1">
      <x:alignment vertical="top" wrapText="1"/>
    </x:xf>
    <x:xf numFmtId="0" fontId="0" fillId="16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center" wrapText="1"/>
    </x:xf>
    <x:xf numFmtId="0" fontId="4" fillId="3" borderId="38" xfId="0" applyNumberFormat="1" applyFont="1" applyFill="1" applyBorder="1" applyAlignment="1">
      <x:alignment horizontal="center" vertical="center" wrapText="1"/>
    </x:xf>
    <x:xf numFmtId="0" fontId="4" fillId="3" borderId="39" xfId="0" applyNumberFormat="1" applyFont="1" applyFill="1" applyBorder="1" applyAlignment="1">
      <x:alignment horizontal="center" vertical="center" wrapText="1"/>
    </x:xf>
    <x:xf numFmtId="0" fontId="5" fillId="0" borderId="57" xfId="0" applyNumberFormat="1" applyFont="1" applyFill="1" applyBorder="1" applyAlignment="1">
      <x:alignment vertical="top" wrapText="1"/>
    </x:xf>
    <x:xf numFmtId="0" fontId="0" fillId="16" borderId="58" xfId="0" applyNumberFormat="1" applyFont="1" applyFill="1" applyBorder="1" applyAlignment="1">
      <x:alignment vertical="top" wrapText="1"/>
    </x:xf>
    <x:xf numFmtId="0" fontId="5" fillId="0" borderId="59" xfId="0" applyNumberFormat="1" applyFont="1" applyFill="1" applyBorder="1" applyAlignment="1">
      <x:alignment vertical="top" wrapText="1"/>
    </x:xf>
    <x:xf numFmtId="0" fontId="5" fillId="0" borderId="60" xfId="0" applyNumberFormat="1" applyFont="1" applyFill="1" applyBorder="1" applyAlignment="1">
      <x:alignment horizontal="center" vertical="top" wrapText="1"/>
    </x:xf>
    <x:xf numFmtId="0" fontId="0" fillId="0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top" wrapText="1"/>
    </x:xf>
    <x:xf numFmtId="0" fontId="0" fillId="20" borderId="60" xfId="0" applyNumberFormat="1" applyFont="1" applyFill="1" applyBorder="1" applyAlignment="1">
      <x:alignment vertical="top" wrapText="1"/>
    </x:xf>
    <x:xf numFmtId="0" fontId="0" fillId="18" borderId="60" xfId="0" applyNumberFormat="1" applyFont="1" applyFill="1" applyBorder="1" applyAlignment="1">
      <x:alignment vertical="top" wrapText="1"/>
    </x:xf>
    <x:xf numFmtId="0" fontId="0" fillId="16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top" wrapText="1"/>
    </x:xf>
    <x:xf numFmtId="0" fontId="0" fillId="18" borderId="29" xfId="0" applyNumberFormat="1" applyFont="1" applyFill="1" applyBorder="1" applyAlignment="1">
      <x:alignment horizontal="center" vertical="top" wrapText="1"/>
    </x:xf>
    <x:xf numFmtId="0" fontId="0" fillId="20" borderId="29" xfId="0" applyNumberFormat="1" applyFont="1" applyFill="1" applyBorder="1" applyAlignment="1">
      <x:alignment horizontal="center" vertical="top" wrapText="1"/>
    </x:xf>
    <x:xf numFmtId="0" fontId="0" fillId="16" borderId="29" xfId="0" applyNumberFormat="1" applyFont="1" applyFill="1" applyBorder="1" applyAlignment="1">
      <x:alignment horizontal="center" vertical="top" wrapText="1"/>
    </x:xf>
    <x:xf numFmtId="0" fontId="0" fillId="17" borderId="29" xfId="0" applyNumberFormat="1" applyFont="1" applyFill="1" applyBorder="1" applyAlignment="1">
      <x:alignment horizontal="center" vertical="top" wrapText="1"/>
    </x:xf>
    <x:xf numFmtId="0" fontId="0" fillId="19" borderId="29" xfId="0" applyNumberFormat="1" applyFont="1" applyFill="1" applyBorder="1" applyAlignment="1">
      <x:alignment horizontal="center" vertical="top" wrapText="1"/>
    </x:xf>
    <x:xf numFmtId="0" fontId="0" fillId="18" borderId="55" xfId="0" applyNumberFormat="1" applyFont="1" applyFill="1" applyBorder="1" applyAlignment="1">
      <x:alignment horizontal="center" vertical="top" wrapText="1"/>
    </x:xf>
    <x:xf numFmtId="0" fontId="0" fillId="20" borderId="55" xfId="0" applyNumberFormat="1" applyFont="1" applyFill="1" applyBorder="1" applyAlignment="1">
      <x:alignment horizontal="center" vertical="top" wrapText="1"/>
    </x:xf>
    <x:xf numFmtId="0" fontId="0" fillId="16" borderId="55" xfId="0" applyNumberFormat="1" applyFont="1" applyFill="1" applyBorder="1" applyAlignment="1">
      <x:alignment horizontal="center" vertical="top" wrapText="1"/>
    </x:xf>
    <x:xf numFmtId="0" fontId="0" fillId="17" borderId="55" xfId="0" applyNumberFormat="1" applyFont="1" applyFill="1" applyBorder="1" applyAlignment="1">
      <x:alignment horizontal="center" vertical="top" wrapText="1"/>
    </x:xf>
    <x:xf numFmtId="0" fontId="0" fillId="18" borderId="45" xfId="0" applyNumberFormat="1" applyFont="1" applyFill="1" applyBorder="1" applyAlignment="1">
      <x:alignment horizontal="center" vertical="top" wrapText="1"/>
    </x:xf>
    <x:xf numFmtId="0" fontId="0" fillId="20" borderId="45" xfId="0" applyNumberFormat="1" applyFont="1" applyFill="1" applyBorder="1" applyAlignment="1">
      <x:alignment horizontal="center" vertical="top" wrapText="1"/>
    </x:xf>
    <x:xf numFmtId="0" fontId="0" fillId="16" borderId="45" xfId="0" applyNumberFormat="1" applyFont="1" applyFill="1" applyBorder="1" applyAlignment="1">
      <x:alignment horizontal="center" vertical="top" wrapText="1"/>
    </x:xf>
    <x:xf numFmtId="0" fontId="0" fillId="17" borderId="45" xfId="0" applyNumberFormat="1" applyFont="1" applyFill="1" applyBorder="1" applyAlignment="1">
      <x:alignment horizontal="center" vertical="top" wrapText="1"/>
    </x:xf>
    <x:xf numFmtId="0" fontId="0" fillId="19" borderId="45" xfId="0" applyNumberFormat="1" applyFont="1" applyFill="1" applyBorder="1" applyAlignment="1">
      <x:alignment horizontal="center" vertical="top" wrapText="1"/>
    </x:xf>
    <x:xf numFmtId="0" fontId="0" fillId="18" borderId="60" xfId="0" applyNumberFormat="1" applyFont="1" applyFill="1" applyBorder="1" applyAlignment="1">
      <x:alignment horizontal="center" vertical="top" wrapText="1"/>
    </x:xf>
    <x:xf numFmtId="0" fontId="0" fillId="20" borderId="60" xfId="0" applyNumberFormat="1" applyFont="1" applyFill="1" applyBorder="1" applyAlignment="1">
      <x:alignment horizontal="center" vertical="top" wrapText="1"/>
    </x:xf>
    <x:xf numFmtId="0" fontId="0" fillId="16" borderId="60" xfId="0" applyNumberFormat="1" applyFont="1" applyFill="1" applyBorder="1" applyAlignment="1">
      <x:alignment horizontal="center" vertical="top" wrapText="1"/>
    </x:xf>
    <x:xf numFmtId="0" fontId="0" fillId="17" borderId="60" xfId="0" applyNumberFormat="1" applyFont="1" applyFill="1" applyBorder="1" applyAlignment="1">
      <x:alignment horizontal="center" vertical="top" wrapText="1"/>
    </x:xf>
    <x:xf numFmtId="0" fontId="0" fillId="18" borderId="29" xfId="0" applyNumberFormat="1" applyFont="1" applyFill="1" applyBorder="1" applyAlignment="1">
      <x:alignment horizontal="center" vertical="center" wrapText="1"/>
    </x:xf>
    <x:xf numFmtId="0" fontId="0" fillId="20" borderId="29" xfId="0" applyNumberFormat="1" applyFont="1" applyFill="1" applyBorder="1" applyAlignment="1">
      <x:alignment horizontal="center" vertical="center" wrapText="1"/>
    </x:xf>
    <x:xf numFmtId="0" fontId="0" fillId="16" borderId="29" xfId="0" applyNumberFormat="1" applyFont="1" applyFill="1" applyBorder="1" applyAlignment="1">
      <x:alignment horizontal="center" vertical="center" wrapText="1"/>
    </x:xf>
    <x:xf numFmtId="0" fontId="0" fillId="17" borderId="29" xfId="0" applyNumberFormat="1" applyFont="1" applyFill="1" applyBorder="1" applyAlignment="1">
      <x:alignment horizontal="center" vertical="center" wrapText="1"/>
    </x:xf>
    <x:xf numFmtId="0" fontId="0" fillId="19" borderId="29" xfId="0" applyNumberFormat="1" applyFont="1" applyFill="1" applyBorder="1" applyAlignment="1">
      <x:alignment horizontal="center" vertical="center" wrapText="1"/>
    </x:xf>
    <x:xf numFmtId="0" fontId="0" fillId="18" borderId="55" xfId="0" applyNumberFormat="1" applyFont="1" applyFill="1" applyBorder="1" applyAlignment="1">
      <x:alignment horizontal="center" vertical="center" wrapText="1"/>
    </x:xf>
    <x:xf numFmtId="0" fontId="0" fillId="20" borderId="55" xfId="0" applyNumberFormat="1" applyFont="1" applyFill="1" applyBorder="1" applyAlignment="1">
      <x:alignment horizontal="center" vertical="center" wrapText="1"/>
    </x:xf>
    <x:xf numFmtId="0" fontId="0" fillId="16" borderId="55" xfId="0" applyNumberFormat="1" applyFont="1" applyFill="1" applyBorder="1" applyAlignment="1">
      <x:alignment horizontal="center" vertical="center" wrapText="1"/>
    </x:xf>
    <x:xf numFmtId="0" fontId="0" fillId="17" borderId="55" xfId="0" applyNumberFormat="1" applyFont="1" applyFill="1" applyBorder="1" applyAlignment="1">
      <x:alignment horizontal="center" vertical="center" wrapText="1"/>
    </x:xf>
    <x:xf numFmtId="0" fontId="0" fillId="18" borderId="45" xfId="0" applyNumberFormat="1" applyFont="1" applyFill="1" applyBorder="1" applyAlignment="1">
      <x:alignment horizontal="center" vertical="center" wrapText="1"/>
    </x:xf>
    <x:xf numFmtId="0" fontId="0" fillId="20" borderId="45" xfId="0" applyNumberFormat="1" applyFont="1" applyFill="1" applyBorder="1" applyAlignment="1">
      <x:alignment horizontal="center" vertical="center" wrapText="1"/>
    </x:xf>
    <x:xf numFmtId="0" fontId="0" fillId="16" borderId="45" xfId="0" applyNumberFormat="1" applyFont="1" applyFill="1" applyBorder="1" applyAlignment="1">
      <x:alignment horizontal="center" vertical="center" wrapText="1"/>
    </x:xf>
    <x:xf numFmtId="0" fontId="0" fillId="17" borderId="45" xfId="0" applyNumberFormat="1" applyFont="1" applyFill="1" applyBorder="1" applyAlignment="1">
      <x:alignment horizontal="center" vertical="center" wrapText="1"/>
    </x:xf>
    <x:xf numFmtId="0" fontId="0" fillId="19" borderId="45" xfId="0" applyNumberFormat="1" applyFont="1" applyFill="1" applyBorder="1" applyAlignment="1">
      <x:alignment horizontal="center" vertical="center" wrapText="1"/>
    </x:xf>
    <x:xf numFmtId="0" fontId="0" fillId="18" borderId="60" xfId="0" applyNumberFormat="1" applyFont="1" applyFill="1" applyBorder="1" applyAlignment="1">
      <x:alignment horizontal="center" vertical="center" wrapText="1"/>
    </x:xf>
    <x:xf numFmtId="0" fontId="0" fillId="20" borderId="60" xfId="0" applyNumberFormat="1" applyFont="1" applyFill="1" applyBorder="1" applyAlignment="1">
      <x:alignment horizontal="center" vertical="center" wrapText="1"/>
    </x:xf>
    <x:xf numFmtId="0" fontId="0" fillId="16" borderId="60" xfId="0" applyNumberFormat="1" applyFont="1" applyFill="1" applyBorder="1" applyAlignment="1">
      <x:alignment horizontal="center" vertical="center" wrapText="1"/>
    </x:xf>
    <x:xf numFmtId="0" fontId="0" fillId="17" borderId="60" xfId="0" applyNumberFormat="1" applyFont="1" applyFill="1" applyBorder="1" applyAlignment="1">
      <x:alignment horizontal="center" vertical="center" wrapText="1"/>
    </x:xf>
    <x:xf numFmtId="0" fontId="0" fillId="17" borderId="30" xfId="0" applyNumberFormat="1" applyFont="1" applyFill="1" applyBorder="1" applyAlignment="1">
      <x:alignment horizontal="center" vertical="center" wrapText="1"/>
    </x:xf>
    <x:xf numFmtId="2" fontId="0" fillId="17" borderId="30" xfId="0" applyNumberFormat="1" applyFont="1" applyFill="1" applyBorder="1" applyAlignment="1">
      <x:alignment horizontal="center" vertical="center" wrapText="1"/>
    </x:xf>
    <x:xf numFmtId="0" fontId="0" fillId="17" borderId="46" xfId="0" applyNumberFormat="1" applyFont="1" applyFill="1" applyBorder="1" applyAlignment="1">
      <x:alignment horizontal="center" vertical="center" wrapText="1"/>
    </x:xf>
    <x:xf numFmtId="2" fontId="0" fillId="17" borderId="46" xfId="0" applyNumberFormat="1" applyFont="1" applyFill="1" applyBorder="1" applyAlignment="1">
      <x:alignment horizontal="center" vertical="center" wrapText="1"/>
    </x:xf>
    <x:xf numFmtId="0" fontId="3" fillId="17" borderId="30" xfId="0" applyNumberFormat="1" applyFont="1" applyFill="1" applyBorder="1" applyAlignment="1">
      <x:alignment horizontal="center" vertical="center" wrapText="1"/>
    </x:xf>
    <x:xf numFmtId="2" fontId="3" fillId="17" borderId="30" xfId="0" applyNumberFormat="1" applyFont="1" applyFill="1" applyBorder="1" applyAlignment="1">
      <x:alignment horizontal="center" vertical="center" wrapText="1"/>
    </x:xf>
    <x:xf numFmtId="0" fontId="3" fillId="17" borderId="29" xfId="0" applyNumberFormat="1" applyFont="1" applyFill="1" applyBorder="1" applyAlignment="1">
      <x:alignment horizontal="center" vertical="center" wrapText="1"/>
    </x:xf>
    <x:xf numFmtId="0" fontId="3" fillId="17" borderId="46" xfId="0" applyNumberFormat="1" applyFont="1" applyFill="1" applyBorder="1" applyAlignment="1">
      <x:alignment horizontal="center" vertical="center" wrapText="1"/>
    </x:xf>
    <x:xf numFmtId="2" fontId="3" fillId="17" borderId="46" xfId="0" applyNumberFormat="1" applyFont="1" applyFill="1" applyBorder="1" applyAlignment="1">
      <x:alignment horizontal="center" vertical="center" wrapText="1"/>
    </x:xf>
    <x:xf numFmtId="0" fontId="3" fillId="17" borderId="45" xfId="0" applyNumberFormat="1" applyFont="1" applyFill="1" applyBorder="1" applyAlignment="1">
      <x:alignment horizontal="center" vertical="center" wrapText="1"/>
    </x:xf>
    <x:xf numFmtId="0" fontId="3" fillId="4" borderId="62" xfId="0" applyNumberFormat="1" applyFont="1" applyFill="1" applyBorder="1" applyAlignment="1">
      <x:alignment vertical="center"/>
    </x:xf>
    <x:xf numFmtId="0" fontId="3" fillId="17" borderId="63" xfId="0" applyNumberFormat="1" applyFont="1" applyFill="1" applyBorder="1" applyAlignment="1">
      <x:alignment horizontal="center" vertical="center" wrapText="1"/>
    </x:xf>
    <x:xf numFmtId="0" fontId="3" fillId="4" borderId="52" xfId="0" applyNumberFormat="1" applyFont="1" applyFill="1" applyBorder="1" applyAlignment="1">
      <x:alignment vertical="center"/>
    </x:xf>
    <x:xf numFmtId="0" fontId="3" fillId="17" borderId="53" xfId="0" applyNumberFormat="1" applyFont="1" applyFill="1" applyBorder="1" applyAlignment="1">
      <x:alignment horizontal="center" vertical="center" wrapText="1"/>
    </x:xf>
    <x:xf numFmtId="2" fontId="3" fillId="17" borderId="53" xfId="0" applyNumberFormat="1" applyFont="1" applyFill="1" applyBorder="1" applyAlignment="1">
      <x:alignment horizontal="center" vertical="center" wrapText="1"/>
    </x:xf>
    <x:xf numFmtId="0" fontId="3" fillId="4" borderId="54" xfId="0" applyNumberFormat="1" applyFont="1" applyFill="1" applyBorder="1" applyAlignment="1">
      <x:alignment vertical="center"/>
    </x:xf>
    <x:xf numFmtId="0" fontId="3" fillId="17" borderId="56" xfId="0" applyNumberFormat="1" applyFont="1" applyFill="1" applyBorder="1" applyAlignment="1">
      <x:alignment horizontal="center" vertical="center" wrapText="1"/>
    </x:xf>
    <x:xf numFmtId="0" fontId="3" fillId="4" borderId="64" xfId="0" applyNumberFormat="1" applyFont="1" applyFill="1" applyBorder="1" applyAlignment="1">
      <x:alignment vertical="center"/>
    </x:xf>
    <x:xf numFmtId="0" fontId="3" fillId="17" borderId="65" xfId="0" applyNumberFormat="1" applyFont="1" applyFill="1" applyBorder="1" applyAlignment="1">
      <x:alignment horizontal="center" vertical="center" wrapText="1"/>
    </x:xf>
    <x:xf numFmtId="0" fontId="3" fillId="4" borderId="57" xfId="0" applyNumberFormat="1" applyFont="1" applyFill="1" applyBorder="1" applyAlignment="1">
      <x:alignment vertical="center"/>
    </x:xf>
    <x:xf numFmtId="0" fontId="3" fillId="17" borderId="58" xfId="0" applyNumberFormat="1" applyFont="1" applyFill="1" applyBorder="1" applyAlignment="1">
      <x:alignment horizontal="center" vertical="center" wrapText="1"/>
    </x:xf>
    <x:xf numFmtId="2" fontId="3" fillId="17" borderId="58" xfId="0" applyNumberFormat="1" applyFont="1" applyFill="1" applyBorder="1" applyAlignment="1">
      <x:alignment horizontal="center" vertical="center" wrapText="1"/>
    </x:xf>
    <x:xf numFmtId="0" fontId="3" fillId="4" borderId="59" xfId="0" applyNumberFormat="1" applyFont="1" applyFill="1" applyBorder="1" applyAlignment="1">
      <x:alignment vertical="center"/>
    </x:xf>
    <x:xf numFmtId="0" fontId="3" fillId="17" borderId="61" xfId="0" applyNumberFormat="1" applyFont="1" applyFill="1" applyBorder="1" applyAlignment="1">
      <x:alignment horizontal="center" vertical="center" wrapText="1"/>
    </x:xf>
    <x:xf numFmtId="2" fontId="0" fillId="17" borderId="29" xfId="0" applyNumberFormat="1" applyFont="1" applyFill="1" applyBorder="1" applyAlignment="1">
      <x:alignment horizontal="center" vertical="center" wrapText="1"/>
    </x:xf>
    <x:xf numFmtId="2" fontId="0" fillId="17" borderId="45" xfId="0" applyNumberFormat="1" applyFont="1" applyFill="1" applyBorder="1" applyAlignment="1">
      <x:alignment horizontal="center" vertical="center" wrapText="1"/>
    </x:xf>
    <x:xf numFmtId="2" fontId="3" fillId="17" borderId="29" xfId="0" applyNumberFormat="1" applyFont="1" applyFill="1" applyBorder="1" applyAlignment="1">
      <x:alignment horizontal="center" vertical="center" wrapText="1"/>
    </x:xf>
    <x:xf numFmtId="2" fontId="3" fillId="17" borderId="45" xfId="0" applyNumberFormat="1" applyFont="1" applyFill="1" applyBorder="1" applyAlignment="1">
      <x:alignment horizontal="center" vertical="center" wrapText="1"/>
    </x:xf>
    <x:xf numFmtId="0" fontId="0" fillId="21" borderId="29" xfId="0" applyNumberFormat="1" applyFont="1" applyFill="1" applyBorder="1" applyAlignment="1">
      <x:alignment vertical="top" wrapText="1"/>
    </x:xf>
    <x:xf numFmtId="164" fontId="0" fillId="21" borderId="29" xfId="0" applyNumberFormat="1" applyFont="1" applyFill="1" applyBorder="1" applyAlignment="1">
      <x:alignment vertical="top" wrapText="1"/>
    </x:xf>
    <x:xf numFmtId="0" fontId="0" fillId="21" borderId="45" xfId="0" applyNumberFormat="1" applyFont="1" applyFill="1" applyBorder="1" applyAlignment="1">
      <x:alignment vertical="top" wrapText="1"/>
    </x:xf>
    <x:xf numFmtId="164" fontId="0" fillId="21" borderId="45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horizontal="left" vertical="top" wrapText="1"/>
    </x:xf>
    <x:xf numFmtId="0" fontId="0" fillId="20" borderId="29" xfId="0" applyNumberFormat="1" applyFont="1" applyFill="1" applyBorder="1" applyAlignment="1">
      <x:alignment horizontal="left" vertical="top" wrapText="1"/>
    </x:xf>
    <x:xf numFmtId="0" fontId="3" fillId="20" borderId="45" xfId="0" applyNumberFormat="1" applyFont="1" applyFill="1" applyBorder="1" applyAlignment="1">
      <x:alignment vertical="top" wrapText="1"/>
    </x:xf>
    <x:xf numFmtId="0" fontId="3" fillId="20" borderId="45" xfId="0" applyNumberFormat="1" applyFont="1" applyFill="1" applyBorder="1" applyAlignment="1">
      <x:alignment horizontal="left" vertical="top" wrapText="1"/>
    </x:xf>
    <x:xf numFmtId="0" fontId="0" fillId="20" borderId="45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/>
    <x:xf numFmtId="0" fontId="3" fillId="4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/>
    <x:xf numFmtId="0" fontId="0" fillId="0" borderId="0" xfId="0" applyNumberFormat="1" applyFont="1" applyFill="1" applyBorder="1"/>
    <x:xf numFmtId="0" fontId="0" fillId="20" borderId="53" xfId="0" applyNumberFormat="1" applyFont="1" applyFill="1" applyBorder="1" applyAlignment="1">
      <x:alignment vertical="top" wrapText="1"/>
    </x:xf>
    <x:xf numFmtId="0" fontId="0" fillId="20" borderId="53" xfId="0" applyNumberFormat="1" applyFont="1" applyFill="1" applyBorder="1" applyAlignment="1">
      <x:alignment horizontal="left" vertical="top" wrapText="1"/>
    </x:xf>
    <x:xf numFmtId="0" fontId="0" fillId="21" borderId="55" xfId="0" applyNumberFormat="1" applyFont="1" applyFill="1" applyBorder="1" applyAlignment="1">
      <x:alignment vertical="top" wrapText="1"/>
    </x:xf>
    <x:xf numFmtId="164" fontId="0" fillId="21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3" fillId="4" borderId="55" xfId="0" applyNumberFormat="1" applyFont="1" applyFill="1" applyBorder="1" applyAlignment="1">
      <x:alignment horizontal="left" vertical="top" wrapText="1"/>
    </x:xf>
    <x:xf numFmtId="0" fontId="0" fillId="5" borderId="56" xfId="0" applyNumberFormat="1" applyFont="1" applyFill="1" applyBorder="1" applyAlignment="1">
      <x:alignment horizontal="left" vertical="top" wrapText="1"/>
    </x:xf>
    <x:xf numFmtId="0" fontId="0" fillId="0" borderId="38" xfId="0" applyNumberFormat="1" applyFont="1" applyFill="1" applyBorder="1"/>
    <x:xf numFmtId="0" fontId="3" fillId="4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/>
    <x:xf numFmtId="0" fontId="0" fillId="20" borderId="58" xfId="0" applyNumberFormat="1" applyFont="1" applyFill="1" applyBorder="1" applyAlignment="1">
      <x:alignment vertical="top" wrapText="1"/>
    </x:xf>
    <x:xf numFmtId="0" fontId="0" fillId="20" borderId="58" xfId="0" applyNumberFormat="1" applyFont="1" applyFill="1" applyBorder="1" applyAlignment="1">
      <x:alignment horizontal="left" vertical="top" wrapText="1"/>
    </x:xf>
    <x:xf numFmtId="0" fontId="0" fillId="21" borderId="60" xfId="0" applyNumberFormat="1" applyFont="1" applyFill="1" applyBorder="1" applyAlignment="1">
      <x:alignment vertical="top" wrapText="1"/>
    </x:xf>
    <x:xf numFmtId="164" fontId="0" fillId="21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/>
    <x:xf numFmtId="0" fontId="3" fillId="4" borderId="60" xfId="0" applyNumberFormat="1" applyFont="1" applyFill="1" applyBorder="1" applyAlignment="1">
      <x:alignment horizontal="left" vertical="top" wrapText="1"/>
    </x:xf>
    <x:xf numFmtId="0" fontId="0" fillId="5" borderId="61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4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4" fillId="3" borderId="22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top" wrapText="1"/>
    </x:xf>
    <x:xf numFmtId="0" fontId="4" fillId="3" borderId="38" xfId="0" applyNumberFormat="1" applyFont="1" applyFill="1" applyBorder="1" applyAlignment="1">
      <x:alignment horizontal="center"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3" fillId="4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16" borderId="63" xfId="0" applyNumberFormat="1" applyFont="1" applyFill="1" applyBorder="1" applyAlignment="1">
      <x:alignment vertical="top" wrapText="1"/>
    </x:xf>
    <x:xf numFmtId="0" fontId="0" fillId="16" borderId="65" xfId="0" applyNumberFormat="1" applyFont="1" applyFill="1" applyBorder="1" applyAlignment="1">
      <x:alignment vertical="top" wrapText="1"/>
    </x:xf>
    <x:xf numFmtId="0" fontId="3" fillId="4" borderId="62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center" wrapText="1"/>
    </x:xf>
    <x:xf numFmtId="0" fontId="3" fillId="4" borderId="54" xfId="0" applyNumberFormat="1" applyFont="1" applyFill="1" applyBorder="1" applyAlignment="1">
      <x:alignment vertical="center" wrapText="1"/>
    </x:xf>
    <x:xf numFmtId="0" fontId="3" fillId="4" borderId="64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center" wrapText="1"/>
    </x:xf>
    <x:xf numFmtId="0" fontId="3" fillId="4" borderId="59" xfId="0" applyNumberFormat="1" applyFont="1" applyFill="1" applyBorder="1" applyAlignment="1">
      <x:alignment vertical="center" wrapText="1"/>
    </x:xf>
    <x:xf numFmtId="2" fontId="0" fillId="17" borderId="29" xfId="0" applyNumberFormat="1" applyFont="1" applyFill="1" applyBorder="1" applyAlignment="1">
      <x:alignment vertical="top" wrapText="1"/>
    </x:xf>
    <x:xf numFmtId="2" fontId="0" fillId="17" borderId="45" xfId="0" applyNumberFormat="1" applyFont="1" applyFill="1" applyBorder="1" applyAlignment="1">
      <x:alignment vertical="top" wrapText="1"/>
    </x:xf>
    <x:xf numFmtId="0" fontId="3" fillId="17" borderId="29" xfId="0" applyNumberFormat="1" applyFont="1" applyFill="1" applyBorder="1" applyAlignment="1">
      <x:alignment vertical="top" wrapText="1"/>
    </x:xf>
    <x:xf numFmtId="2" fontId="3" fillId="17" borderId="29" xfId="0" applyNumberFormat="1" applyFont="1" applyFill="1" applyBorder="1" applyAlignment="1">
      <x:alignment vertical="top" wrapText="1"/>
    </x:xf>
    <x:xf numFmtId="0" fontId="3" fillId="17" borderId="45" xfId="0" applyNumberFormat="1" applyFont="1" applyFill="1" applyBorder="1" applyAlignment="1">
      <x:alignment vertical="top" wrapText="1"/>
    </x:xf>
    <x:xf numFmtId="2" fontId="3" fillId="17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left" vertical="top" wrapText="1"/>
    </x:xf>
    <x:xf numFmtId="0" fontId="0" fillId="16" borderId="29" xfId="0" applyNumberFormat="1" applyFont="1" applyFill="1" applyBorder="1" applyAlignment="1">
      <x:alignment horizontal="left" vertical="top" wrapText="1"/>
    </x:xf>
    <x:xf numFmtId="164" fontId="0" fillId="16" borderId="45" xfId="0" applyNumberFormat="1" applyFont="1" applyFill="1" applyBorder="1" applyAlignment="1">
      <x:alignment horizontal="left" vertical="top" wrapText="1"/>
    </x:xf>
    <x:xf numFmtId="0" fontId="0" fillId="16" borderId="45" xfId="0" applyNumberFormat="1" applyFont="1" applyFill="1" applyBorder="1" applyAlignment="1">
      <x:alignment horizontal="left" vertical="top" wrapText="1"/>
    </x:xf>
    <x:xf numFmtId="164" fontId="0" fillId="16" borderId="29" xfId="0" applyNumberFormat="1" applyFont="1" applyFill="1" applyBorder="1" applyAlignment="1">
      <x:alignment vertical="top" wrapText="1"/>
    </x:xf>
    <x:xf numFmtId="164" fontId="0" fillId="16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center" vertical="top" wrapText="1"/>
    </x:xf>
    <x:xf numFmtId="164" fontId="0" fillId="16" borderId="45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 applyAlignment="1">
      <x:alignment vertical="center"/>
    </x:xf>
    <x:xf numFmtId="0" fontId="3" fillId="0" borderId="23" xfId="0" applyNumberFormat="1" applyFont="1" applyFill="1" applyBorder="1" applyAlignment="1">
      <x:alignment vertical="center"/>
    </x:xf>
    <x:xf numFmtId="0" fontId="3" fillId="4" borderId="5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29" xfId="0" applyNumberFormat="1" applyFont="1" applyFill="1" applyBorder="1" applyAlignment="1">
      <x:alignment vertical="top"/>
    </x:xf>
    <x:xf numFmtId="164" fontId="0" fillId="16" borderId="53" xfId="0" applyNumberFormat="1" applyFont="1" applyFill="1" applyBorder="1" applyAlignment="1">
      <x:alignment horizontal="left" vertical="top" wrapText="1"/>
    </x:xf>
    <x:xf numFmtId="0" fontId="3" fillId="4" borderId="32" xfId="0" applyNumberFormat="1" applyFont="1" applyFill="1" applyBorder="1" applyAlignment="1">
      <x:alignment horizontal="center" vertical="top"/>
    </x:xf>
    <x:xf numFmtId="0" fontId="0" fillId="16" borderId="53" xfId="0" applyNumberFormat="1" applyFont="1" applyFill="1" applyBorder="1" applyAlignment="1">
      <x:alignment horizontal="left" vertical="top" wrapText="1"/>
    </x:xf>
    <x:xf numFmtId="0" fontId="3" fillId="4" borderId="35" xfId="0" applyNumberFormat="1" applyFont="1" applyFill="1" applyBorder="1" applyAlignment="1">
      <x:alignment horizontal="center" vertical="top"/>
    </x:xf>
    <x:xf numFmtId="0" fontId="0" fillId="5" borderId="53" xfId="0" applyNumberFormat="1" applyFont="1" applyFill="1" applyBorder="1" applyAlignment="1">
      <x:alignment horizontal="left" vertical="top" wrapText="1"/>
    </x:xf>
    <x:xf numFmtId="0" fontId="3" fillId="4" borderId="54" xfId="0" applyNumberFormat="1" applyFont="1" applyFill="1" applyBorder="1" applyAlignment="1">
      <x:alignment vertical="top"/>
    </x:xf>
    <x:xf numFmtId="2" fontId="3" fillId="17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/>
    </x:xf>
    <x:xf numFmtId="0" fontId="3" fillId="4" borderId="66" xfId="0" applyNumberFormat="1" applyFont="1" applyFill="1" applyBorder="1" applyAlignment="1">
      <x:alignment horizontal="center" vertical="top"/>
    </x:xf>
    <x:xf numFmtId="0" fontId="3" fillId="0" borderId="37" xfId="0" applyNumberFormat="1" applyFont="1" applyFill="1" applyBorder="1" applyAlignment="1">
      <x:alignment vertical="center"/>
    </x:xf>
    <x:xf numFmtId="0" fontId="3" fillId="0" borderId="38" xfId="0" applyNumberFormat="1" applyFont="1" applyFill="1" applyBorder="1" applyAlignment="1">
      <x:alignment vertical="center"/>
    </x:xf>
    <x:xf numFmtId="0" fontId="3" fillId="0" borderId="39" xfId="0" applyNumberFormat="1" applyFont="1" applyFill="1" applyBorder="1" applyAlignment="1">
      <x:alignment vertical="center"/>
    </x:xf>
    <x:xf numFmtId="0" fontId="3" fillId="4" borderId="57" xfId="0" applyNumberFormat="1" applyFont="1" applyFill="1" applyBorder="1" applyAlignment="1">
      <x:alignment vertical="top"/>
    </x:xf>
    <x:xf numFmtId="164" fontId="0" fillId="16" borderId="58" xfId="0" applyNumberFormat="1" applyFont="1" applyFill="1" applyBorder="1" applyAlignment="1">
      <x:alignment horizontal="left" vertical="top" wrapText="1"/>
    </x:xf>
    <x:xf numFmtId="0" fontId="0" fillId="16" borderId="58" xfId="0" applyNumberFormat="1" applyFont="1" applyFill="1" applyBorder="1" applyAlignment="1">
      <x:alignment horizontal="left" vertical="top" wrapText="1"/>
    </x:xf>
    <x:xf numFmtId="0" fontId="0" fillId="5" borderId="58" xfId="0" applyNumberFormat="1" applyFont="1" applyFill="1" applyBorder="1" applyAlignment="1">
      <x:alignment horizontal="left" vertical="top" wrapText="1"/>
    </x:xf>
    <x:xf numFmtId="0" fontId="3" fillId="4" borderId="59" xfId="0" applyNumberFormat="1" applyFont="1" applyFill="1" applyBorder="1" applyAlignment="1">
      <x:alignment vertical="top"/>
    </x:xf>
    <x:xf numFmtId="2" fontId="3" fillId="17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/>
    </x:xf>
    <x:xf numFmtId="0" fontId="3" fillId="4" borderId="67" xfId="0" applyNumberFormat="1" applyFont="1" applyFill="1" applyBorder="1" applyAlignment="1">
      <x:alignment horizontal="center" vertical="top"/>
    </x:xf>
    <x:xf numFmtId="0" fontId="3" fillId="0" borderId="52" xfId="0" applyNumberFormat="1" applyFont="1" applyFill="1" applyBorder="1" applyAlignment="1">
      <x:alignment vertical="top"/>
    </x:xf>
    <x:xf numFmtId="0" fontId="3" fillId="0" borderId="29" xfId="0" applyNumberFormat="1" applyFont="1" applyFill="1" applyBorder="1" applyAlignment="1">
      <x:alignment horizontal="left"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/>
    </x:xf>
    <x:xf numFmtId="164" fontId="0" fillId="16" borderId="55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vertical="top"/>
    </x:xf>
    <x:xf numFmtId="0" fontId="0" fillId="0" borderId="58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/>
    </x:xf>
    <x:xf numFmtId="164" fontId="0" fillId="16" borderId="60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center"/>
    </x:xf>
    <x:xf numFmtId="0" fontId="0" fillId="16" borderId="53" xfId="0" applyNumberFormat="1" applyFont="1" applyFill="1" applyBorder="1" applyAlignment="1">
      <x:alignment horizontal="center" vertical="top" wrapText="1"/>
    </x:xf>
    <x:xf numFmtId="164" fontId="0" fillId="16" borderId="53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center"/>
    </x:xf>
    <x:xf numFmtId="164" fontId="0" fillId="16" borderId="56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horizontal="center" vertical="center"/>
    </x:xf>
    <x:xf numFmtId="0" fontId="0" fillId="16" borderId="58" xfId="0" applyNumberFormat="1" applyFont="1" applyFill="1" applyBorder="1" applyAlignment="1">
      <x:alignment horizontal="center" vertical="top" wrapText="1"/>
    </x:xf>
    <x:xf numFmtId="164" fontId="0" fillId="16" borderId="58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center"/>
    </x:xf>
    <x:xf numFmtId="164" fontId="0" fillId="16" borderId="61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top" wrapText="1"/>
    </x:xf>
    <x:xf numFmtId="0" fontId="3" fillId="4" borderId="29" xfId="0" applyNumberFormat="1" applyFont="1" applyFill="1" applyBorder="1" applyAlignment="1">
      <x:alignment vertical="top" wrapText="1"/>
    </x:xf>
    <x:xf numFmtId="0" fontId="3" fillId="4" borderId="32" xfId="0" applyNumberFormat="1" applyFont="1" applyFill="1" applyBorder="1" applyAlignment="1">
      <x:alignment horizontal="center" vertical="top" wrapText="1"/>
    </x:xf>
    <x:xf numFmtId="0" fontId="3" fillId="4" borderId="35" xfId="0" applyNumberFormat="1" applyFont="1" applyFill="1" applyBorder="1" applyAlignment="1">
      <x:alignment horizontal="center" vertical="top" wrapText="1"/>
    </x:xf>
    <x:xf numFmtId="0" fontId="3" fillId="4" borderId="54" xfId="0" applyNumberFormat="1" applyFont="1" applyFill="1" applyBorder="1" applyAlignment="1">
      <x:alignment vertical="top" wrapText="1"/>
    </x:xf>
    <x:xf numFmtId="0" fontId="3" fillId="4" borderId="66" xfId="0" applyNumberFormat="1" applyFont="1" applyFill="1" applyBorder="1" applyAlignment="1">
      <x:alignment horizontal="center" vertical="top" wrapText="1"/>
    </x:xf>
    <x:xf numFmtId="0" fontId="3" fillId="0" borderId="52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2" xfId="0" applyNumberFormat="1" applyFont="1" applyFill="1" applyBorder="1" applyAlignment="1">
      <x:alignment horizontal="center" vertical="center" wrapText="1"/>
    </x:xf>
    <x:xf numFmtId="0" fontId="3" fillId="0" borderId="54" xfId="0" applyNumberFormat="1" applyFont="1" applyFill="1" applyBorder="1" applyAlignment="1">
      <x:alignment horizontal="center" vertical="center" wrapText="1"/>
    </x:xf>
    <x:xf numFmtId="0" fontId="3" fillId="0" borderId="37" xfId="0" applyNumberFormat="1" applyFont="1" applyFill="1" applyBorder="1" applyAlignment="1">
      <x:alignment vertical="center" wrapText="1"/>
    </x:xf>
    <x:xf numFmtId="0" fontId="3" fillId="0" borderId="38" xfId="0" applyNumberFormat="1" applyFont="1" applyFill="1" applyBorder="1" applyAlignment="1">
      <x:alignment vertical="center" wrapText="1"/>
    </x:xf>
    <x:xf numFmtId="0" fontId="3" fillId="0" borderId="39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top" wrapText="1"/>
    </x:xf>
    <x:xf numFmtId="0" fontId="3" fillId="4" borderId="48" xfId="0" applyNumberFormat="1" applyFont="1" applyFill="1" applyBorder="1" applyAlignment="1">
      <x:alignment horizontal="center" vertical="top" wrapText="1"/>
    </x:xf>
    <x:xf numFmtId="0" fontId="3" fillId="4" borderId="51" xfId="0" applyNumberFormat="1" applyFont="1" applyFill="1" applyBorder="1" applyAlignment="1">
      <x:alignment horizontal="center" vertical="top" wrapText="1"/>
    </x:xf>
    <x:xf numFmtId="0" fontId="3" fillId="4" borderId="59" xfId="0" applyNumberFormat="1" applyFont="1" applyFill="1" applyBorder="1" applyAlignment="1">
      <x:alignment vertical="top" wrapText="1"/>
    </x:xf>
    <x:xf numFmtId="0" fontId="3" fillId="4" borderId="67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 wrapText="1"/>
    </x:xf>
    <x:xf numFmtId="0" fontId="3" fillId="0" borderId="36" xfId="0" applyNumberFormat="1" applyFont="1" applyFill="1" applyBorder="1" applyAlignment="1">
      <x:alignment vertical="center" wrapText="1"/>
    </x:xf>
    <x:xf numFmtId="0" fontId="3" fillId="0" borderId="57" xfId="0" applyNumberFormat="1" applyFont="1" applyFill="1" applyBorder="1" applyAlignment="1">
      <x:alignment horizontal="center" vertical="center" wrapText="1"/>
    </x:xf>
    <x:xf numFmtId="0" fontId="3" fillId="0" borderId="59" xfId="0" applyNumberFormat="1" applyFont="1" applyFill="1" applyBorder="1" applyAlignment="1">
      <x:alignment horizontal="center" vertical="center" wrapText="1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top" wrapText="1"/>
    </x:xf>
    <x:xf numFmtId="0" fontId="3" fillId="0" borderId="37" xfId="0" applyNumberFormat="1" applyFont="1" applyFill="1" applyBorder="1" applyAlignment="1">
      <x:alignment vertical="top" wrapText="1"/>
    </x:xf>
    <x:xf numFmtId="0" fontId="3" fillId="0" borderId="38" xfId="0" applyNumberFormat="1" applyFont="1" applyFill="1" applyBorder="1" applyAlignment="1">
      <x:alignment vertical="top" wrapText="1"/>
    </x:xf>
    <x:xf numFmtId="0" fontId="3" fillId="0" borderId="39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0" fillId="20" borderId="36" xfId="0" applyNumberFormat="1" applyFont="1" applyFill="1" applyBorder="1"/>
    <x:xf numFmtId="0" fontId="8" fillId="20" borderId="0" xfId="0" applyNumberFormat="1" applyFont="1" applyFill="1" applyBorder="1"/>
    <x:xf numFmtId="0" fontId="8" fillId="20" borderId="36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36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horizontal="center"/>
    </x:xf>
    <x:xf numFmtId="0" fontId="8" fillId="16" borderId="36" xfId="0" applyNumberFormat="1" applyFont="1" applyFill="1" applyBorder="1" applyAlignment="1">
      <x:alignment horizontal="center"/>
    </x:xf>
    <x:xf numFmtId="0" fontId="8" fillId="16" borderId="0" xfId="0" applyNumberFormat="1" applyFont="1" applyFill="1" applyBorder="1" applyAlignment="1">
      <x:alignment horizontal="center" vertical="center"/>
    </x:xf>
    <x:xf numFmtId="0" fontId="8" fillId="16" borderId="36" xfId="0" applyNumberFormat="1" applyFont="1" applyFill="1" applyBorder="1" applyAlignment="1">
      <x:alignment horizontal="center" vertical="center"/>
    </x:xf>
    <x:xf numFmtId="0" fontId="8" fillId="17" borderId="0" xfId="0" applyNumberFormat="1" applyFont="1" applyFill="1" applyBorder="1" applyAlignment="1">
      <x:alignment horizontal="center"/>
    </x:xf>
    <x:xf numFmtId="0" fontId="8" fillId="17" borderId="36" xfId="0" applyNumberFormat="1" applyFont="1" applyFill="1" applyBorder="1" applyAlignment="1">
      <x:alignment horizont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8" fillId="17" borderId="36" xfId="0" applyNumberFormat="1" applyFont="1" applyFill="1" applyBorder="1" applyAlignment="1">
      <x:alignment horizontal="center" vertical="center"/>
    </x:xf>
    <x:xf numFmtId="0" fontId="8" fillId="18" borderId="0" xfId="0" applyNumberFormat="1" applyFont="1" applyFill="1" applyBorder="1" applyAlignment="1">
      <x:alignment horizontal="center"/>
    </x:xf>
    <x:xf numFmtId="0" fontId="8" fillId="18" borderId="36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8" fillId="18" borderId="36" xfId="0" applyNumberFormat="1" applyFont="1" applyFill="1" applyBorder="1" applyAlignment="1">
      <x:alignment horizontal="center" vertical="center"/>
    </x:xf>
    <x:xf numFmtId="0" fontId="8" fillId="19" borderId="0" xfId="0" applyNumberFormat="1" applyFont="1" applyFill="1" applyBorder="1" applyAlignment="1">
      <x:alignment horizontal="center"/>
    </x:xf>
    <x:xf numFmtId="0" fontId="8" fillId="19" borderId="36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0" fontId="8" fillId="19" borderId="36" xfId="0" applyNumberFormat="1" applyFont="1" applyFill="1" applyBorder="1" applyAlignment="1">
      <x:alignment horizontal="center" vertical="center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8" fillId="16" borderId="36" xfId="0" applyNumberFormat="1" applyFont="1" applyFill="1" applyBorder="1" applyAlignment="1">
      <x:alignment horizontal="center" vertical="center" wrapText="1"/>
    </x:xf>
    <x:xf numFmtId="0" fontId="8" fillId="17" borderId="36" xfId="0" applyNumberFormat="1" applyFont="1" applyFill="1" applyBorder="1" applyAlignment="1">
      <x:alignment horizontal="center" vertical="center" wrapText="1"/>
    </x:xf>
    <x:xf numFmtId="0" fontId="8" fillId="18" borderId="36" xfId="0" applyNumberFormat="1" applyFont="1" applyFill="1" applyBorder="1" applyAlignment="1">
      <x:alignment horizontal="center" vertical="center" wrapText="1"/>
    </x:xf>
    <x:xf numFmtId="0" fontId="8" fillId="19" borderId="36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36" xfId="0" applyNumberFormat="1" applyFont="1" applyFill="1" applyBorder="1" applyAlignment="1">
      <x:alignment vertical="center"/>
    </x:xf>
    <x:xf numFmtId="0" fontId="0" fillId="21" borderId="36" xfId="0" applyNumberFormat="1" applyFont="1" applyFill="1" applyBorder="1" applyAlignment="1">
      <x:alignment vertical="top" wrapText="1"/>
    </x:xf>
    <x:xf numFmtId="0" fontId="9" fillId="18" borderId="29" xfId="0" applyNumberFormat="1" applyFont="1" applyFill="1" applyBorder="1" applyAlignment="1">
      <x:alignment horizontal="center" vertical="center" wrapText="1"/>
    </x:xf>
    <x:xf numFmtId="0" fontId="9" fillId="20" borderId="29" xfId="0" applyNumberFormat="1" applyFont="1" applyFill="1" applyBorder="1" applyAlignment="1">
      <x:alignment horizontal="center" vertical="center" wrapText="1"/>
    </x:xf>
    <x:xf numFmtId="0" fontId="9" fillId="16" borderId="29" xfId="0" applyNumberFormat="1" applyFont="1" applyFill="1" applyBorder="1" applyAlignment="1">
      <x:alignment horizontal="center" vertical="center" wrapText="1"/>
    </x:xf>
    <x:xf numFmtId="0" fontId="9" fillId="17" borderId="29" xfId="0" applyNumberFormat="1" applyFont="1" applyFill="1" applyBorder="1" applyAlignment="1">
      <x:alignment horizontal="center" vertical="center" wrapText="1"/>
    </x:xf>
    <x:xf numFmtId="0" fontId="9" fillId="19" borderId="29" xfId="0" applyNumberFormat="1" applyFont="1" applyFill="1" applyBorder="1" applyAlignment="1">
      <x:alignment horizontal="center" vertical="center" wrapText="1"/>
    </x:xf>
    <x:xf numFmtId="0" fontId="9" fillId="18" borderId="55" xfId="0" applyNumberFormat="1" applyFont="1" applyFill="1" applyBorder="1" applyAlignment="1">
      <x:alignment horizontal="center" vertical="center" wrapText="1"/>
    </x:xf>
    <x:xf numFmtId="0" fontId="9" fillId="20" borderId="55" xfId="0" applyNumberFormat="1" applyFont="1" applyFill="1" applyBorder="1" applyAlignment="1">
      <x:alignment horizontal="center" vertical="center" wrapText="1"/>
    </x:xf>
    <x:xf numFmtId="0" fontId="9" fillId="16" borderId="55" xfId="0" applyNumberFormat="1" applyFont="1" applyFill="1" applyBorder="1" applyAlignment="1">
      <x:alignment horizontal="center" vertical="center" wrapText="1"/>
    </x:xf>
    <x:xf numFmtId="0" fontId="9" fillId="17" borderId="55" xfId="0" applyNumberFormat="1" applyFont="1" applyFill="1" applyBorder="1" applyAlignment="1">
      <x:alignment horizontal="center" vertical="center" wrapText="1"/>
    </x:xf>
    <x:xf numFmtId="0" fontId="9" fillId="18" borderId="45" xfId="0" applyNumberFormat="1" applyFont="1" applyFill="1" applyBorder="1" applyAlignment="1">
      <x:alignment horizontal="center" vertical="center" wrapText="1"/>
    </x:xf>
    <x:xf numFmtId="0" fontId="9" fillId="20" borderId="45" xfId="0" applyNumberFormat="1" applyFont="1" applyFill="1" applyBorder="1" applyAlignment="1">
      <x:alignment horizontal="center" vertical="center" wrapText="1"/>
    </x:xf>
    <x:xf numFmtId="0" fontId="9" fillId="16" borderId="45" xfId="0" applyNumberFormat="1" applyFont="1" applyFill="1" applyBorder="1" applyAlignment="1">
      <x:alignment horizontal="center" vertical="center" wrapText="1"/>
    </x:xf>
    <x:xf numFmtId="0" fontId="9" fillId="17" borderId="45" xfId="0" applyNumberFormat="1" applyFont="1" applyFill="1" applyBorder="1" applyAlignment="1">
      <x:alignment horizontal="center" vertical="center" wrapText="1"/>
    </x:xf>
    <x:xf numFmtId="0" fontId="9" fillId="19" borderId="45" xfId="0" applyNumberFormat="1" applyFont="1" applyFill="1" applyBorder="1" applyAlignment="1">
      <x:alignment horizontal="center" vertical="center" wrapText="1"/>
    </x:xf>
    <x:xf numFmtId="0" fontId="9" fillId="18" borderId="60" xfId="0" applyNumberFormat="1" applyFont="1" applyFill="1" applyBorder="1" applyAlignment="1">
      <x:alignment horizontal="center" vertical="center" wrapText="1"/>
    </x:xf>
    <x:xf numFmtId="0" fontId="9" fillId="20" borderId="60" xfId="0" applyNumberFormat="1" applyFont="1" applyFill="1" applyBorder="1" applyAlignment="1">
      <x:alignment horizontal="center" vertical="center" wrapText="1"/>
    </x:xf>
    <x:xf numFmtId="0" fontId="9" fillId="16" borderId="60" xfId="0" applyNumberFormat="1" applyFont="1" applyFill="1" applyBorder="1" applyAlignment="1">
      <x:alignment horizontal="center" vertical="center" wrapText="1"/>
    </x:xf>
    <x:xf numFmtId="0" fontId="9" fillId="17" borderId="60" xfId="0" applyNumberFormat="1" applyFont="1" applyFill="1" applyBorder="1" applyAlignment="1">
      <x:alignment horizontal="center" vertical="center" wrapText="1"/>
    </x:xf>
    <x:xf numFmtId="0" fontId="3" fillId="16" borderId="63" xfId="0" applyNumberFormat="1" applyFont="1" applyFill="1" applyBorder="1" applyAlignment="1">
      <x:alignment vertical="top" wrapText="1"/>
    </x:xf>
    <x:xf numFmtId="0" fontId="3" fillId="16" borderId="65" xfId="0" applyNumberFormat="1" applyFont="1" applyFill="1" applyBorder="1" applyAlignment="1">
      <x:alignment vertical="top" wrapText="1"/>
    </x:xf>
    <x:xf numFmtId="0" fontId="3" fillId="16" borderId="63" xfId="0" applyNumberFormat="1" applyFont="1" applyFill="1" applyBorder="1" applyAlignment="1">
      <x:alignment horizontal="center" vertical="top" wrapText="1"/>
    </x:xf>
    <x:xf numFmtId="0" fontId="3" fillId="16" borderId="65" xfId="0" applyNumberFormat="1" applyFont="1" applyFill="1" applyBorder="1" applyAlignment="1">
      <x:alignment horizontal="center" vertical="top" wrapText="1"/>
    </x:xf>
    <x:xf numFmtId="0" fontId="3" fillId="16" borderId="63" xfId="0" applyNumberFormat="1" applyFont="1" applyFill="1" applyBorder="1" applyAlignment="1">
      <x:alignment horizontal="center" vertical="center" wrapText="1"/>
    </x:xf>
    <x:xf numFmtId="0" fontId="0" fillId="16" borderId="53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center" wrapText="1"/>
    </x:xf>
    <x:xf numFmtId="0" fontId="3" fillId="16" borderId="65" xfId="0" applyNumberFormat="1" applyFont="1" applyFill="1" applyBorder="1" applyAlignment="1">
      <x:alignment horizontal="center" vertical="center" wrapText="1"/>
    </x:xf>
    <x:xf numFmtId="0" fontId="0" fillId="16" borderId="58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6" fillId="11" borderId="21" xfId="0" applyNumberFormat="1" applyFont="1" applyFill="1" applyBorder="1"/>
    <x:xf numFmtId="0" fontId="6" fillId="11" borderId="22" xfId="0" applyNumberFormat="1" applyFont="1" applyFill="1" applyBorder="1"/>
    <x:xf numFmtId="0" fontId="6" fillId="11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5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4" fillId="13" borderId="24" xfId="0" applyNumberFormat="1" applyFont="1" applyFill="1" applyBorder="1" applyAlignment="1">
      <x:alignment wrapText="1"/>
    </x:xf>
    <x:xf numFmtId="0" fontId="4" fillId="13" borderId="25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/>
    </x:xf>
    <x:xf numFmtId="0" fontId="5" fillId="0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center" wrapText="1"/>
    </x:xf>
    <x:xf numFmtId="0" fontId="3" fillId="4" borderId="29" xfId="0" applyNumberFormat="1" applyFont="1" applyFill="1" applyBorder="1" applyAlignment="1">
      <x:alignment vertical="center"/>
    </x:xf>
    <x:xf numFmtId="0" fontId="0" fillId="6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center"/>
    </x:xf>
    <x:xf numFmtId="164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horizontal="left" vertical="top" wrapText="1"/>
    </x:xf>
    <x:xf numFmtId="0" fontId="3" fillId="4" borderId="29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3" fillId="0" borderId="29" xfId="0" applyNumberFormat="1" applyFont="1" applyFill="1" applyBorder="1" applyAlignment="1">
      <x:alignment horizontal="center" vertical="center"/>
    </x:xf>
    <x:xf numFmtId="164" fontId="0" fillId="0" borderId="29" xfId="0" applyNumberFormat="1" applyFont="1" applyFill="1" applyBorder="1" applyAlignment="1">
      <x:alignment horizontal="center" vertical="top" wrapText="1"/>
    </x:xf>
    <x:xf numFmtId="0" fontId="3" fillId="0" borderId="29" xfId="0" applyNumberFormat="1" applyFont="1" applyFill="1" applyBorder="1" applyAlignment="1">
      <x:alignment vertical="center"/>
    </x:xf>
    <x:xf numFmtId="164" fontId="0" fillId="0" borderId="29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30" xfId="0" applyNumberFormat="1" applyFont="1" applyFill="1" applyBorder="1" applyAlignment="1">
      <x:alignment horizontal="center" vertical="center" wrapText="1"/>
    </x:xf>
    <x:xf numFmtId="0" fontId="0" fillId="6" borderId="31" xfId="0" applyNumberFormat="1" applyFont="1" applyFill="1" applyBorder="1" applyAlignment="1">
      <x:alignment horizontal="center" vertical="center" wrapText="1"/>
    </x:xf>
    <x:xf numFmtId="0" fontId="0" fillId="15" borderId="29" xfId="0" applyNumberFormat="1" applyFont="1" applyFill="1" applyBorder="1" applyAlignment="1">
      <x:alignment horizontal="center" vertical="center" wrapText="1"/>
    </x:xf>
    <x:xf numFmtId="2" fontId="0" fillId="6" borderId="30" xfId="0" applyNumberFormat="1" applyFont="1" applyFill="1" applyBorder="1" applyAlignment="1">
      <x:alignment horizontal="center" vertical="center" wrapText="1"/>
    </x:xf>
    <x:xf numFmtId="2" fontId="0" fillId="6" borderId="31" xfId="0" applyNumberFormat="1" applyFont="1" applyFill="1" applyBorder="1" applyAlignment="1">
      <x:alignment horizontal="center" vertical="center" wrapText="1"/>
    </x:xf>
    <x:xf numFmtId="2" fontId="0" fillId="15" borderId="30" xfId="0" applyNumberFormat="1" applyFont="1" applyFill="1" applyBorder="1" applyAlignment="1">
      <x:alignment horizontal="center" vertical="center" wrapText="1"/>
    </x:xf>
    <x:xf numFmtId="2" fontId="0" fillId="15" borderId="3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center" vertical="center" wrapText="1"/>
    </x:xf>
    <x:xf numFmtId="0" fontId="3" fillId="4" borderId="3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0" borderId="34" xfId="0" applyNumberFormat="1" applyFont="1" applyFill="1" applyBorder="1"/>
    <x:xf numFmtId="0" fontId="0" fillId="5" borderId="29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horizontal="center" vertical="center"/>
    </x:xf>
    <x:xf numFmtId="0" fontId="3" fillId="4" borderId="32" xfId="0" applyNumberFormat="1" applyFont="1" applyFill="1" applyBorder="1" applyAlignment="1">
      <x:alignment horizontal="center" vertical="center"/>
    </x:xf>
    <x:xf numFmtId="0" fontId="3" fillId="4" borderId="35" xfId="0" applyNumberFormat="1" applyFont="1" applyFill="1" applyBorder="1" applyAlignment="1">
      <x:alignment horizontal="center" vertical="center"/>
    </x:xf>
    <x:xf numFmtId="0" fontId="3" fillId="4" borderId="33" xfId="0" applyNumberFormat="1" applyFont="1" applyFill="1" applyBorder="1" applyAlignment="1">
      <x:alignment horizontal="center" vertical="center"/>
    </x:xf>
    <x:xf numFmtId="2" fontId="0" fillId="6" borderId="29" xfId="0" applyNumberFormat="1" applyFont="1" applyFill="1" applyBorder="1" applyAlignment="1">
      <x:alignment horizontal="center" vertical="center" wrapText="1"/>
    </x:xf>
    <x:xf numFmtId="2" fontId="0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left" vertical="top" wrapText="1"/>
    </x:xf>
    <x:xf numFmtId="0" fontId="3" fillId="4" borderId="33" xfId="0" applyNumberFormat="1" applyFont="1" applyFill="1" applyBorder="1" applyAlignment="1">
      <x:alignment horizontal="center" vertical="top"/>
    </x:xf>
    <x:xf numFmtId="0" fontId="3" fillId="0" borderId="29" xfId="0" applyNumberFormat="1" applyFont="1" applyFill="1" applyBorder="1" applyAlignment="1">
      <x:alignment vertical="top"/>
    </x:xf>
    <x:xf numFmtId="0" fontId="8" fillId="5" borderId="0" xfId="0" applyNumberFormat="1" applyFont="1" applyFill="1" applyBorder="1"/>
    <x:xf numFmtId="0" fontId="8" fillId="6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top" wrapText="1"/>
    </x:xf>
    <x:xf numFmtId="0" fontId="0" fillId="4" borderId="55" xfId="0" applyNumberFormat="1" applyFont="1" applyFill="1" applyBorder="1" applyAlignment="1">
      <x:alignment vertical="top" wrapText="1"/>
    </x:xf>
    <x:xf numFmtId="0" fontId="0" fillId="5" borderId="55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horizontal="center" vertical="top" wrapText="1"/>
    </x:xf>
    <x:xf numFmtId="0" fontId="0" fillId="6" borderId="29" xfId="0" applyNumberFormat="1" applyFont="1" applyFill="1" applyBorder="1" applyAlignment="1">
      <x:alignment horizontal="center" vertical="top" wrapText="1"/>
    </x:xf>
    <x:xf numFmtId="0" fontId="0" fillId="4" borderId="55" xfId="0" applyNumberFormat="1" applyFont="1" applyFill="1" applyBorder="1" applyAlignment="1">
      <x:alignment horizontal="center" vertical="top" wrapText="1"/>
    </x:xf>
    <x:xf numFmtId="0" fontId="0" fillId="5" borderId="55" xfId="0" applyNumberFormat="1" applyFont="1" applyFill="1" applyBorder="1" applyAlignment="1">
      <x:alignment horizontal="center" vertical="top" wrapText="1"/>
    </x:xf>
    <x:xf numFmtId="0" fontId="0" fillId="6" borderId="55" xfId="0" applyNumberFormat="1" applyFont="1" applyFill="1" applyBorder="1" applyAlignment="1">
      <x:alignment horizontal="center" vertical="top" wrapText="1"/>
    </x:xf>
    <x:xf numFmtId="0" fontId="0" fillId="4" borderId="29" xfId="0" applyNumberFormat="1" applyFont="1" applyFill="1" applyBorder="1" applyAlignment="1">
      <x:alignment horizontal="center" vertical="center" wrapText="1"/>
    </x:xf>
    <x:xf numFmtId="0" fontId="0" fillId="5" borderId="29" xfId="0" applyNumberFormat="1" applyFont="1" applyFill="1" applyBorder="1" applyAlignment="1">
      <x:alignment horizontal="center" vertical="center" wrapText="1"/>
    </x:xf>
    <x:xf numFmtId="0" fontId="0" fillId="4" borderId="55" xfId="0" applyNumberFormat="1" applyFont="1" applyFill="1" applyBorder="1" applyAlignment="1">
      <x:alignment horizontal="center" vertical="center" wrapText="1"/>
    </x:xf>
    <x:xf numFmtId="0" fontId="0" fillId="5" borderId="55" xfId="0" applyNumberFormat="1" applyFont="1" applyFill="1" applyBorder="1" applyAlignment="1">
      <x:alignment horizontal="center" vertical="center" wrapText="1"/>
    </x:xf>
    <x:xf numFmtId="0" fontId="0" fillId="6" borderId="55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2" fontId="3" fillId="6" borderId="30" xfId="0" applyNumberFormat="1" applyFont="1" applyFill="1" applyBorder="1" applyAlignment="1">
      <x:alignment horizontal="center" vertical="center" wrapText="1"/>
    </x:xf>
    <x:xf numFmtId="0" fontId="3" fillId="6" borderId="29" xfId="0" applyNumberFormat="1" applyFont="1" applyFill="1" applyBorder="1" applyAlignment="1">
      <x:alignment horizontal="center" vertical="center" wrapText="1"/>
    </x:xf>
    <x:xf numFmtId="0" fontId="3" fillId="6" borderId="63" xfId="0" applyNumberFormat="1" applyFont="1" applyFill="1" applyBorder="1" applyAlignment="1">
      <x:alignment horizontal="center" vertical="center" wrapText="1"/>
    </x:xf>
    <x:xf numFmtId="0" fontId="3" fillId="6" borderId="53" xfId="0" applyNumberFormat="1" applyFont="1" applyFill="1" applyBorder="1" applyAlignment="1">
      <x:alignment horizontal="center" vertical="center" wrapText="1"/>
    </x:xf>
    <x:xf numFmtId="2" fontId="3" fillId="6" borderId="53" xfId="0" applyNumberFormat="1" applyFont="1" applyFill="1" applyBorder="1" applyAlignment="1">
      <x:alignment horizontal="center" vertical="center" wrapText="1"/>
    </x:xf>
    <x:xf numFmtId="0" fontId="3" fillId="6" borderId="56" xfId="0" applyNumberFormat="1" applyFont="1" applyFill="1" applyBorder="1" applyAlignment="1">
      <x:alignment horizontal="center" vertical="center" wrapText="1"/>
    </x:xf>
    <x:xf numFmtId="2" fontId="3" fillId="6" borderId="29" xfId="0" applyNumberFormat="1" applyFont="1" applyFill="1" applyBorder="1" applyAlignment="1">
      <x:alignment horizontal="center" vertical="center" wrapText="1"/>
    </x:xf>
    <x:xf numFmtId="0" fontId="0" fillId="4" borderId="29" xfId="0" applyNumberFormat="1" applyFont="1" applyFill="1" applyBorder="1" applyAlignment="1">
      <x:alignment horizontal="left" vertical="top" wrapText="1"/>
    </x:xf>
    <x:xf numFmtId="0" fontId="0" fillId="4" borderId="53" xfId="0" applyNumberFormat="1" applyFont="1" applyFill="1" applyBorder="1" applyAlignment="1">
      <x:alignment vertical="top" wrapText="1"/>
    </x:xf>
    <x:xf numFmtId="0" fontId="0" fillId="4" borderId="53" xfId="0" applyNumberFormat="1" applyFont="1" applyFill="1" applyBorder="1" applyAlignment="1">
      <x:alignment horizontal="left" vertical="top" wrapText="1"/>
    </x:xf>
    <x:xf numFmtId="0" fontId="0" fillId="5" borderId="63" xfId="0" applyNumberFormat="1" applyFont="1" applyFill="1" applyBorder="1" applyAlignment="1">
      <x:alignment vertical="top" wrapText="1"/>
    </x:xf>
    <x:xf numFmtId="0" fontId="3" fillId="6" borderId="29" xfId="0" applyNumberFormat="1" applyFont="1" applyFill="1" applyBorder="1" applyAlignment="1">
      <x:alignment vertical="top" wrapText="1"/>
    </x:xf>
    <x:xf numFmtId="2" fontId="3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left" vertical="top" wrapText="1"/>
    </x:xf>
    <x:xf numFmtId="2" fontId="3" fillId="6" borderId="55" xfId="0" applyNumberFormat="1" applyFont="1" applyFill="1" applyBorder="1" applyAlignment="1">
      <x:alignment vertical="top" wrapText="1"/>
    </x:xf>
    <x:xf numFmtId="164" fontId="0" fillId="5" borderId="55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center" vertical="top" wrapText="1"/>
    </x:xf>
    <x:xf numFmtId="164" fontId="0" fillId="5" borderId="56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4" borderId="29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 applyAlignment="1">
      <x:alignment horizontal="center" vertical="center" wrapText="1"/>
    </x:xf>
    <x:xf numFmtId="0" fontId="9" fillId="6" borderId="29" xfId="0" applyNumberFormat="1" applyFont="1" applyFill="1" applyBorder="1" applyAlignment="1">
      <x:alignment horizontal="center" vertical="center" wrapText="1"/>
    </x:xf>
    <x:xf numFmtId="0" fontId="9" fillId="4" borderId="55" xfId="0" applyNumberFormat="1" applyFont="1" applyFill="1" applyBorder="1" applyAlignment="1">
      <x:alignment horizontal="center" vertical="center" wrapText="1"/>
    </x:xf>
    <x:xf numFmtId="0" fontId="9" fillId="5" borderId="55" xfId="0" applyNumberFormat="1" applyFont="1" applyFill="1" applyBorder="1" applyAlignment="1">
      <x:alignment horizontal="center" vertical="center" wrapText="1"/>
    </x:xf>
    <x:xf numFmtId="0" fontId="9" fillId="6" borderId="55" xfId="0" applyNumberFormat="1" applyFont="1" applyFill="1" applyBorder="1" applyAlignment="1">
      <x:alignment horizontal="center" vertical="center" wrapText="1"/>
    </x:xf>
    <x:xf numFmtId="0" fontId="3" fillId="5" borderId="63" xfId="0" applyNumberFormat="1" applyFont="1" applyFill="1" applyBorder="1" applyAlignment="1">
      <x:alignment vertical="top" wrapText="1"/>
    </x:xf>
    <x:xf numFmtId="0" fontId="3" fillId="5" borderId="63" xfId="0" applyNumberFormat="1" applyFont="1" applyFill="1" applyBorder="1" applyAlignment="1">
      <x:alignment horizontal="center" vertical="top" wrapText="1"/>
    </x:xf>
    <x:xf numFmtId="0" fontId="3" fillId="5" borderId="63" xfId="0" applyNumberFormat="1" applyFont="1" applyFill="1" applyBorder="1" applyAlignment="1">
      <x:alignment horizontal="center" vertical="center" wrapText="1"/>
    </x:xf>
    <x:xf numFmtId="0" fontId="0" fillId="5" borderId="53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center" wrapText="1"/>
    </x:xf>
    <x:xf numFmtId="0" fontId="6" fillId="11" borderId="21" xfId="0" applyNumberFormat="1" applyFont="1" applyFill="1" applyBorder="1" applyAlignment="1">
      <x:alignment wrapText="1"/>
    </x:xf>
    <x:xf numFmtId="0" fontId="6" fillId="11" borderId="22" xfId="0" applyNumberFormat="1" applyFont="1" applyFill="1" applyBorder="1" applyAlignment="1">
      <x:alignment wrapText="1"/>
    </x:xf>
    <x:xf numFmtId="0" fontId="6" fillId="11" borderId="23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d245352d84d94" /><Relationship Type="http://schemas.openxmlformats.org/officeDocument/2006/relationships/theme" Target="/xl/theme/theme1.xml" Id="R82ba81d09ffd417c" /><Relationship Type="http://schemas.openxmlformats.org/officeDocument/2006/relationships/sharedStrings" Target="/xl/sharedStrings.xml" Id="R836a2a4dff024b6a" /><Relationship Type="http://schemas.openxmlformats.org/officeDocument/2006/relationships/worksheet" Target="/xl/worksheets/sheet1.xml" Id="Ra44168254e704914" /><Relationship Type="http://schemas.openxmlformats.org/officeDocument/2006/relationships/worksheet" Target="/xl/worksheets/sheet2.xml" Id="R517f955daf004784" /><Relationship Type="http://schemas.openxmlformats.org/officeDocument/2006/relationships/worksheet" Target="/xl/worksheets/sheet3.xml" Id="R2def22a2edf148f9" /><Relationship Type="http://schemas.openxmlformats.org/officeDocument/2006/relationships/worksheet" Target="/xl/worksheets/sheet4.xml" Id="R750d5051b9824b47" /><Relationship Type="http://schemas.openxmlformats.org/officeDocument/2006/relationships/worksheet" Target="/xl/worksheets/sheet5.xml" Id="Re71b5b70f4bb4fe3" /><Relationship Type="http://schemas.openxmlformats.org/officeDocument/2006/relationships/worksheet" Target="/xl/worksheets/sheet6.xml" Id="R52d2850486dc43d3" /><Relationship Type="http://schemas.openxmlformats.org/officeDocument/2006/relationships/worksheet" Target="/xl/worksheets/sheet7.xml" Id="Ra9b4e6defc8b4633" /><Relationship Type="http://schemas.openxmlformats.org/officeDocument/2006/relationships/worksheet" Target="/xl/worksheets/sheet8.xml" Id="R1c836099be6c44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1" customWidth="1"/>
    <x:col min="2" max="2" width="8" customWidth="1"/>
    <x:col min="3" max="3" width="38" customWidth="1"/>
    <x:col min="4" max="5" width="27" customWidth="1"/>
    <x:col min="6" max="6" width="22" customWidth="1"/>
    <x:col min="7" max="7" width="31" customWidth="1"/>
    <x:col min="8" max="8" width="9" customWidth="1"/>
    <x:col min="9" max="9" width="12" customWidth="1"/>
    <x:col min="10" max="10" width="31" customWidth="1"/>
    <x:col min="11" max="11" width="28" customWidth="1"/>
  </x:cols>
  <x:sheetData>
    <x:row r="1" ht="19.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63.7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47" t="str">
        <x:v>KUNING = input/reviewer</x:v>
      </x:c>
      <x:c r="C3" s="547" t="s">
        <x:v>3</x:v>
      </x:c>
      <x:c r="D3" s="548" t="str">
        <x:v>BIRU = data/hasil otomatis</x:v>
      </x:c>
      <x:c r="E3" s="548" t="str">
        <x:v>ABU = belum dapat dinilai</x:v>
      </x:c>
      <x:c r="F3" s="549" t="str">
        <x:v>HIJAU = dapat dinilai</x:v>
      </x:c>
      <x:c r="G3" s="549"/>
      <x:c r="H3" s="550" t="str">
        <x:v>ABU = belum dapat dinilai</x:v>
      </x:c>
      <x:c r="I3" s="550"/>
    </x:row>
    <x:row r="5" ht="15">
      <x:c r="A5" s="6" t="s">
        <x:v>4</x:v>
      </x:c>
      <x:c r="B5" s="6"/>
      <x:c r="C5" s="6"/>
      <x:c r="D5" s="6"/>
      <x:c r="E5" s="6"/>
      <x:c r="F5" s="555"/>
      <x:c r="G5" s="555"/>
      <x:c r="H5" s="555"/>
      <x:c r="I5" s="555"/>
      <x:c r="J5" s="555"/>
      <x:c r="K5" s="555"/>
    </x:row>
    <x:row r="6" ht="99.75" customHeight="1">
      <x:c r="A6" s="64" t="s">
        <x:v>5</x:v>
      </x:c>
      <x:c r="B6" s="245" t="str">
        <x:v>Universitas Maritim Raja Ali Haji (UMRAH)</x:v>
      </x:c>
      <x:c r="C6" s="106"/>
      <x:c r="D6" s="65" t="s">
        <x:v>6</x:v>
      </x:c>
      <x:c r="E6" s="247" t="str">
        <x:v>MoU Fasilitasi Tri Dharma Perguruan Tinggi dan Pelayanan Hukum — 19 Maret 2025</x:v>
      </x:c>
      <x:c r="F6" s="556"/>
      <x:c r="G6" s="556"/>
      <x:c r="H6" s="556"/>
      <x:c r="I6" s="556"/>
      <x:c r="J6" s="556"/>
      <x:c r="K6" s="556"/>
    </x:row>
    <x:row r="7" ht="117" customHeight="1">
      <x:c r="A7" s="66" t="s">
        <x:v>7</x:v>
      </x:c>
      <x:c r="B7" s="245" t="str">
        <x:v>Pendidikan/pengajaran; penelitian dan pengembangan hukum; pengabdian kepada masyarakat; MBKM; fasilitasi/penguatan KI; pengembangan kompetensi SDM; asistensi JDIH; dan kegiatan lain yang disepakati.</x:v>
      </x:c>
      <x:c r="C7" s="107"/>
      <x:c r="D7" s="67" t="s">
        <x:v>8</x:v>
      </x:c>
      <x:c r="E7" s="247" t="str">
        <x:v>Update pasca-baseline s.d. 27 September 2026</x:v>
      </x:c>
      <x:c r="F7" s="556"/>
      <x:c r="G7" s="556"/>
      <x:c r="H7" s="556"/>
      <x:c r="I7" s="556"/>
      <x:c r="J7" s="556"/>
      <x:c r="K7" s="556"/>
    </x:row>
    <x:row r="8" ht="99.75" customHeight="1">
      <x:c r="A8" s="66" t="s">
        <x:v>9</x:v>
      </x:c>
      <x:c r="B8" s="249" t="str">
        <x:v>Pokja Data / Reviewer</x:v>
      </x:c>
      <x:c r="C8" s="107"/>
      <x:c r="D8" s="67" t="s">
        <x:v>10</x:v>
      </x:c>
      <x:c r="E8" s="251" t="str">
        <x:v>27 September 2026</x:v>
      </x:c>
      <x:c r="F8" s="556"/>
      <x:c r="G8" s="556"/>
      <x:c r="H8" s="556"/>
      <x:c r="I8" s="556"/>
      <x:c r="J8" s="556"/>
      <x:c r="K8" s="556"/>
    </x:row>
    <x:row r="9" ht="120.75" customHeight="1">
      <x:c r="A9" s="68" t="s">
        <x:v>11</x:v>
      </x:c>
      <x:c r="B9" s="245" t="str">
        <x:v>PIC internal dan PIC mitra belum terkonfirmasi dalam evidence terbaru. Form evidence P06 yang disiapkan masih belum diisi.</x:v>
      </x:c>
      <x:c r="C9" s="108"/>
      <x:c r="D9" s="69" t="s">
        <x:v>12</x:v>
      </x:c>
      <x:c r="E9" s="247" t="str">
        <x:v>19 Maret 2025 s.d. 18 Maret 2030 — usia perjanjian 557 hari (&gt;6 bulan)</x:v>
      </x:c>
      <x:c r="F9" s="556"/>
      <x:c r="G9" s="556"/>
      <x:c r="H9" s="556"/>
      <x:c r="I9" s="556"/>
      <x:c r="J9" s="556"/>
      <x:c r="K9" s="556"/>
    </x:row>
    <x:row r="11" ht="15">
      <x:c r="A11" s="6" t="s">
        <x:v>13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15">
      <x:c r="A12" s="267" t="s">
        <x:v>14</x:v>
      </x:c>
      <x:c r="B12" s="268" t="s">
        <x:v>15</x:v>
      </x:c>
      <x:c r="C12" s="268" t="s">
        <x:v>16</x:v>
      </x:c>
      <x:c r="D12" s="268" t="s">
        <x:v>17</x:v>
      </x:c>
      <x:c r="E12" s="268" t="s">
        <x:v>18</x:v>
      </x:c>
      <x:c r="F12" s="268" t="s">
        <x:v>19</x:v>
      </x:c>
      <x:c r="G12" s="268" t="s">
        <x:v>20</x:v>
      </x:c>
      <x:c r="H12" s="268" t="s">
        <x:v>21</x:v>
      </x:c>
      <x:c r="I12" s="268" t="s">
        <x:v>22</x:v>
      </x:c>
      <x:c r="J12" s="268" t="s">
        <x:v>23</x:v>
      </x:c>
      <x:c r="K12" s="269" t="s">
        <x:v>24</x:v>
      </x:c>
    </x:row>
    <x:row r="13" ht="81.94999694824219" customHeight="1">
      <x:c r="A13" s="270" t="s">
        <x:v>25</x:v>
      </x:c>
      <x:c r="B13" s="271">
        <x:v>10</x:v>
      </x:c>
      <x:c r="C13" s="272" t="s">
        <x:v>26</x:v>
      </x:c>
      <x:c r="D13" s="253" t="str">
        <x:v>Unit pengampu, PIC internal, PIC mitra, dan rencana tindak lanjut: BELUM TERSEDIA pada final baseline.</x:v>
      </x:c>
      <x:c r="E13" s="255" t="str">
        <x:v>Tidak ada evidence baru yang menunjukkan penetapan PIC, pembagian peran, mekanisme koordinasi, atau rencana tindak lanjut operasional. Form evidence P06 masih kosong.</x:v>
      </x:c>
      <x:c r="F13" s="559" t="str">
        <x:v>DAPAT DINILAI</x:v>
      </x:c>
      <x:c r="G13" s="560" t="str">
        <x:v>Final Baseline P06; Eviden_P06_UMRAH.xlsx belum terisi substantif.</x:v>
      </x:c>
      <x:c r="H13" s="561" t="n">
        <x:v>0</x:v>
      </x:c>
      <x:c r="I13" s="562" t="n">
        <x:f t="shared" ref="I13:I19" si="0">IF(F13="DAPAT DINILAI",IF(ISNUMBER(H13),H13/4*B13,""),"")</x:f>
        <x:v>0</x:v>
      </x:c>
      <x:c r="J13" s="257" t="str">
        <x:v>Setelah lebih dari 18 bulan, penanggung jawab dan tindak lanjut masih belum dapat ditentukan secara memadai. Rubrik I1 skor 0.</x:v>
      </x:c>
      <x:c r="K13" s="273" t="str">
        <x:v>Tetapkan PIC internal/mitra dan susun rencana aksi seluruh ruang lingkup dengan target waktu.</x:v>
      </x:c>
    </x:row>
    <x:row r="14" ht="81.94999694824219" customHeight="1">
      <x:c r="A14" s="270" t="s">
        <x:v>27</x:v>
      </x:c>
      <x:c r="B14" s="271">
        <x:v>15</x:v>
      </x:c>
      <x:c r="C14" s="272" t="s">
        <x:v>28</x:v>
      </x:c>
      <x:c r="D14" s="253" t="str">
        <x:v>Pelaksanaan dan hasil: BELUM TERVERIFIKASI; baseline mencatat indikasi kegiatan bersama melalui sertifikat peserta magang.</x:v>
      </x:c>
      <x:c r="E14" s="255" t="str">
        <x:v>Belum ada evidence baru. Satu-satunya jejak implementasi yang dapat ditelusuri tetap berupa sertifikat peserta magang; keterkaitan kegiatan lain dengan MoU belum terverifikasi.</x:v>
      </x:c>
      <x:c r="F14" s="559" t="str">
        <x:v>DAPAT DINILAI</x:v>
      </x:c>
      <x:c r="G14" s="560" t="str">
        <x:v>Final Baseline P06 — sertifikat peserta magang; Eviden_P06_UMRAH.xlsx kosong.</x:v>
      </x:c>
      <x:c r="H14" s="561" t="n">
        <x:v>1</x:v>
      </x:c>
      <x:c r="I14" s="562" t="n">
        <x:f t="shared" si="0">IF(F14="DAPAT DINILAI",IF(ISNUMBER(H14),H14/4*B14,""),"")</x:f>
        <x:v>3.75</x:v>
      </x:c>
      <x:c r="J14" s="257" t="str">
        <x:v>Terdapat tindak lanjut sangat terbatas/indikatif, tetapi belum menunjukkan implementasi utama yang konsisten. Rubrik I2 skor 1.</x:v>
      </x:c>
      <x:c r="K14" s="273" t="str">
        <x:v>Verifikasi kegiatan magang dan himpun bukti kegiatan lain; aktifkan ruang lingkup yang belum berjalan.</x:v>
      </x:c>
    </x:row>
    <x:row r="15" ht="81.94999694824219" customHeight="1">
      <x:c r="A15" s="270" t="s">
        <x:v>29</x:v>
      </x:c>
      <x:c r="B15" s="271">
        <x:v>15</x:v>
      </x:c>
      <x:c r="C15" s="272" t="s">
        <x:v>30</x:v>
      </x:c>
      <x:c r="D15" s="253" t="str">
        <x:v>Output implementasi belum terverifikasi; bukti yang tersedia hanya sertifikat peserta magang.</x:v>
      </x:c>
      <x:c r="E15" s="255" t="str">
        <x:v>Output yang dapat ditelusuri masih sangat terbatas pada bukti sertifikat peserta magang; belum ada paket output lain yang dapat diverifikasi.</x:v>
      </x:c>
      <x:c r="F15" s="559" t="str">
        <x:v>DAPAT DINILAI</x:v>
      </x:c>
      <x:c r="G15" s="560" t="str">
        <x:v>Sertifikat peserta magang pada baseline; belum ada evidence baru.</x:v>
      </x:c>
      <x:c r="H15" s="561" t="n">
        <x:v>1</x:v>
      </x:c>
      <x:c r="I15" s="562" t="n">
        <x:f t="shared" si="0">IF(F15="DAPAT DINILAI",IF(ISNUMBER(H15),H15/4*B15,""),"")</x:f>
        <x:v>3.75</x:v>
      </x:c>
      <x:c r="J15" s="257" t="str">
        <x:v>Output sangat terbatas. Rubrik I3 skor 1.</x:v>
      </x:c>
      <x:c r="K15" s="273" t="str">
        <x:v>Tetapkan output minimum per ruang lingkup dan dokumentasikan hasil kegiatan.</x:v>
      </x:c>
    </x:row>
    <x:row r="16" ht="81.94999694824219" customHeight="1">
      <x:c r="A16" s="270" t="s">
        <x:v>31</x:v>
      </x:c>
      <x:c r="B16" s="271">
        <x:v>20</x:v>
      </x:c>
      <x:c r="C16" s="272" t="s">
        <x:v>32</x:v>
      </x:c>
      <x:c r="D16" s="253" t="str">
        <x:v>Final baseline belum memiliki data outcome/manfaat terukur.</x:v>
      </x:c>
      <x:c r="E16" s="255" t="str">
        <x:v>Setelah lebih dari 18 bulan, belum ditemukan bukti manfaat/perubahan yang dapat ditelusuri secara memadai dari implementasi kerja sama.</x:v>
      </x:c>
      <x:c r="F16" s="563" t="str">
        <x:v>DAPAT DINILAI</x:v>
      </x:c>
      <x:c r="G16" s="560" t="str">
        <x:v>Final Baseline P06; tidak ada data outcome baru pada form evidence.</x:v>
      </x:c>
      <x:c r="H16" s="563" t="n">
        <x:v>0</x:v>
      </x:c>
      <x:c r="I16" s="563" t="n">
        <x:f t="shared" si="0">IF(F16="DAPAT DINILAI",IF(ISNUMBER(H16),H16/4*B16,""),"")</x:f>
        <x:v>0</x:v>
      </x:c>
      <x:c r="J16" s="257" t="str">
        <x:v>Sudah cukup waktu untuk menilai, tetapi manfaat/perubahan belum dapat dibuktikan. Rubrik I4 skor 0.</x:v>
      </x:c>
      <x:c r="K16" s="273" t="str">
        <x:v>Mulai ukur manfaat kegiatan: peserta, kompetensi, layanan hukum, hasil Tri Dharma, dan pemanfaatan KI.</x:v>
      </x:c>
    </x:row>
    <x:row r="17" ht="81.94999694824219" customHeight="1">
      <x:c r="A17" s="270" t="s">
        <x:v>33</x:v>
      </x:c>
      <x:c r="B17" s="271">
        <x:v>20</x:v>
      </x:c>
      <x:c r="C17" s="272" t="s">
        <x:v>34</x:v>
      </x:c>
      <x:c r="D17" s="253" t="str">
        <x:v>Final baseline belum memiliki data kontribusi/dampak terhadap kinerja atau pelayanan.</x:v>
      </x:c>
      <x:c r="E17" s="255" t="str">
        <x:v>Belum ada evidence yang menghubungkan implementasi kerja sama dengan sasaran kinerja organisasi atau pelayanan hukum.</x:v>
      </x:c>
      <x:c r="F17" s="563" t="str">
        <x:v>DAPAT DINILAI</x:v>
      </x:c>
      <x:c r="G17" s="560" t="str">
        <x:v>Final Baseline P06; tidak ada evidence kontribusi baru.</x:v>
      </x:c>
      <x:c r="H17" s="563" t="n">
        <x:v>0</x:v>
      </x:c>
      <x:c r="I17" s="563" t="n">
        <x:f t="shared" si="0">IF(F17="DAPAT DINILAI",IF(ISNUMBER(H17),H17/4*B17,""),"")</x:f>
        <x:v>0</x:v>
      </x:c>
      <x:c r="J17" s="257" t="str">
        <x:v>Sudah layak dinilai tetapi kontribusi belum dapat dibuktikan. Rubrik I5 skor 0.</x:v>
      </x:c>
      <x:c r="K17" s="273" t="str">
        <x:v>Hubungkan output/outcome dengan indikator layanan hukum, Tri Dharma, kompetensi, KI, dan JDIH.</x:v>
      </x:c>
    </x:row>
    <x:row r="18" ht="81.94999694824219" customHeight="1">
      <x:c r="A18" s="270" t="s">
        <x:v>35</x:v>
      </x:c>
      <x:c r="B18" s="271">
        <x:v>10</x:v>
      </x:c>
      <x:c r="C18" s="272" t="s">
        <x:v>36</x:v>
      </x:c>
      <x:c r="D18" s="253" t="str">
        <x:v>P2MA terverifikasi, tetapi arsip resmi dan evidence implementasi belum tersedia; sertifikat magang menjadi satu bukti terbatas.</x:v>
      </x:c>
      <x:c r="E18" s="255" t="str">
        <x:v>Evidence implementasi tetap sangat terbatas dan belum terkonsolidasi; form evidence baru belum diisi.</x:v>
      </x:c>
      <x:c r="F18" s="559" t="str">
        <x:v>DAPAT DINILAI</x:v>
      </x:c>
      <x:c r="G18" s="560" t="str">
        <x:v>P2MA/naskah; sertifikat peserta magang; Eviden_P06_UMRAH.xlsx kosong.</x:v>
      </x:c>
      <x:c r="H18" s="561" t="n">
        <x:v>1</x:v>
      </x:c>
      <x:c r="I18" s="562" t="n">
        <x:f t="shared" si="0">IF(F18="DAPAT DINILAI",IF(ISNUMBER(H18),H18/4*B18,""),"")</x:f>
        <x:v>2.5</x:v>
      </x:c>
      <x:c r="J18" s="257" t="str">
        <x:v>Evidence sangat terbatas, tersebar, dan belum cukup untuk keseluruhan portofolio. Rubrik I6 skor 1.</x:v>
      </x:c>
      <x:c r="K18" s="273" t="str">
        <x:v>Bangun repository P06, lengkapi arsip resmi, dan indeks evidence per ruang lingkup.</x:v>
      </x:c>
    </x:row>
    <x:row r="19" ht="81.94999694824219" customHeight="1">
      <x:c r="A19" s="274" t="s">
        <x:v>37</x:v>
      </x:c>
      <x:c r="B19" s="275">
        <x:v>10</x:v>
      </x:c>
      <x:c r="C19" s="276" t="s">
        <x:v>38</x:v>
      </x:c>
      <x:c r="D19" s="277" t="str">
        <x:v>Gap mencakup arsip resmi, unit pengampu, PIC, RTL, keterkaitan kegiatan dengan MoU, dan evidence implementasi.</x:v>
      </x:c>
      <x:c r="E19" s="278" t="str">
        <x:v>Risiko/gap tersebut masih relevan dan belum tampak penanganan yang terstruktur.</x:v>
      </x:c>
      <x:c r="F19" s="564" t="str">
        <x:v>DAPAT DINILAI</x:v>
      </x:c>
      <x:c r="G19" s="565" t="str">
        <x:v>Final Baseline P06; form evidence baru belum menambah data mitigasi.</x:v>
      </x:c>
      <x:c r="H19" s="566" t="n">
        <x:v>1</x:v>
      </x:c>
      <x:c r="I19" s="567" t="n">
        <x:f t="shared" si="0">IF(F19="DAPAT DINILAI",IF(ISNUMBER(H19),H19/4*B19,""),"")</x:f>
        <x:v>2.5</x:v>
      </x:c>
      <x:c r="J19" s="280" t="str">
        <x:v>Risiko diketahui tetapi penanganannya lemah. Rubrik I7 skor 1.</x:v>
      </x:c>
      <x:c r="K19" s="282" t="str">
        <x:v>Tetapkan owner risiko, target perbaikan, dan review triwulanan.</x:v>
      </x:c>
    </x:row>
    <x:row r="21" ht="39" customHeight="1">
      <x:c r="A21" s="6" t="s">
        <x:v>39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28.5" customHeight="1">
      <x:c r="A22" s="343" t="s">
        <x:v>40</x:v>
      </x:c>
      <x:c r="B22" s="344" t="n">
        <x:f>COUNTIF($F$13:$F$19,"DAPAT DINILAI")</x:f>
        <x:v>7</x:v>
      </x:c>
      <x:c r="C22" s="99"/>
      <x:c r="E22" s="81"/>
      <x:c r="F22" s="81"/>
      <x:c r="H22" s="31" t="s">
        <x:v>41</x:v>
      </x:c>
      <x:c r="I22" s="31"/>
      <x:c r="J22" s="31"/>
      <x:c r="K22" s="31"/>
    </x:row>
    <x:row r="23" ht="33.95000076293945" customHeight="1">
      <x:c r="A23" s="345" t="s">
        <x:v>42</x:v>
      </x:c>
      <x:c r="B23" s="346" t="n">
        <x:f>COUNTIF($F$13:$F$19,"BELUM DAPAT DINILAI")</x:f>
        <x:v>0</x:v>
      </x:c>
      <x:c r="C23" s="99"/>
      <x:c r="H23" s="79" t="s">
        <x:v>43</x:v>
      </x:c>
      <x:c r="I23" s="97" t="s">
        <x:v>44</x:v>
      </x:c>
      <x:c r="J23" s="97"/>
      <x:c r="K23" s="78"/>
    </x:row>
    <x:row r="24" ht="33.95000076293945" customHeight="1">
      <x:c r="A24" s="345" t="s">
        <x:v>45</x:v>
      </x:c>
      <x:c r="B24" s="346" t="n">
        <x:f>COUNTIF($F$13:$F$19,"BUKTI BELUM MEMADAI")</x:f>
        <x:v>0</x:v>
      </x:c>
      <x:c r="C24" s="99"/>
      <x:c r="H24" s="79" t="s">
        <x:v>46</x:v>
      </x:c>
      <x:c r="I24" s="97" t="s">
        <x:v>47</x:v>
      </x:c>
      <x:c r="J24" s="97"/>
      <x:c r="K24" s="77"/>
    </x:row>
    <x:row r="25" ht="33.95000076293945" customHeight="1">
      <x:c r="A25" s="345" t="s">
        <x:v>48</x:v>
      </x:c>
      <x:c r="B25" s="347" t="n">
        <x:f>SUMIF($F$13:$F$19,"DAPAT DINILAI",$B$13:$B$19)</x:f>
        <x:v>100</x:v>
      </x:c>
      <x:c r="C25" s="103"/>
      <x:c r="H25" s="79" t="s">
        <x:v>49</x:v>
      </x:c>
      <x:c r="I25" s="97" t="s">
        <x:v>50</x:v>
      </x:c>
      <x:c r="J25" s="97"/>
      <x:c r="K25" s="27"/>
    </x:row>
    <x:row r="26" ht="33.95000076293945" customHeight="1">
      <x:c r="A26" s="345" t="s">
        <x:v>51</x:v>
      </x:c>
      <x:c r="B26" s="347" t="n">
        <x:f>IF(B22=7,SUM($I$13:$I$19),"")</x:f>
        <x:v>12.5</x:v>
      </x:c>
      <x:c r="C26" s="105"/>
      <x:c r="H26" s="79" t="s">
        <x:v>52</x:v>
      </x:c>
      <x:c r="I26" s="97" t="s">
        <x:v>53</x:v>
      </x:c>
      <x:c r="J26" s="97"/>
      <x:c r="K26" s="20"/>
    </x:row>
    <x:row r="27" ht="33.95000076293945" customHeight="1">
      <x:c r="A27" s="345" t="s">
        <x:v>54</x:v>
      </x:c>
      <x:c r="B27" s="346" t="str">
        <x:f>IF(B24&gt;0,"BUKTI BELUM MEMADAI",IF(B22=7,"SIAP DIVALIDASI",IF(B23&gt;0,"MASA IMPLEMENTASI AWAL",IF(B22=0,"BELUM DINILAI","DALAM PENILAIAN"))))</x:f>
        <x:v>SIAP DIVALIDASI</x:v>
      </x:c>
      <x:c r="C27" s="100"/>
      <x:c r="H27" s="79" t="s">
        <x:v>55</x:v>
      </x:c>
      <x:c r="I27" s="97" t="s">
        <x:v>56</x:v>
      </x:c>
      <x:c r="J27" s="97"/>
      <x:c r="K27" s="23"/>
    </x:row>
    <x:row r="28" ht="31.5" customHeight="1">
      <x:c r="A28" s="348" t="s">
        <x:v>57</x:v>
      </x:c>
      <x:c r="B28" s="349" t="str">
        <x:f>IF(B26="","",IF(B26&gt;=80,"KUAT",IF(B26&gt;=60,"CUKUP / PERLU PENGUATAN",IF(B26&gt;=40,"PERLU PERBAIKAN","KRITIS"))))</x:f>
        <x:v>KRITIS</x:v>
      </x:c>
      <x:c r="C28" s="101"/>
    </x:row>
  </x:sheetData>
  <x:mergeCells>
    <x:mergeCell ref="B6:C6"/>
    <x:mergeCell ref="B7:C7"/>
    <x:mergeCell ref="B8:C8"/>
    <x:mergeCell ref="B9:C9"/>
    <x:mergeCell ref="B22:C22"/>
    <x:mergeCell ref="B27:C27"/>
    <x:mergeCell ref="B28:C28"/>
    <x:mergeCell ref="B23:C23"/>
    <x:mergeCell ref="B24:C24"/>
    <x:mergeCell ref="B25:C25"/>
    <x:mergeCell ref="B26:C26"/>
    <x:mergeCell ref="I23:J23"/>
    <x:mergeCell ref="I24:J24"/>
    <x:mergeCell ref="I25:J25"/>
    <x:mergeCell ref="I26:J26"/>
    <x:mergeCell ref="I27:J27"/>
    <x:mergeCell ref="B3:C3"/>
    <x:mergeCell ref="D3:E3"/>
    <x:mergeCell ref="F3:G3"/>
    <x:mergeCell ref="H3:I3"/>
  </x:mergeCells>
  <x:conditionalFormatting sqref="F13:F19">
    <x:cfRule type="expression" dxfId="9" priority="1">
      <x:formula>F13="DAPAT DINILAI"</x:formula>
    </x:cfRule>
    <x:cfRule type="expression" dxfId="8" priority="2">
      <x:formula>F13="BUKTI BELUM MEMADAI"</x:formula>
    </x:cfRule>
    <x:cfRule type="expression" dxfId="7" priority="3">
      <x:formula>F13="BELUM DAPAT DINILAI"</x:formula>
    </x:cfRule>
  </x:conditionalFormatting>
  <x:conditionalFormatting sqref="H13:H19">
    <x:cfRule type="expression" dxfId="6" priority="4">
      <x:formula>AND($F13="DAPAT DINILAI",$H13="")</x:formula>
    </x:cfRule>
    <x:cfRule type="expression" dxfId="5" priority="5">
      <x:formula>AND($F13&lt;&gt;"DAPAT DINILAI",$H13&lt;&gt;"")</x:formula>
    </x:cfRule>
  </x:conditionalFormatting>
  <x:dataValidations count="2">
    <x:dataValidation type="list" sqref="F13:F19">
      <x:formula1>"DAPAT DINILAI,BUKTI BELUM MEMADAI,BELUM DAPAT DINILAI"</x:formula1>
    </x:dataValidation>
    <x:dataValidation sqref="H13:H19">
      <x:formula1>0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0.25" customWidth="1"/>
    <x:col min="2" max="2" width="16.875" customWidth="1"/>
    <x:col min="3" max="3" width="28.5" customWidth="1"/>
    <x:col min="4" max="4" width="26" customWidth="1"/>
    <x:col min="5" max="5" width="23.5" customWidth="1"/>
    <x:col min="6" max="6" width="14.125" customWidth="1"/>
    <x:col min="7" max="7" width="14.375" customWidth="1"/>
    <x:col min="8" max="8" width="3" customWidth="1"/>
    <x:col min="9" max="9" width="13.875" customWidth="1"/>
    <x:col min="10" max="10" width="23.375" customWidth="1"/>
    <x:col min="11" max="11" width="20" customWidth="1"/>
  </x:cols>
  <x:sheetData>
    <x:row r="1" ht="19.5">
      <x:c r="A1" s="1" t="s">
        <x:v>58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59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input/keputusan</x:v>
      </x:c>
      <x:c r="C3" s="533" t="s">
        <x:v>3</x:v>
      </x:c>
      <x:c r="D3" s="537" t="str">
        <x:v>BIRU = hasil otomatis/ringkasan</x:v>
      </x:c>
      <x:c r="E3" s="537" t="str">
        <x:v>KUNING = perhatian</x:v>
      </x:c>
    </x:row>
    <x:row r="5" ht="15">
      <x:c r="A5" s="6" t="s">
        <x:v>60</x:v>
      </x:c>
      <x:c r="B5" s="6"/>
      <x:c r="C5" s="6"/>
      <x:c r="D5" s="6" t="s">
        <x:v>61</x:v>
      </x:c>
      <x:c r="E5" s="6"/>
      <x:c r="F5" s="6"/>
      <x:c r="G5" s="6"/>
      <x:c r="H5" s="6"/>
      <x:c r="I5" s="6"/>
      <x:c r="J5" s="6"/>
      <x:c r="K5" s="6"/>
    </x:row>
    <x:row r="6" s="128" customFormat="1" ht="42.75">
      <x:c r="A6" s="75" t="s">
        <x:v>54</x:v>
      </x:c>
      <x:c r="B6" s="339" t="str">
        <x:f>PENILAIAN!B27</x:f>
        <x:v>SIAP DIVALIDASI</x:v>
      </x:c>
      <x:c r="D6" s="132" t="s">
        <x:v>62</x:v>
      </x:c>
      <x:c r="E6" s="299" t="str">
        <x:v>IMPLEMENTASI SANGAT TERBATAS / TATA KELOLA BELUM KUAT</x:v>
      </x:c>
      <x:c r="F6" s="131"/>
      <x:c r="G6" s="131"/>
      <x:c r="H6" s="129"/>
      <x:c r="I6" s="129"/>
      <x:c r="J6" s="129"/>
      <x:c r="K6" s="129"/>
    </x:row>
    <x:row r="7" s="128" customFormat="1" ht="21.75" customHeight="1">
      <x:c r="A7" s="75" t="s">
        <x:v>63</x:v>
      </x:c>
      <x:c r="B7" s="359" t="n">
        <x:f>IF(PENILAIAN!B26="","",PENILAIAN!B26)</x:f>
        <x:v>12.5</x:v>
      </x:c>
      <x:c r="D7" s="133" t="s">
        <x:v>64</x:v>
      </x:c>
      <x:c r="E7" s="299" t="str">
        <x:v>MoU telah berjalan lebih dari 18 bulan, namun evidence implementasi masih sangat terbatas dan belum tersedia PIC/rencana aksi operasional yang jelas.</x:v>
      </x:c>
      <x:c r="F7" s="131"/>
      <x:c r="G7" s="131"/>
    </x:row>
    <x:row r="8" s="128" customFormat="1" ht="21" customHeight="1">
      <x:c r="A8" s="75" t="s">
        <x:v>57</x:v>
      </x:c>
      <x:c r="B8" s="359" t="str">
        <x:f>IF(PENILAIAN!B28="","",PENILAIAN!B28)</x:f>
        <x:v>KRITIS</x:v>
      </x:c>
      <x:c r="D8" s="134"/>
      <x:c r="E8" s="131"/>
      <x:c r="F8" s="131"/>
      <x:c r="G8" s="131"/>
    </x:row>
    <x:row r="9" s="128" customFormat="1" ht="15">
      <x:c r="A9" s="75" t="s">
        <x:v>65</x:v>
      </x:c>
      <x:c r="B9" s="359" t="n">
        <x:f>PENILAIAN!B22</x:f>
        <x:v>7</x:v>
      </x:c>
      <x:c r="D9" s="135"/>
      <x:c r="E9" s="131"/>
      <x:c r="F9" s="131"/>
      <x:c r="G9" s="131"/>
    </x:row>
    <x:row r="10" s="128" customFormat="1" ht="15">
      <x:c r="A10" s="75" t="s">
        <x:v>66</x:v>
      </x:c>
      <x:c r="B10" s="359" t="n">
        <x:f>PENILAIAN!B23</x:f>
        <x:v>0</x:v>
      </x:c>
    </x:row>
    <x:row r="11" s="128" customFormat="1" ht="15">
      <x:c r="A11" s="75" t="s">
        <x:v>67</x:v>
      </x:c>
      <x:c r="B11" s="359" t="n">
        <x:f>PENILAIAN!B24</x:f>
        <x:v>0</x:v>
      </x:c>
    </x:row>
    <x:row r="12" s="130" customFormat="1" ht="15">
      <x:c r="A12" s="75" t="s">
        <x:v>68</x:v>
      </x:c>
      <x:c r="B12" s="359" t="n">
        <x:f>PENILAIAN!B25</x:f>
        <x:v>100</x:v>
      </x:c>
    </x:row>
    <x:row r="14" ht="15">
      <x:c r="A14" s="6" t="s">
        <x:v>69</x:v>
      </x:c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15">
      <x:c r="A15" s="400" t="s">
        <x:v>70</x:v>
      </x:c>
      <x:c r="B15" s="401" t="s">
        <x:v>71</x:v>
      </x:c>
      <x:c r="C15" s="401" t="s">
        <x:v>72</x:v>
      </x:c>
      <x:c r="D15" s="401" t="s">
        <x:v>73</x:v>
      </x:c>
      <x:c r="E15" s="401" t="s">
        <x:v>74</x:v>
      </x:c>
      <x:c r="F15" s="401" t="s">
        <x:v>75</x:v>
      </x:c>
      <x:c r="G15" s="401" t="s">
        <x:v>76</x:v>
      </x:c>
      <x:c r="H15" s="402"/>
      <x:c r="I15" s="403" t="s">
        <x:v>77</x:v>
      </x:c>
      <x:c r="J15" s="404"/>
    </x:row>
    <x:row r="16" s="83" customFormat="1" ht="73.5" customHeight="1">
      <x:c r="A16" s="270" t="str">
        <x:v>Masa berlaku</x:v>
      </x:c>
      <x:c r="B16" s="297" t="str">
        <x:v>E0 - Normal</x:v>
      </x:c>
      <x:c r="C16" s="361" t="str">
        <x:v>MoU berlaku 19 Maret 2025 s.d. 18 Maret 2030.</x:v>
      </x:c>
      <x:c r="D16" s="361" t="str">
        <x:v>Pertahankan monitoring masa berlaku.</x:v>
      </x:c>
      <x:c r="E16" s="361" t="str">
        <x:v>Pengelola kerja sama</x:v>
      </x:c>
      <x:c r="F16" s="362" t="str">
        <x:v>Review berkala</x:v>
      </x:c>
      <x:c r="G16" s="361" t="str">
        <x:v>BERJALAN</x:v>
      </x:c>
      <x:c r="H16" s="405"/>
      <x:c r="I16" s="365" t="s">
        <x:v>78</x:v>
      </x:c>
      <x:c r="J16" s="375" t="str">
        <x:f>IF(COUNTIF($B$16:$B$19,"E3 - Kritis")&gt;0,"E3 - Kritis",IF(COUNTIF($B$16:$B$19,"E2 - Perlu Tindakan")&gt;0,"E2 - Perlu Tindakan",IF(COUNTIF($B$16:$B$19,"E1 - Perhatian")&gt;0,"E1 - Perhatian",IF(COUNTIF($B$16:$B$19,"E0 - Normal")&gt;0,"E0 - Normal","V0 - Data belum cukup"))))</x:f>
        <x:v>E2 - Perlu Tindakan</x:v>
      </x:c>
    </x:row>
    <x:row r="17" s="83" customFormat="1" ht="73.5" customHeight="1">
      <x:c r="A17" s="270" t="str">
        <x:v>Pelaksanaan / tenggat</x:v>
      </x:c>
      <x:c r="B17" s="299" t="str">
        <x:v>E2 - Perlu Tindakan</x:v>
      </x:c>
      <x:c r="C17" s="361" t="str">
        <x:v>Implementasi hanya terindikasi melalui bukti magang dan belum terverifikasi luas.</x:v>
      </x:c>
      <x:c r="D17" s="361" t="str">
        <x:v>Verifikasi kegiatan yang pernah dilakukan dan susun kalender implementasi.</x:v>
      </x:c>
      <x:c r="E17" s="361" t="str">
        <x:v>PIC/pengampu P06</x:v>
      </x:c>
      <x:c r="F17" s="362" t="str">
        <x:v>Triwulan IV 2026</x:v>
      </x:c>
      <x:c r="G17" s="361" t="str">
        <x:v>PERLU TINDAKAN</x:v>
      </x:c>
      <x:c r="H17" s="405"/>
      <x:c r="I17" s="366" t="s">
        <x:v>79</x:v>
      </x:c>
      <x:c r="J17" s="376" t="s">
        <x:v>80</x:v>
      </x:c>
    </x:row>
    <x:row r="18" s="83" customFormat="1" ht="73.5" customHeight="1">
      <x:c r="A18" s="270" t="str">
        <x:v>Data / evidence</x:v>
      </x:c>
      <x:c r="B18" s="299" t="str">
        <x:v>E2 - Perlu Tindakan</x:v>
      </x:c>
      <x:c r="C18" s="361" t="str">
        <x:v>Evidence sangat terbatas dan belum terkonsolidasi.</x:v>
      </x:c>
      <x:c r="D18" s="361" t="str">
        <x:v>Bangun repository evidence dan lengkapi bukti kegiatan.</x:v>
      </x:c>
      <x:c r="E18" s="361" t="str">
        <x:v>Pengelola + PIC</x:v>
      </x:c>
      <x:c r="F18" s="362" t="str">
        <x:v>Oktober 2026</x:v>
      </x:c>
      <x:c r="G18" s="361" t="str">
        <x:v>PERLU TINDAKAN</x:v>
      </x:c>
      <x:c r="H18" s="405"/>
      <x:c r="I18" s="366" t="s">
        <x:v>81</x:v>
      </x:c>
      <x:c r="J18" s="376" t="str">
        <x:v>Prioritas P06 adalah membentuk tata kelola operasional, memverifikasi implementasi yang pernah terjadi, dan membangun evidence.</x:v>
      </x:c>
    </x:row>
    <x:row r="19" s="83" customFormat="1" ht="104.25" customHeight="1">
      <x:c r="A19" s="274" t="str">
        <x:v>Penanggung jawab / koordinasi</x:v>
      </x:c>
      <x:c r="B19" s="304" t="str">
        <x:v>E2 - Perlu Tindakan</x:v>
      </x:c>
      <x:c r="C19" s="377" t="str">
        <x:v>PIC internal/mitra dan RTL belum terdokumentasi.</x:v>
      </x:c>
      <x:c r="D19" s="377" t="str">
        <x:v>Tetapkan PIC dan rencana aksi formal.</x:v>
      </x:c>
      <x:c r="E19" s="377" t="str">
        <x:v>Pengelola kerja sama</x:v>
      </x:c>
      <x:c r="F19" s="378" t="str">
        <x:v>Oktober 2026</x:v>
      </x:c>
      <x:c r="G19" s="377" t="str">
        <x:v>PERLU TINDAKAN</x:v>
      </x:c>
      <x:c r="H19" s="406"/>
      <x:c r="I19" s="380"/>
      <x:c r="J19" s="381"/>
    </x:row>
    <x:row r="21" ht="15">
      <x:c r="A21" s="6" t="s">
        <x:v>82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44" customHeight="1">
      <x:c r="A22" s="415" t="s">
        <x:v>83</x:v>
      </x:c>
      <x:c r="B22" s="718" t="str">
        <x:v>TIDAK</x:v>
      </x:c>
      <x:c r="D22" s="112" t="s">
        <x:v>84</x:v>
      </x:c>
      <x:c r="E22" s="111" t="s">
        <x:v>85</x:v>
      </x:c>
      <x:c r="F22" s="111"/>
      <x:c r="G22" s="17"/>
      <x:c r="H22" s="17"/>
      <x:c r="I22" s="17"/>
      <x:c r="J22" s="17"/>
      <x:c r="K22" s="18"/>
    </x:row>
    <x:row r="23" ht="50" customHeight="1">
      <x:c r="A23" s="416" t="s">
        <x:v>86</x:v>
      </x:c>
      <x:c r="B23" s="719" t="str">
        <x:v>Masih dapat diselesaikan pada level pengelola/unit pengampu</x:v>
      </x:c>
      <x:c r="D23" s="113"/>
      <x:c r="E23" s="111"/>
      <x:c r="F23" s="111"/>
      <x:c r="G23" s="20"/>
      <x:c r="H23" s="20"/>
      <x:c r="I23" s="20"/>
      <x:c r="J23" s="20"/>
      <x:c r="K23" s="21"/>
    </x:row>
    <x:row r="24" ht="105" customHeight="1">
      <x:c r="A24" s="417" t="s">
        <x:v>87</x:v>
      </x:c>
      <x:c r="B24" s="720" t="str">
        <x:v>Belum perlu keputusan pimpinan, tetapi keterlambatan penetapan PIC/rencana aksi perlu segera ditangani.</x:v>
      </x:c>
      <x:c r="D24" s="22"/>
      <x:c r="E24" s="23"/>
      <x:c r="F24" s="23"/>
      <x:c r="G24" s="23"/>
      <x:c r="H24" s="23"/>
      <x:c r="I24" s="23"/>
      <x:c r="J24" s="23"/>
      <x:c r="K24" s="24"/>
    </x:row>
  </x:sheetData>
  <x:mergeCells>
    <x:mergeCell ref="E6:G6"/>
    <x:mergeCell ref="E7:G9"/>
    <x:mergeCell ref="D7:D9"/>
    <x:mergeCell ref="J18:J19"/>
    <x:mergeCell ref="I18:I19"/>
    <x:mergeCell ref="E22:F23"/>
    <x:mergeCell ref="D22:D23"/>
    <x:mergeCell ref="B3:C3"/>
    <x:mergeCell ref="D3:E3"/>
  </x:mergeCells>
  <x:conditionalFormatting sqref="B16:B19">
    <x:cfRule type="expression" dxfId="4" priority="1">
      <x:formula>B16="V0 - Data belum cukup"</x:formula>
    </x:cfRule>
    <x:cfRule type="expression" dxfId="3" priority="2">
      <x:formula>B16="E0 - Normal"</x:formula>
    </x:cfRule>
    <x:cfRule type="expression" dxfId="2" priority="3">
      <x:formula>B16="E1 - Perhatian"</x:formula>
    </x:cfRule>
    <x:cfRule type="expression" dxfId="1" priority="4">
      <x:formula>B16="E2 - Perlu Tindakan"</x:formula>
    </x:cfRule>
    <x:cfRule type="expression" dxfId="0" priority="5">
      <x:formula>B16="E3 - Kritis"</x:formula>
    </x:cfRule>
  </x:conditionalFormatting>
  <x:dataValidations count="6">
    <x:dataValidation type="list" sqref="E6">
      <x:formula1>"BELUM DAPAT DITENTUKAN,AKTIF,OUTPUT,OUTCOME,KONTRIBUSI / DAMPAK"</x:formula1>
    </x:dataValidation>
    <x:dataValidation type="list" sqref="B16:B19">
      <x:formula1>"V0 - Data belum cukup,E0 - Normal,E1 - Perhatian,E2 - Perlu Tindakan,E3 - Kritis"</x:formula1>
    </x:dataValidation>
    <x:dataValidation type="list" sqref="G16:G19">
      <x:formula1>"BELUM MULAI,PROSES,SELESAI"</x:formula1>
    </x:dataValidation>
    <x:dataValidation type="list" sqref="J17">
      <x:formula1>"BELUM DITINDAKLANJUTI,DALAM PROSES,SELESAI"</x:formula1>
    </x:dataValidation>
    <x:dataValidation type="list" sqref="B22">
      <x:formula1>"TIDAK,YA,BELUM DAPAT DIPASTIKAN"</x:formula1>
    </x:dataValidation>
    <x:dataValidation type="list" sqref="B23">
      <x:formula1>"Tidak diperlukan,Keputusan keberlanjutan / perpanjangan / penghentian,Hambatan lintas unit / kewenangan,Komitmen mitra,Risiko material / strategis,Kebutuhan sumber daya / kebijakan,Lainnya"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customWidth="1"/>
    <x:col min="2" max="2" width="26" customWidth="1"/>
    <x:col min="3" max="3" width="3" customWidth="1"/>
    <x:col min="4" max="4" width="15.5" customWidth="1"/>
    <x:col min="5" max="5" width="30" customWidth="1"/>
    <x:col min="6" max="7" width="18" customWidth="1"/>
    <x:col min="8" max="9" width="20" customWidth="1"/>
    <x:col min="10" max="11" width="22" customWidth="1"/>
  </x:cols>
  <x:sheetData>
    <x:row r="1" ht="19.5">
      <x:c r="A1" s="1" t="s">
        <x:v>88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input/validasi/keputusan</x:v>
      </x:c>
      <x:c r="C3" s="533" t="s">
        <x:v>3</x:v>
      </x:c>
      <x:c r="D3" s="537" t="str">
        <x:v>BIRU = ringkasan/hasil otomatis</x:v>
      </x:c>
      <x:c r="E3" s="537" t="str">
        <x:v>BIRU = ringkasan otomatis</x:v>
      </x:c>
    </x:row>
    <x:row r="5" ht="15">
      <x:c r="A5" s="511" t="s">
        <x:v>90</x:v>
      </x:c>
      <x:c r="B5" s="512"/>
      <x:c r="C5" s="512"/>
      <x:c r="D5" s="512" t="s">
        <x:v>91</x:v>
      </x:c>
      <x:c r="E5" s="513"/>
      <x:c r="F5" s="81"/>
      <x:c r="G5" s="81"/>
      <x:c r="H5" s="81"/>
      <x:c r="I5" s="81"/>
      <x:c r="J5" s="81"/>
      <x:c r="K5" s="81"/>
    </x:row>
    <x:row r="6" ht="28.5">
      <x:c r="A6" s="487" t="s">
        <x:v>54</x:v>
      </x:c>
      <x:c r="B6" s="423" t="str">
        <x:f>PENILAIAN!B27</x:f>
        <x:v>SIAP DIVALIDASI</x:v>
      </x:c>
      <x:c r="C6" s="405"/>
      <x:c r="D6" s="488" t="s">
        <x:v>92</x:v>
      </x:c>
      <x:c r="E6" s="273" t="str">
        <x:v>DRAFT — BELUM DIVALIDASI</x:v>
      </x:c>
    </x:row>
    <x:row r="7" ht="15">
      <x:c r="A7" s="487" t="s">
        <x:v>63</x:v>
      </x:c>
      <x:c r="B7" s="424" t="n">
        <x:f>IF(PENILAIAN!B26="","",PENILAIAN!B26)</x:f>
        <x:v>12.5</x:v>
      </x:c>
      <x:c r="C7" s="405"/>
      <x:c r="D7" s="488" t="s">
        <x:v>93</x:v>
      </x:c>
      <x:c r="E7" s="273"/>
    </x:row>
    <x:row r="8" ht="15">
      <x:c r="A8" s="487" t="s">
        <x:v>57</x:v>
      </x:c>
      <x:c r="B8" s="424" t="str">
        <x:f>IF(PENILAIAN!B28="","",PENILAIAN!B28)</x:f>
        <x:v>KRITIS</x:v>
      </x:c>
      <x:c r="C8" s="405"/>
      <x:c r="D8" s="488" t="s">
        <x:v>94</x:v>
      </x:c>
      <x:c r="E8" s="441"/>
    </x:row>
    <x:row r="9" ht="33" customHeight="1">
      <x:c r="A9" s="487" t="s">
        <x:v>62</x:v>
      </x:c>
      <x:c r="B9" s="424" t="str">
        <x:f>IF(KENDALI!E6="","",KENDALI!E6)</x:f>
        <x:v>IMPLEMENTASI SANGAT TERBATAS / TATA KELOLA BELUM KUAT</x:v>
      </x:c>
      <x:c r="C9" s="405"/>
      <x:c r="D9" s="489" t="s">
        <x:v>95</x:v>
      </x:c>
      <x:c r="E9" s="443" t="str">
        <x:v>Penilaian menggunakan Final Baseline P06 dan form evidence P06 yang masih belum terisi substantif. Karena MoU &gt;6 bulan, seluruh I1–I7 dinilai.</x:v>
      </x:c>
    </x:row>
    <x:row r="10" ht="33" customHeight="1">
      <x:c r="A10" s="487" t="s">
        <x:v>78</x:v>
      </x:c>
      <x:c r="B10" s="424" t="str">
        <x:f>IF(KENDALI!J16="","",KENDALI!J16)</x:f>
        <x:v>E2 - Perlu Tindakan</x:v>
      </x:c>
      <x:c r="C10" s="405"/>
      <x:c r="D10" s="490"/>
      <x:c r="E10" s="445"/>
    </x:row>
    <x:row r="11" ht="15">
      <x:c r="A11" s="487" t="s">
        <x:v>96</x:v>
      </x:c>
      <x:c r="B11" s="424" t="str">
        <x:f>IF(KENDALI!B22="","",KENDALI!B22)</x:f>
        <x:v>TIDAK</x:v>
      </x:c>
      <x:c r="C11" s="405"/>
      <x:c r="D11" s="490"/>
      <x:c r="E11" s="445"/>
    </x:row>
    <x:row r="12" ht="15">
      <x:c r="A12" s="487" t="s">
        <x:v>66</x:v>
      </x:c>
      <x:c r="B12" s="424" t="n">
        <x:f>PENILAIAN!B23</x:f>
        <x:v>0</x:v>
      </x:c>
      <x:c r="C12" s="405"/>
      <x:c r="D12" s="490"/>
      <x:c r="E12" s="445"/>
    </x:row>
    <x:row r="13" ht="15">
      <x:c r="A13" s="491" t="s">
        <x:v>67</x:v>
      </x:c>
      <x:c r="B13" s="447" t="n">
        <x:f>PENILAIAN!B24</x:f>
        <x:v>0</x:v>
      </x:c>
      <x:c r="C13" s="406"/>
      <x:c r="D13" s="492"/>
      <x:c r="E13" s="381"/>
    </x:row>
    <x:row r="14">
      <x:c r="A14" s="405"/>
      <x:c r="B14" s="405"/>
      <x:c r="C14" s="405"/>
      <x:c r="D14" s="405"/>
      <x:c r="E14" s="405"/>
    </x:row>
    <x:row r="15" ht="15">
      <x:c r="A15" s="511" t="s">
        <x:v>97</x:v>
      </x:c>
      <x:c r="B15" s="512"/>
      <x:c r="C15" s="512"/>
      <x:c r="D15" s="512"/>
      <x:c r="E15" s="513"/>
      <x:c r="F15" s="81"/>
      <x:c r="G15" s="81"/>
      <x:c r="H15" s="81"/>
      <x:c r="I15" s="81"/>
      <x:c r="J15" s="81"/>
      <x:c r="K15" s="81"/>
    </x:row>
    <x:row r="16" ht="180" customHeight="1">
      <x:c r="A16" s="493" t="s">
        <x:v>98</x:v>
      </x:c>
      <x:c r="B16" s="255" t="str">
        <x:v>Dibanding baseline, belum terdapat tambahan evidence substantif. Jejak implementasi yang dapat ditelusuri masih terbatas pada sertifikat peserta magang, sementara PIC, RTL, outcome, dan kontribusi belum terbukti.</x:v>
      </x:c>
      <x:c r="C16" s="405"/>
      <x:c r="D16" s="462" t="s">
        <x:v>84</x:v>
      </x:c>
      <x:c r="E16" s="463" t="s">
        <x:v>99</x:v>
      </x:c>
      <x:c r="F16" s="25"/>
      <x:c r="G16" s="25"/>
      <x:c r="H16" s="25"/>
      <x:c r="I16" s="25"/>
      <x:c r="J16" s="25"/>
      <x:c r="K16" s="26"/>
    </x:row>
    <x:row r="17" ht="87.75" customHeight="1">
      <x:c r="A17" s="493" t="s">
        <x:v>100</x:v>
      </x:c>
      <x:c r="B17" s="257" t="str">
        <x:v>SEGERA BENTUK TATA KELOLA OPERASIONAL DAN AKTIFKAN IMPLEMENTASI</x:v>
      </x:c>
      <x:c r="C17" s="405"/>
      <x:c r="D17" s="405"/>
      <x:c r="E17" s="464"/>
      <x:c r="F17" s="27"/>
      <x:c r="G17" s="27"/>
      <x:c r="H17" s="27"/>
      <x:c r="I17" s="27"/>
      <x:c r="J17" s="27"/>
      <x:c r="K17" s="28"/>
    </x:row>
    <x:row r="18" ht="167.25" customHeight="1">
      <x:c r="A18" s="493" t="s">
        <x:v>86</x:v>
      </x:c>
      <x:c r="B18" s="257" t="str">
        <x:v>Usia kerja sama sudah panjang, tetapi implementasi dan evidence belum berkembang memadai.</x:v>
      </x:c>
      <x:c r="C18" s="405"/>
      <x:c r="D18" s="405"/>
      <x:c r="E18" s="464"/>
      <x:c r="F18" s="29"/>
      <x:c r="G18" s="29"/>
      <x:c r="H18" s="29"/>
      <x:c r="I18" s="29"/>
      <x:c r="J18" s="29"/>
      <x:c r="K18" s="30"/>
    </x:row>
    <x:row r="19" ht="215.25" customHeight="1">
      <x:c r="A19" s="493" t="s">
        <x:v>101</x:v>
      </x:c>
      <x:c r="B19" s="257" t="str">
        <x:v>1) Tetapkan PIC; 2) verifikasi kegiatan magang/kegiatan lain; 3) susun rencana aksi tahunan; 4) aktifkan ruang lingkup prioritas; 5) konsolidasikan evidence; 6) ukur outcome; 7) review triwulanan.</x:v>
      </x:c>
      <x:c r="C19" s="405"/>
      <x:c r="D19" s="405"/>
      <x:c r="E19" s="464"/>
      <x:c r="F19" s="27"/>
      <x:c r="G19" s="27"/>
      <x:c r="H19" s="27"/>
      <x:c r="I19" s="27"/>
      <x:c r="J19" s="27"/>
      <x:c r="K19" s="28"/>
    </x:row>
    <x:row r="20" ht="81.75" customHeight="1">
      <x:c r="A20" s="493" t="s">
        <x:v>74</x:v>
      </x:c>
      <x:c r="B20" s="257" t="str">
        <x:v>Pengelola kerja sama dan unit pengampu Kanwil bersama UMRAH</x:v>
      </x:c>
      <x:c r="C20" s="405"/>
      <x:c r="D20" s="405"/>
      <x:c r="E20" s="464"/>
      <x:c r="F20" s="27"/>
      <x:c r="G20" s="27"/>
      <x:c r="H20" s="27"/>
      <x:c r="I20" s="27"/>
      <x:c r="J20" s="27"/>
      <x:c r="K20" s="28"/>
    </x:row>
    <x:row r="21" ht="69" customHeight="1">
      <x:c r="A21" s="514" t="s">
        <x:v>102</x:v>
      </x:c>
      <x:c r="B21" s="466" t="str">
        <x:v>Pembenahan tata kelola pada Oktober 2026; aktivasi kegiatan pada Triwulan IV 2026</x:v>
      </x:c>
      <x:c r="C21" s="406"/>
      <x:c r="D21" s="406"/>
      <x:c r="E21" s="467"/>
      <x:c r="F21" s="29"/>
      <x:c r="G21" s="29"/>
      <x:c r="H21" s="29"/>
      <x:c r="I21" s="29"/>
      <x:c r="J21" s="29"/>
      <x:c r="K21" s="30"/>
    </x:row>
    <x:row r="22">
      <x:c r="A22" s="405"/>
      <x:c r="B22" s="405"/>
      <x:c r="C22" s="405"/>
      <x:c r="D22" s="405"/>
      <x:c r="E22" s="405"/>
    </x:row>
    <x:row r="23" ht="15">
      <x:c r="A23" s="511" t="s">
        <x:v>103</x:v>
      </x:c>
      <x:c r="B23" s="513"/>
      <x:c r="C23" s="515"/>
      <x:c r="D23" s="515"/>
      <x:c r="E23" s="515"/>
      <x:c r="F23" s="81"/>
      <x:c r="G23" s="81"/>
      <x:c r="H23" s="81"/>
      <x:c r="I23" s="81"/>
      <x:c r="J23" s="81"/>
      <x:c r="K23" s="81"/>
    </x:row>
    <x:row r="24" ht="15">
      <x:c r="A24" s="516" t="s">
        <x:v>104</x:v>
      </x:c>
      <x:c r="B24" s="475" t="str">
        <x:v>BELUM DIPUTUSKAN</x:v>
      </x:c>
      <x:c r="C24" s="405"/>
      <x:c r="D24" s="405"/>
      <x:c r="E24" s="405"/>
      <x:c r="F24" s="25"/>
      <x:c r="G24" s="25"/>
      <x:c r="H24" s="25"/>
      <x:c r="I24" s="25"/>
      <x:c r="J24" s="25"/>
      <x:c r="K24" s="26"/>
    </x:row>
    <x:row r="25" ht="15">
      <x:c r="A25" s="516" t="s">
        <x:v>105</x:v>
      </x:c>
      <x:c r="B25" s="475" t="str">
        <x:v>-</x:v>
      </x:c>
      <x:c r="C25" s="405"/>
      <x:c r="D25" s="405"/>
      <x:c r="E25" s="405"/>
      <x:c r="F25" s="27"/>
      <x:c r="G25" s="27"/>
      <x:c r="H25" s="27"/>
      <x:c r="I25" s="27"/>
      <x:c r="J25" s="27"/>
      <x:c r="K25" s="28"/>
    </x:row>
    <x:row r="26" ht="15">
      <x:c r="A26" s="516" t="s">
        <x:v>106</x:v>
      </x:c>
      <x:c r="B26" s="476" t="str">
        <x:v>-</x:v>
      </x:c>
      <x:c r="C26" s="405"/>
      <x:c r="D26" s="405"/>
      <x:c r="E26" s="405"/>
      <x:c r="F26" s="27"/>
      <x:c r="G26" s="27"/>
      <x:c r="H26" s="27"/>
      <x:c r="I26" s="27"/>
      <x:c r="J26" s="27"/>
      <x:c r="K26" s="28"/>
    </x:row>
    <x:row r="27" ht="15">
      <x:c r="A27" s="516" t="s">
        <x:v>107</x:v>
      </x:c>
      <x:c r="B27" s="475" t="str">
        <x:v>-</x:v>
      </x:c>
      <x:c r="C27" s="405"/>
      <x:c r="D27" s="405"/>
      <x:c r="E27" s="405"/>
      <x:c r="F27" s="27"/>
      <x:c r="G27" s="27"/>
      <x:c r="H27" s="27"/>
      <x:c r="I27" s="27"/>
      <x:c r="J27" s="27"/>
      <x:c r="K27" s="28"/>
    </x:row>
    <x:row r="28" ht="15">
      <x:c r="A28" s="517" t="s">
        <x:v>108</x:v>
      </x:c>
      <x:c r="B28" s="478" t="str">
        <x:v>-</x:v>
      </x:c>
      <x:c r="C28" s="405"/>
      <x:c r="D28" s="405"/>
      <x:c r="E28" s="405"/>
      <x:c r="F28" s="29"/>
      <x:c r="G28" s="29"/>
      <x:c r="H28" s="29"/>
      <x:c r="I28" s="29"/>
      <x:c r="J28" s="29"/>
      <x:c r="K28" s="30"/>
    </x:row>
    <x:row r="29">
      <x:c r="A29" s="88"/>
      <x:c r="B29" s="88"/>
    </x:row>
  </x:sheetData>
  <x:mergeCells>
    <x:mergeCell ref="E9:E13"/>
    <x:mergeCell ref="D9:D13"/>
    <x:mergeCell ref="B3:C3"/>
    <x:mergeCell ref="D3:E3"/>
  </x:mergeCells>
  <x:dataValidations count="3">
    <x:dataValidation type="list" sqref="E6">
      <x:formula1>"BELUM,PERLU PERBAIKAN,TERVALIDASI"</x:formula1>
    </x:dataValidation>
    <x:dataValidation type="list" sqref="B17">
      <x:formula1>"LANJUT,PERBAIKI,PERPANJANG,REPLIKASI,HENTIKAN / TIDAK DILANJUTKAN"</x:formula1>
    </x:dataValidation>
    <x:dataValidation type="list" sqref="B24">
      <x:formula1>"BELUM DIPUTUSKAN,DISETUJUI,DISETUJUI DENGAN PERBAIKAN,DIESKALASIKAN"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1.375" style="127" customWidth="1"/>
    <x:col min="2" max="2" width="7.375" style="127" customWidth="1"/>
    <x:col min="3" max="3" width="22.5" style="127" customWidth="1"/>
    <x:col min="4" max="4" width="18.75" style="127" customWidth="1"/>
    <x:col min="5" max="5" width="18.125" style="127" customWidth="1"/>
    <x:col min="6" max="6" width="22.25" style="127" customWidth="1"/>
    <x:col min="7" max="7" width="21.875" style="127" customWidth="1"/>
    <x:col min="8" max="8" width="19.875" style="127" customWidth="1"/>
    <x:col min="9" max="9" width="18" style="127" customWidth="1"/>
  </x:cols>
  <x:sheetData>
    <x:row r="1" ht="19.5">
      <x:c r="A1" s="116" t="s">
        <x:v>109</x:v>
      </x:c>
      <x:c r="B1" s="116"/>
      <x:c r="C1" s="116"/>
      <x:c r="D1" s="116"/>
      <x:c r="E1" s="116"/>
      <x:c r="F1" s="116"/>
      <x:c r="G1" s="116"/>
      <x:c r="H1" s="116"/>
      <x:c r="I1" s="116"/>
    </x:row>
    <x:row r="2" ht="51" customHeight="1">
      <x:c r="A2" s="115" t="s">
        <x:v>110</x:v>
      </x:c>
      <x:c r="B2" s="115"/>
      <x:c r="C2" s="115"/>
      <x:c r="D2" s="115"/>
      <x:c r="E2" s="115"/>
      <x:c r="F2" s="114"/>
      <x:c r="G2" s="114"/>
      <x:c r="H2" s="114"/>
      <x:c r="I2" s="114"/>
    </x:row>
    <x:row r="4" ht="15">
      <x:c r="A4" s="15" t="s">
        <x:v>14</x:v>
      </x:c>
      <x:c r="B4" s="15" t="s">
        <x:v>15</x:v>
      </x:c>
      <x:c r="C4" s="15" t="s">
        <x:v>111</x:v>
      </x:c>
      <x:c r="D4" s="15" t="s">
        <x:v>112</x:v>
      </x:c>
      <x:c r="E4" s="15" t="s">
        <x:v>113</x:v>
      </x:c>
      <x:c r="F4" s="15" t="s">
        <x:v>114</x:v>
      </x:c>
      <x:c r="G4" s="15" t="s">
        <x:v>115</x:v>
      </x:c>
      <x:c r="H4" s="15" t="s">
        <x:v>116</x:v>
      </x:c>
      <x:c r="I4" s="15" t="s">
        <x:v>81</x:v>
      </x:c>
    </x:row>
    <x:row r="5" ht="110.0999984741211" customHeight="1">
      <x:c r="A5" s="117" t="s">
        <x:v>25</x:v>
      </x:c>
      <x:c r="B5" s="118">
        <x:v>10</x:v>
      </x:c>
      <x:c r="C5" s="78" t="s">
        <x:v>117</x:v>
      </x:c>
      <x:c r="D5" s="78" t="s">
        <x:v>118</x:v>
      </x:c>
      <x:c r="E5" s="78" t="s">
        <x:v>119</x:v>
      </x:c>
      <x:c r="F5" s="78" t="s">
        <x:v>120</x:v>
      </x:c>
      <x:c r="G5" s="78" t="s">
        <x:v>121</x:v>
      </x:c>
      <x:c r="H5" s="78" t="s">
        <x:v>122</x:v>
      </x:c>
      <x:c r="I5" s="119" t="s">
        <x:v>123</x:v>
      </x:c>
    </x:row>
    <x:row r="6" ht="110.0999984741211" customHeight="1">
      <x:c r="A6" s="120" t="s">
        <x:v>27</x:v>
      </x:c>
      <x:c r="B6" s="121">
        <x:v>15</x:v>
      </x:c>
      <x:c r="C6" s="77" t="s">
        <x:v>124</x:v>
      </x:c>
      <x:c r="D6" s="77" t="s">
        <x:v>125</x:v>
      </x:c>
      <x:c r="E6" s="77" t="s">
        <x:v>126</x:v>
      </x:c>
      <x:c r="F6" s="77" t="s">
        <x:v>127</x:v>
      </x:c>
      <x:c r="G6" s="77" t="s">
        <x:v>128</x:v>
      </x:c>
      <x:c r="H6" s="77" t="s">
        <x:v>129</x:v>
      </x:c>
      <x:c r="I6" s="122"/>
    </x:row>
    <x:row r="7" ht="110.0999984741211" customHeight="1">
      <x:c r="A7" s="120" t="s">
        <x:v>29</x:v>
      </x:c>
      <x:c r="B7" s="121">
        <x:v>15</x:v>
      </x:c>
      <x:c r="C7" s="77" t="s">
        <x:v>130</x:v>
      </x:c>
      <x:c r="D7" s="77" t="s">
        <x:v>131</x:v>
      </x:c>
      <x:c r="E7" s="77" t="s">
        <x:v>132</x:v>
      </x:c>
      <x:c r="F7" s="77" t="s">
        <x:v>133</x:v>
      </x:c>
      <x:c r="G7" s="77" t="s">
        <x:v>134</x:v>
      </x:c>
      <x:c r="H7" s="77" t="s">
        <x:v>135</x:v>
      </x:c>
      <x:c r="I7" s="122"/>
    </x:row>
    <x:row r="8" ht="110.0999984741211" customHeight="1">
      <x:c r="A8" s="120" t="s">
        <x:v>31</x:v>
      </x:c>
      <x:c r="B8" s="121">
        <x:v>20</x:v>
      </x:c>
      <x:c r="C8" s="77" t="s">
        <x:v>136</x:v>
      </x:c>
      <x:c r="D8" s="77" t="s">
        <x:v>137</x:v>
      </x:c>
      <x:c r="E8" s="77" t="s">
        <x:v>138</x:v>
      </x:c>
      <x:c r="F8" s="77" t="s">
        <x:v>139</x:v>
      </x:c>
      <x:c r="G8" s="77" t="s">
        <x:v>140</x:v>
      </x:c>
      <x:c r="H8" s="77" t="s">
        <x:v>141</x:v>
      </x:c>
      <x:c r="I8" s="122" t="s">
        <x:v>142</x:v>
      </x:c>
    </x:row>
    <x:row r="9" ht="110.0999984741211" customHeight="1">
      <x:c r="A9" s="120" t="s">
        <x:v>33</x:v>
      </x:c>
      <x:c r="B9" s="121">
        <x:v>20</x:v>
      </x:c>
      <x:c r="C9" s="77" t="s">
        <x:v>143</x:v>
      </x:c>
      <x:c r="D9" s="77" t="s">
        <x:v>144</x:v>
      </x:c>
      <x:c r="E9" s="77" t="s">
        <x:v>145</x:v>
      </x:c>
      <x:c r="F9" s="77" t="s">
        <x:v>146</x:v>
      </x:c>
      <x:c r="G9" s="77" t="s">
        <x:v>147</x:v>
      </x:c>
      <x:c r="H9" s="77" t="s">
        <x:v>148</x:v>
      </x:c>
      <x:c r="I9" s="122" t="s">
        <x:v>149</x:v>
      </x:c>
    </x:row>
    <x:row r="10" ht="110.0999984741211" customHeight="1">
      <x:c r="A10" s="120" t="s">
        <x:v>35</x:v>
      </x:c>
      <x:c r="B10" s="121">
        <x:v>10</x:v>
      </x:c>
      <x:c r="C10" s="77" t="s">
        <x:v>150</x:v>
      </x:c>
      <x:c r="D10" s="77" t="s">
        <x:v>151</x:v>
      </x:c>
      <x:c r="E10" s="77" t="s">
        <x:v>152</x:v>
      </x:c>
      <x:c r="F10" s="77" t="s">
        <x:v>153</x:v>
      </x:c>
      <x:c r="G10" s="77" t="s">
        <x:v>154</x:v>
      </x:c>
      <x:c r="H10" s="77" t="s">
        <x:v>155</x:v>
      </x:c>
      <x:c r="I10" s="122" t="s">
        <x:v>156</x:v>
      </x:c>
    </x:row>
    <x:row r="11" ht="110.0999984741211" customHeight="1">
      <x:c r="A11" s="123" t="s">
        <x:v>37</x:v>
      </x:c>
      <x:c r="B11" s="124">
        <x:v>10</x:v>
      </x:c>
      <x:c r="C11" s="125" t="s">
        <x:v>157</x:v>
      </x:c>
      <x:c r="D11" s="125" t="s">
        <x:v>158</x:v>
      </x:c>
      <x:c r="E11" s="125" t="s">
        <x:v>159</x:v>
      </x:c>
      <x:c r="F11" s="125" t="s">
        <x:v>160</x:v>
      </x:c>
      <x:c r="G11" s="125" t="s">
        <x:v>161</x:v>
      </x:c>
      <x:c r="H11" s="125" t="s">
        <x:v>162</x:v>
      </x:c>
      <x:c r="I11" s="126" t="s">
        <x:v>163</x:v>
      </x:c>
    </x:row>
  </x:sheetData>
  <x:mergeCells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7" customWidth="1"/>
    <x:col min="2" max="3" width="48" customWidth="1"/>
    <x:col min="4" max="6" width="18" customWidth="1"/>
  </x:cols>
  <x:sheetData>
    <x:row r="1" ht="19.5">
      <x:c r="A1" s="1" t="s">
        <x:v>164</x:v>
      </x:c>
      <x:c r="B1" s="1"/>
      <x:c r="C1" s="1"/>
      <x:c r="D1" s="1"/>
      <x:c r="E1" s="1"/>
      <x:c r="F1" s="1"/>
    </x:row>
    <x:row r="2" ht="38.25">
      <x:c r="A2" s="2" t="s">
        <x:v>165</x:v>
      </x:c>
      <x:c r="B2" s="2"/>
      <x:c r="C2" s="2"/>
      <x:c r="D2" s="2"/>
      <x:c r="E2" s="2"/>
      <x:c r="F2" s="2"/>
    </x:row>
    <x:row r="3">
      <x:c r="A3" s="529" t="str">
        <x:v>Legenda warna</x:v>
      </x:c>
      <x:c r="B3" s="529" t="str">
        <x:v>KUNING #FFF2CC = input/keputusan pengguna</x:v>
      </x:c>
      <x:c r="C3" s="529" t="str">
        <x:v>BIRU = data sumber/hasil otomatis; HIJAU = DAPAT DINILAI; ABU = BELUM DAPAT DINILAI</x:v>
      </x:c>
    </x:row>
    <x:row r="4" ht="15">
      <x:c r="A4" s="6" t="s">
        <x:v>166</x:v>
      </x:c>
      <x:c r="B4" s="6"/>
      <x:c r="C4" s="6"/>
      <x:c r="D4" s="6"/>
      <x:c r="E4" s="6"/>
      <x:c r="F4" s="6"/>
    </x:row>
    <x:row r="5" ht="15">
      <x:c r="A5" s="35" t="s">
        <x:v>167</x:v>
      </x:c>
      <x:c r="B5" s="36" t="s">
        <x:v>168</x:v>
      </x:c>
    </x:row>
    <x:row r="6" ht="28.5">
      <x:c r="A6" s="19" t="s">
        <x:v>169</x:v>
      </x:c>
      <x:c r="B6" s="21" t="s">
        <x:v>170</x:v>
      </x:c>
    </x:row>
    <x:row r="7" ht="42.75">
      <x:c r="A7" s="19" t="s">
        <x:v>171</x:v>
      </x:c>
      <x:c r="B7" s="21" t="s">
        <x:v>172</x:v>
      </x:c>
    </x:row>
    <x:row r="8">
      <x:c r="A8" s="19" t="s">
        <x:v>93</x:v>
      </x:c>
      <x:c r="B8" s="21" t="s">
        <x:v>173</x:v>
      </x:c>
    </x:row>
    <x:row r="9" ht="28.5">
      <x:c r="A9" s="22" t="s">
        <x:v>174</x:v>
      </x:c>
      <x:c r="B9" s="24" t="s">
        <x:v>175</x:v>
      </x:c>
    </x:row>
    <x:row r="11" ht="15">
      <x:c r="A11" s="6" t="s">
        <x:v>176</x:v>
      </x:c>
      <x:c r="B11" s="6"/>
      <x:c r="C11" s="6"/>
      <x:c r="D11" s="6"/>
      <x:c r="E11" s="6"/>
      <x:c r="F11" s="6"/>
    </x:row>
    <x:row r="12" ht="28.5">
      <x:c r="A12" s="32" t="s">
        <x:v>43</x:v>
      </x:c>
      <x:c r="B12" s="17" t="s">
        <x:v>177</x:v>
      </x:c>
      <x:c r="C12" s="18" t="s">
        <x:v>178</x:v>
      </x:c>
    </x:row>
    <x:row r="13" ht="28.5">
      <x:c r="A13" s="33" t="s">
        <x:v>46</x:v>
      </x:c>
      <x:c r="B13" s="20" t="s">
        <x:v>179</x:v>
      </x:c>
      <x:c r="C13" s="21" t="s">
        <x:v>180</x:v>
      </x:c>
    </x:row>
    <x:row r="14" ht="28.5">
      <x:c r="A14" s="33" t="s">
        <x:v>49</x:v>
      </x:c>
      <x:c r="B14" s="20" t="s">
        <x:v>181</x:v>
      </x:c>
      <x:c r="C14" s="21" t="s">
        <x:v>182</x:v>
      </x:c>
    </x:row>
    <x:row r="15" ht="15">
      <x:c r="A15" s="33" t="s">
        <x:v>52</x:v>
      </x:c>
      <x:c r="B15" s="20" t="s">
        <x:v>183</x:v>
      </x:c>
      <x:c r="C15" s="21" t="s">
        <x:v>184</x:v>
      </x:c>
    </x:row>
    <x:row r="16" ht="28.5">
      <x:c r="A16" s="34" t="s">
        <x:v>55</x:v>
      </x:c>
      <x:c r="B16" s="23" t="s">
        <x:v>185</x:v>
      </x:c>
      <x:c r="C16" s="24" t="s">
        <x:v>186</x:v>
      </x:c>
    </x:row>
    <x:row r="20" ht="15">
      <x:c r="A20" s="6" t="s">
        <x:v>187</x:v>
      </x:c>
      <x:c r="B20" s="6"/>
      <x:c r="C20" s="6"/>
      <x:c r="D20" s="6"/>
      <x:c r="E20" s="6"/>
      <x:c r="F20" s="6"/>
    </x:row>
    <x:row r="21" ht="15">
      <x:c r="A21" s="35" t="s">
        <x:v>71</x:v>
      </x:c>
      <x:c r="B21" s="37" t="s">
        <x:v>188</x:v>
      </x:c>
      <x:c r="C21" s="36" t="s">
        <x:v>189</x:v>
      </x:c>
    </x:row>
    <x:row r="22">
      <x:c r="A22" s="19" t="s">
        <x:v>190</x:v>
      </x:c>
      <x:c r="B22" s="20" t="s">
        <x:v>191</x:v>
      </x:c>
      <x:c r="C22" s="21" t="s">
        <x:v>192</x:v>
      </x:c>
    </x:row>
    <x:row r="23" ht="28.5">
      <x:c r="A23" s="19" t="s">
        <x:v>193</x:v>
      </x:c>
      <x:c r="B23" s="20" t="s">
        <x:v>194</x:v>
      </x:c>
      <x:c r="C23" s="21" t="s">
        <x:v>195</x:v>
      </x:c>
    </x:row>
    <x:row r="24" ht="57">
      <x:c r="A24" s="22" t="s">
        <x:v>196</x:v>
      </x:c>
      <x:c r="B24" s="23" t="s">
        <x:v>197</x:v>
      </x:c>
      <x:c r="C24" s="24" t="s">
        <x:v>195</x:v>
      </x:c>
    </x:row>
    <x:row r="27" ht="15">
      <x:c r="A27" s="6" t="s">
        <x:v>198</x:v>
      </x:c>
      <x:c r="B27" s="6"/>
      <x:c r="C27" s="6"/>
      <x:c r="D27" s="6"/>
      <x:c r="E27" s="6"/>
      <x:c r="F27" s="6"/>
    </x:row>
    <x:row r="28" ht="28.5">
      <x:c r="A28" s="32" t="s">
        <x:v>112</x:v>
      </x:c>
      <x:c r="B28" s="18" t="s">
        <x:v>199</x:v>
      </x:c>
    </x:row>
    <x:row r="29" ht="28.5">
      <x:c r="A29" s="33" t="s">
        <x:v>66</x:v>
      </x:c>
      <x:c r="B29" s="21" t="s">
        <x:v>200</x:v>
      </x:c>
    </x:row>
    <x:row r="30" ht="28.5">
      <x:c r="A30" s="33" t="s">
        <x:v>45</x:v>
      </x:c>
      <x:c r="B30" s="21" t="s">
        <x:v>201</x:v>
      </x:c>
    </x:row>
    <x:row r="31" ht="15">
      <x:c r="A31" s="33" t="s">
        <x:v>51</x:v>
      </x:c>
      <x:c r="B31" s="21" t="s">
        <x:v>202</x:v>
      </x:c>
    </x:row>
    <x:row r="32" ht="57">
      <x:c r="A32" s="34" t="s">
        <x:v>203</x:v>
      </x:c>
      <x:c r="B32" s="24" t="s">
        <x:v>204</x:v>
      </x:c>
      <x:c r="C32" t="s">
        <x:v>205</x:v>
      </x:c>
    </x:row>
    <x:row r="35" ht="15">
      <x:c r="A35" s="6" t="s">
        <x:v>206</x:v>
      </x:c>
      <x:c r="B35" s="6"/>
      <x:c r="C35" s="6"/>
      <x:c r="D35" s="6"/>
      <x:c r="E35" s="6"/>
      <x:c r="F35" s="6"/>
    </x:row>
    <x:row r="36" ht="15">
      <x:c r="A36" s="35" t="s">
        <x:v>207</x:v>
      </x:c>
      <x:c r="B36" s="36" t="s">
        <x:v>208</x:v>
      </x:c>
    </x:row>
    <x:row r="37" ht="28.5">
      <x:c r="A37" s="19" t="s">
        <x:v>209</x:v>
      </x:c>
      <x:c r="B37" s="21" t="s">
        <x:v>210</x:v>
      </x:c>
    </x:row>
    <x:row r="38" ht="28.5">
      <x:c r="A38" s="19" t="s">
        <x:v>211</x:v>
      </x:c>
      <x:c r="B38" s="21" t="s">
        <x:v>212</x:v>
      </x:c>
    </x:row>
    <x:row r="39" ht="28.5">
      <x:c r="A39" s="19" t="s">
        <x:v>213</x:v>
      </x:c>
      <x:c r="B39" s="21" t="s">
        <x:v>214</x:v>
      </x:c>
    </x:row>
    <x:row r="40" ht="28.5">
      <x:c r="A40" s="22" t="s">
        <x:v>215</x:v>
      </x:c>
      <x:c r="B40" s="24" t="s">
        <x:v>216</x:v>
      </x:c>
    </x:row>
    <x:row r="42" ht="15">
      <x:c r="A42" s="6" t="s">
        <x:v>217</x:v>
      </x:c>
      <x:c r="B42" s="6"/>
      <x:c r="C42" s="6"/>
      <x:c r="D42" s="6"/>
      <x:c r="E42" s="6"/>
      <x:c r="F42" s="6"/>
    </x:row>
    <x:row r="43" ht="15">
      <x:c r="A43" s="35" t="s">
        <x:v>218</x:v>
      </x:c>
      <x:c r="B43" s="36" t="s">
        <x:v>219</x:v>
      </x:c>
    </x:row>
    <x:row r="44" ht="28.5">
      <x:c r="A44" s="19" t="s">
        <x:v>220</x:v>
      </x:c>
      <x:c r="B44" s="21" t="s">
        <x:v>221</x:v>
      </x:c>
    </x:row>
    <x:row r="45" ht="28.5">
      <x:c r="A45" s="19" t="s">
        <x:v>222</x:v>
      </x:c>
      <x:c r="B45" s="21" t="s">
        <x:v>223</x:v>
      </x:c>
    </x:row>
    <x:row r="46" ht="28.5">
      <x:c r="A46" s="19" t="s">
        <x:v>224</x:v>
      </x:c>
      <x:c r="B46" s="21" t="s">
        <x:v>225</x:v>
      </x:c>
    </x:row>
    <x:row r="47" ht="28.5">
      <x:c r="A47" s="19" t="s">
        <x:v>226</x:v>
      </x:c>
      <x:c r="B47" s="21" t="s">
        <x:v>227</x:v>
      </x:c>
    </x:row>
    <x:row r="48" ht="28.5">
      <x:c r="A48" s="22" t="s">
        <x:v>228</x:v>
      </x:c>
      <x:c r="B48" s="24" t="s">
        <x:v>229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4" customWidth="1"/>
    <x:col min="2" max="2" width="42" customWidth="1"/>
    <x:col min="3" max="3" width="24" customWidth="1"/>
    <x:col min="4" max="5" width="8" customWidth="1"/>
    <x:col min="6" max="6" width="10" customWidth="1"/>
    <x:col min="7" max="7" width="30" customWidth="1"/>
    <x:col min="8" max="8" width="34" customWidth="1"/>
  </x:cols>
  <x:sheetData>
    <x:row r="1" ht="19.5">
      <x:c r="A1" s="1" t="s">
        <x:v>230</x:v>
      </x:c>
      <x:c r="B1" s="1"/>
      <x:c r="C1" s="1"/>
      <x:c r="D1" s="1"/>
      <x:c r="E1" s="1"/>
      <x:c r="F1" s="1"/>
      <x:c r="G1" s="1"/>
      <x:c r="H1" s="1"/>
    </x:row>
    <x:row r="2" ht="114.75">
      <x:c r="A2" s="2" t="s">
        <x:v>231</x:v>
      </x:c>
      <x:c r="B2" s="2"/>
      <x:c r="C2" s="2"/>
      <x:c r="D2" s="2"/>
      <x:c r="E2" s="2"/>
      <x:c r="F2" s="2"/>
      <x:c r="G2" s="2"/>
      <x:c r="H2" s="2"/>
    </x:row>
    <x:row r="4" ht="15">
      <x:c r="A4" s="6" t="s">
        <x:v>232</x:v>
      </x:c>
      <x:c r="B4" s="6"/>
      <x:c r="C4" s="6"/>
      <x:c r="D4" s="6"/>
      <x:c r="E4" s="6"/>
      <x:c r="F4" s="6"/>
      <x:c r="G4" s="6"/>
      <x:c r="H4" s="6"/>
    </x:row>
    <x:row r="5" ht="15">
      <x:c r="A5" s="15" t="s">
        <x:v>14</x:v>
      </x:c>
      <x:c r="B5" s="15" t="s">
        <x:v>233</x:v>
      </x:c>
      <x:c r="C5" s="15" t="s">
        <x:v>71</x:v>
      </x:c>
      <x:c r="D5" s="15" t="s">
        <x:v>234</x:v>
      </x:c>
      <x:c r="E5" s="15" t="s">
        <x:v>15</x:v>
      </x:c>
      <x:c r="F5" s="15" t="s">
        <x:v>235</x:v>
      </x:c>
      <x:c r="G5" s="15" t="s">
        <x:v>219</x:v>
      </x:c>
      <x:c r="H5" s="15" t="s">
        <x:v>101</x:v>
      </x:c>
    </x:row>
    <x:row r="6" ht="28.5">
      <x:c r="A6" s="16" t="s">
        <x:v>236</x:v>
      </x:c>
      <x:c r="B6" s="17" t="s">
        <x:v>237</x:v>
      </x:c>
      <x:c r="C6" s="17" t="s">
        <x:v>190</x:v>
      </x:c>
      <x:c r="D6" s="17">
        <x:v>1</x:v>
      </x:c>
      <x:c r="E6" s="17">
        <x:v>10</x:v>
      </x:c>
      <x:c r="F6" s="17">
        <x:v>2.5</x:v>
      </x:c>
      <x:c r="G6" s="17" t="s">
        <x:v>238</x:v>
      </x:c>
      <x:c r="H6" s="18" t="s">
        <x:v>239</x:v>
      </x:c>
    </x:row>
    <x:row r="7">
      <x:c r="A7" s="19" t="s">
        <x:v>240</x:v>
      </x:c>
      <x:c r="B7" s="20" t="s">
        <x:v>241</x:v>
      </x:c>
      <x:c r="C7" s="20" t="s">
        <x:v>190</x:v>
      </x:c>
      <x:c r="D7" s="20">
        <x:v>0</x:v>
      </x:c>
      <x:c r="E7" s="20">
        <x:v>15</x:v>
      </x:c>
      <x:c r="F7" s="20">
        <x:v>0</x:v>
      </x:c>
      <x:c r="G7" s="20" t="s">
        <x:v>242</x:v>
      </x:c>
      <x:c r="H7" s="21" t="s">
        <x:v>243</x:v>
      </x:c>
    </x:row>
    <x:row r="8" ht="28.5">
      <x:c r="A8" s="19" t="s">
        <x:v>244</x:v>
      </x:c>
      <x:c r="B8" s="20" t="s">
        <x:v>245</x:v>
      </x:c>
      <x:c r="C8" s="20" t="s">
        <x:v>190</x:v>
      </x:c>
      <x:c r="D8" s="20">
        <x:v>0</x:v>
      </x:c>
      <x:c r="E8" s="20">
        <x:v>15</x:v>
      </x:c>
      <x:c r="F8" s="20">
        <x:v>0</x:v>
      </x:c>
      <x:c r="G8" s="20" t="s">
        <x:v>246</x:v>
      </x:c>
      <x:c r="H8" s="21" t="s">
        <x:v>247</x:v>
      </x:c>
    </x:row>
    <x:row r="9" ht="28.5">
      <x:c r="A9" s="19" t="s">
        <x:v>248</x:v>
      </x:c>
      <x:c r="B9" s="20" t="s">
        <x:v>249</x:v>
      </x:c>
      <x:c r="C9" s="20" t="s">
        <x:v>190</x:v>
      </x:c>
      <x:c r="D9" s="20">
        <x:v>0</x:v>
      </x:c>
      <x:c r="E9" s="20">
        <x:v>20</x:v>
      </x:c>
      <x:c r="F9" s="20">
        <x:v>0</x:v>
      </x:c>
      <x:c r="G9" s="20" t="s">
        <x:v>250</x:v>
      </x:c>
      <x:c r="H9" s="21" t="s">
        <x:v>251</x:v>
      </x:c>
    </x:row>
    <x:row r="10" ht="28.5">
      <x:c r="A10" s="19" t="s">
        <x:v>252</x:v>
      </x:c>
      <x:c r="B10" s="20" t="s">
        <x:v>253</x:v>
      </x:c>
      <x:c r="C10" s="20" t="s">
        <x:v>190</x:v>
      </x:c>
      <x:c r="D10" s="20">
        <x:v>0</x:v>
      </x:c>
      <x:c r="E10" s="20">
        <x:v>20</x:v>
      </x:c>
      <x:c r="F10" s="20">
        <x:v>0</x:v>
      </x:c>
      <x:c r="G10" s="20" t="s">
        <x:v>254</x:v>
      </x:c>
      <x:c r="H10" s="21" t="s">
        <x:v>255</x:v>
      </x:c>
    </x:row>
    <x:row r="11" ht="28.5">
      <x:c r="A11" s="19" t="s">
        <x:v>256</x:v>
      </x:c>
      <x:c r="B11" s="20" t="s">
        <x:v>257</x:v>
      </x:c>
      <x:c r="C11" s="20" t="s">
        <x:v>190</x:v>
      </x:c>
      <x:c r="D11" s="20">
        <x:v>3</x:v>
      </x:c>
      <x:c r="E11" s="20">
        <x:v>10</x:v>
      </x:c>
      <x:c r="F11" s="20">
        <x:v>7.5</x:v>
      </x:c>
      <x:c r="G11" s="20" t="s">
        <x:v>258</x:v>
      </x:c>
      <x:c r="H11" s="21" t="s">
        <x:v>259</x:v>
      </x:c>
    </x:row>
    <x:row r="12" ht="28.5">
      <x:c r="A12" s="22" t="s">
        <x:v>260</x:v>
      </x:c>
      <x:c r="B12" s="23" t="s">
        <x:v>261</x:v>
      </x:c>
      <x:c r="C12" s="23" t="s">
        <x:v>190</x:v>
      </x:c>
      <x:c r="D12" s="23">
        <x:v>1</x:v>
      </x:c>
      <x:c r="E12" s="23">
        <x:v>10</x:v>
      </x:c>
      <x:c r="F12" s="23">
        <x:v>2.5</x:v>
      </x:c>
      <x:c r="G12" s="23" t="s">
        <x:v>262</x:v>
      </x:c>
      <x:c r="H12" s="24" t="s">
        <x:v>263</x:v>
      </x:c>
    </x:row>
    <x:row r="14" ht="15">
      <x:c r="A14" s="6" t="s">
        <x:v>264</x:v>
      </x:c>
      <x:c r="B14" s="6"/>
      <x:c r="C14" s="6"/>
      <x:c r="D14" s="6"/>
      <x:c r="E14" s="6"/>
      <x:c r="F14" s="6"/>
      <x:c r="G14" s="6"/>
      <x:c r="H14" s="6"/>
    </x:row>
    <x:row r="15" ht="15">
      <x:c r="A15" s="15" t="s">
        <x:v>14</x:v>
      </x:c>
      <x:c r="B15" s="15" t="s">
        <x:v>233</x:v>
      </x:c>
      <x:c r="C15" s="15" t="s">
        <x:v>71</x:v>
      </x:c>
      <x:c r="D15" s="15" t="s">
        <x:v>234</x:v>
      </x:c>
      <x:c r="E15" s="15" t="s">
        <x:v>15</x:v>
      </x:c>
      <x:c r="F15" s="15" t="s">
        <x:v>235</x:v>
      </x:c>
      <x:c r="G15" s="15" t="s">
        <x:v>219</x:v>
      </x:c>
      <x:c r="H15" s="15" t="s">
        <x:v>101</x:v>
      </x:c>
    </x:row>
    <x:row r="16" ht="28.5">
      <x:c r="A16" s="16" t="s">
        <x:v>236</x:v>
      </x:c>
      <x:c r="B16" s="17" t="s">
        <x:v>265</x:v>
      </x:c>
      <x:c r="C16" s="17" t="s">
        <x:v>190</x:v>
      </x:c>
      <x:c r="D16" s="17">
        <x:v>3</x:v>
      </x:c>
      <x:c r="E16" s="17">
        <x:v>10</x:v>
      </x:c>
      <x:c r="F16" s="17">
        <x:v>7.5</x:v>
      </x:c>
      <x:c r="G16" s="17" t="s">
        <x:v>266</x:v>
      </x:c>
      <x:c r="H16" s="18" t="s">
        <x:v>267</x:v>
      </x:c>
    </x:row>
    <x:row r="17">
      <x:c r="A17" s="19" t="s">
        <x:v>240</x:v>
      </x:c>
      <x:c r="B17" s="20" t="s">
        <x:v>268</x:v>
      </x:c>
      <x:c r="C17" s="20" t="s">
        <x:v>190</x:v>
      </x:c>
      <x:c r="D17" s="20">
        <x:v>2</x:v>
      </x:c>
      <x:c r="E17" s="20">
        <x:v>15</x:v>
      </x:c>
      <x:c r="F17" s="20">
        <x:v>7.5</x:v>
      </x:c>
      <x:c r="G17" s="20" t="s">
        <x:v>269</x:v>
      </x:c>
      <x:c r="H17" s="21" t="s">
        <x:v>270</x:v>
      </x:c>
    </x:row>
    <x:row r="18" ht="28.5">
      <x:c r="A18" s="19" t="s">
        <x:v>244</x:v>
      </x:c>
      <x:c r="B18" s="20" t="s">
        <x:v>271</x:v>
      </x:c>
      <x:c r="C18" s="20" t="s">
        <x:v>196</x:v>
      </x:c>
      <x:c r="D18" s="20"/>
      <x:c r="E18" s="20">
        <x:v>15</x:v>
      </x:c>
      <x:c r="F18" s="20"/>
      <x:c r="G18" s="20" t="s">
        <x:v>272</x:v>
      </x:c>
      <x:c r="H18" s="21" t="s">
        <x:v>273</x:v>
      </x:c>
    </x:row>
    <x:row r="19">
      <x:c r="A19" s="19" t="s">
        <x:v>248</x:v>
      </x:c>
      <x:c r="B19" s="20" t="s">
        <x:v>274</x:v>
      </x:c>
      <x:c r="C19" s="20" t="s">
        <x:v>196</x:v>
      </x:c>
      <x:c r="D19" s="20"/>
      <x:c r="E19" s="20">
        <x:v>20</x:v>
      </x:c>
      <x:c r="F19" s="20"/>
      <x:c r="G19" s="20" t="s">
        <x:v>275</x:v>
      </x:c>
      <x:c r="H19" s="21" t="s">
        <x:v>276</x:v>
      </x:c>
    </x:row>
    <x:row r="20">
      <x:c r="A20" s="19" t="s">
        <x:v>252</x:v>
      </x:c>
      <x:c r="B20" s="20" t="s">
        <x:v>277</x:v>
      </x:c>
      <x:c r="C20" s="20" t="s">
        <x:v>196</x:v>
      </x:c>
      <x:c r="D20" s="20"/>
      <x:c r="E20" s="20">
        <x:v>20</x:v>
      </x:c>
      <x:c r="F20" s="20"/>
      <x:c r="G20" s="20" t="s">
        <x:v>275</x:v>
      </x:c>
      <x:c r="H20" s="21" t="s">
        <x:v>278</x:v>
      </x:c>
    </x:row>
    <x:row r="21">
      <x:c r="A21" s="19" t="s">
        <x:v>256</x:v>
      </x:c>
      <x:c r="B21" s="20" t="s">
        <x:v>279</x:v>
      </x:c>
      <x:c r="C21" s="20" t="s">
        <x:v>190</x:v>
      </x:c>
      <x:c r="D21" s="20">
        <x:v>3</x:v>
      </x:c>
      <x:c r="E21" s="20">
        <x:v>10</x:v>
      </x:c>
      <x:c r="F21" s="20">
        <x:v>7.5</x:v>
      </x:c>
      <x:c r="G21" s="20" t="s">
        <x:v>280</x:v>
      </x:c>
      <x:c r="H21" s="21" t="s">
        <x:v>281</x:v>
      </x:c>
    </x:row>
    <x:row r="22">
      <x:c r="A22" s="22" t="s">
        <x:v>260</x:v>
      </x:c>
      <x:c r="B22" s="23" t="s">
        <x:v>282</x:v>
      </x:c>
      <x:c r="C22" s="23" t="s">
        <x:v>190</x:v>
      </x:c>
      <x:c r="D22" s="23">
        <x:v>3</x:v>
      </x:c>
      <x:c r="E22" s="23">
        <x:v>10</x:v>
      </x:c>
      <x:c r="F22" s="23">
        <x:v>7.5</x:v>
      </x:c>
      <x:c r="G22" s="23" t="s">
        <x:v>283</x:v>
      </x:c>
      <x:c r="H22" s="24" t="s">
        <x:v>284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6" customWidth="1"/>
    <x:col min="2" max="2" width="16" customWidth="1"/>
    <x:col min="3" max="3" width="22" customWidth="1"/>
    <x:col min="4" max="4" width="34" customWidth="1"/>
    <x:col min="5" max="5" width="30" customWidth="1"/>
    <x:col min="6" max="6" width="20" customWidth="1"/>
    <x:col min="7" max="7" width="46" customWidth="1"/>
    <x:col min="8" max="9" width="42" customWidth="1"/>
  </x:cols>
  <x:sheetData>
    <x:row r="1" ht="18">
      <x:c r="A1" s="38" t="str">
        <x:v>SUMBER DATA — FINAL BASELINE P06 Universitas Maritim Raja Ali Haji (UMRAH)</x:v>
      </x:c>
      <x:c r="B1" s="38"/>
      <x:c r="C1" s="38"/>
      <x:c r="D1" s="38"/>
      <x:c r="E1" s="38"/>
      <x:c r="F1" s="38"/>
      <x:c r="G1" s="38"/>
      <x:c r="H1" s="38"/>
      <x:c r="I1" s="38"/>
    </x:row>
    <x:row r="2">
      <x:c r="A2" s="39" t="str">
        <x:v>Disalin dari FINAL BASELINE MITRA KINERJA — cut-off 28 Agustus 2026. Perkembangan setelah cut-off dinilai melalui Scorecard.</x:v>
      </x:c>
      <x:c r="B2" s="39"/>
      <x:c r="C2" s="39"/>
      <x:c r="D2" s="39"/>
      <x:c r="E2" s="39"/>
      <x:c r="F2" s="39"/>
      <x:c r="G2" s="39"/>
      <x:c r="H2" s="39"/>
      <x:c r="I2" s="39"/>
    </x:row>
    <x:row r="4" ht="15">
      <x:c r="A4" s="40" t="str">
        <x:v>No</x:v>
      </x:c>
      <x:c r="B4" s="41" t="str">
        <x:v>Kelompok</x:v>
      </x:c>
      <x:c r="C4" s="41" t="str">
        <x:v>Elemen baseline</x:v>
      </x:c>
      <x:c r="D4" s="41" t="str">
        <x:v>Yang diperiksa</x:v>
      </x:c>
      <x:c r="E4" s="41" t="str">
        <x:v>Sumber/bukti minimum</x:v>
      </x:c>
      <x:c r="F4" s="41" t="str">
        <x:v>Status</x:v>
      </x:c>
      <x:c r="G4" s="41" t="str">
        <x:v>Fakta/hasil pemeriksaan</x:v>
      </x:c>
      <x:c r="H4" s="41" t="str">
        <x:v>Sumber/link bukti</x:v>
      </x:c>
      <x:c r="I4" s="42" t="str">
        <x:v>Catatan khusus (opsional)</x:v>
      </x:c>
    </x:row>
    <x:row r="5" ht="72" customHeight="1">
      <x:c r="A5" s="43" t="n">
        <x:v>1</x:v>
      </x:c>
      <x:c r="B5" s="27" t="str">
        <x:v>IDENTITAS</x:v>
      </x:c>
      <x:c r="C5" s="27" t="str">
        <x:v>Identitas naskah</x:v>
      </x:c>
      <x:c r="D5" s="27" t="str">
        <x:v>Jenis, nomor para pihak, judul, dan nama resmi mitra sesuai naskah.</x:v>
      </x:c>
      <x:c r="E5" s="27" t="str">
        <x:v>Naskah bertanda tangan; P2MA sebagai pembanding.</x:v>
      </x:c>
      <x:c r="F5" s="27" t="str">
        <x:v>TERVERIFIKASI</x:v>
      </x:c>
      <x:c r="G5" s="27" t="str">
        <x:v>sudah sesuai</x:v>
      </x:c>
      <x:c r="H5" s="27" t="str">
        <x:v>https://p2ma.kemenkum.go.id/uploads/kerjasama/naskah/1758074583.pdf</x:v>
      </x:c>
      <x:c r="I5" s="44"/>
    </x:row>
    <x:row r="6" ht="72" customHeight="1">
      <x:c r="A6" s="43" t="n">
        <x:v>2</x:v>
      </x:c>
      <x:c r="B6" s="27" t="str">
        <x:v>MASA BERLAKU</x:v>
      </x:c>
      <x:c r="C6" s="27" t="str">
        <x:v>Masa berlaku</x:v>
      </x:c>
      <x:c r="D6" s="27" t="str">
        <x:v>Tanggal efektif, durasi, dan tanggal berakhir sesuai klausul naskah.</x:v>
      </x:c>
      <x:c r="E6" s="27" t="str">
        <x:v>Klausul jangka waktu; halaman tanda tangan; P2MA.</x:v>
      </x:c>
      <x:c r="F6" s="27" t="str">
        <x:v>TERVERIFIKASI</x:v>
      </x:c>
      <x:c r="G6" s="27" t="str">
        <x:v>P2MA publik menampilkan status Berlangsung, mulai 19 Maret 2025 dan berakhir 18 Maret 2030; tanggal sesuai data awal.</x:v>
      </x:c>
      <x:c r="H6" s="27" t="str">
        <x:v>https://p2ma.kemenkum.go.id/kdn/pencarian?tipe=1&amp;keyword=Universitas%20Maritim%20Raja%20Ali%20Haji</x:v>
      </x:c>
      <x:c r="I6" s="44"/>
    </x:row>
    <x:row r="7" ht="72" customHeight="1">
      <x:c r="A7" s="43" t="n">
        <x:v>3</x:v>
      </x:c>
      <x:c r="B7" s="27" t="str">
        <x:v>SUBSTANSI</x:v>
      </x:c>
      <x:c r="C7" s="27" t="str">
        <x:v>Ruang lingkup</x:v>
      </x:c>
      <x:c r="D7" s="27" t="str">
        <x:v>Ruang kerja, kewajiban, atau kegiatan utama yang disepakati.</x:v>
      </x:c>
      <x:c r="E7" s="27" t="str">
        <x:v>Pasal ruang lingkup/hak-kewajiban; lampiran.</x:v>
      </x:c>
      <x:c r="F7" s="27" t="str">
        <x:v>TERVERIFIKASI</x:v>
      </x:c>
      <x:c r="G7" s="27" t="str">
        <x:v>Ruang lingkup yang tercatat meliputi pendidikan dan pengajaran; penelitian dan pengembangan hukum; pengabdian kepada masyarakat; MBKM; fasilitasi dan penguatan KI; pengembangan kompetensi SDM; asistensi JDIH; serta kegiatan lain yang disepakati.</x:v>
      </x:c>
      <x:c r="H7" s="27" t="str">
        <x:v>https://p2ma.kemenkum.go.id/uploads/kerjasama/naskah/1758074583.pdf</x:v>
      </x:c>
      <x:c r="I7" s="44"/>
    </x:row>
    <x:row r="8" ht="72" customHeight="1">
      <x:c r="A8" s="43" t="n">
        <x:v>4</x:v>
      </x:c>
      <x:c r="B8" s="27" t="str">
        <x:v>TATA KELOLA</x:v>
      </x:c>
      <x:c r="C8" s="27" t="str">
        <x:v>Status arsip</x:v>
      </x:c>
      <x:c r="D8" s="27" t="str">
        <x:v>Ketersediaan naskah lengkap pada lokasi arsip resmi dan dapat ditemukan kembali.</x:v>
      </x:c>
      <x:c r="E8" s="27" t="str">
        <x:v>Arsip resmi; register; folder organisasi.</x:v>
      </x:c>
      <x:c r="F8" s="27" t="str">
        <x:v>BELUM TERSEDIA</x:v>
      </x:c>
      <x:c r="G8" s="27" t="str">
        <x:v>sudah ada di P2MA, namun tidak ada folder resmi di Bagian TUM</x:v>
      </x:c>
      <x:c r="H8" s="27" t="str">
        <x:v>Konfirmasi Arsiparis</x:v>
      </x:c>
      <x:c r="I8" s="44"/>
    </x:row>
    <x:row r="9" ht="72" customHeight="1">
      <x:c r="A9" s="43" t="n">
        <x:v>5</x:v>
      </x:c>
      <x:c r="B9" s="27" t="str">
        <x:v>TATA KELOLA</x:v>
      </x:c>
      <x:c r="C9" s="27" t="str">
        <x:v>Status P2MA</x:v>
      </x:c>
      <x:c r="D9" s="27" t="str">
        <x:v>Keberadaan entri dan kesesuaian metadata P2MA dengan naskah resmi.</x:v>
      </x:c>
      <x:c r="E9" s="27" t="str">
        <x:v>P2MA dan naskah bertanda tangan.</x:v>
      </x:c>
      <x:c r="F9" s="27" t="str">
        <x:v>TERVERIFIKASI</x:v>
      </x:c>
      <x:c r="G9" s="27" t="str">
        <x:v>Entri publik P2MA ditemukan dengan status Berlangsung dan naskah PDF dapat dibuka. Satu entri ditemukan dan tautan PDF dapat dibuka. Dalam publikasi naskah belum ada tanda tangan</x:v>
      </x:c>
      <x:c r="H9" s="27" t="str">
        <x:v>https://p2ma.kemenkum.go.id/kdn/pencarian?tipe=1&amp;keyword=Universitas%20Maritim%20Raja%20Ali%20Haji</x:v>
      </x:c>
      <x:c r="I9" s="44"/>
    </x:row>
    <x:row r="10" ht="72" customHeight="1">
      <x:c r="A10" s="43" t="n">
        <x:v>6</x:v>
      </x:c>
      <x:c r="B10" s="27" t="str">
        <x:v>PENGAMPU</x:v>
      </x:c>
      <x:c r="C10" s="27" t="str">
        <x:v>Unit pengampu</x:v>
      </x:c>
      <x:c r="D10" s="27" t="str">
        <x:v>Unit internal yang bertanggung jawab atas substansi dan implementasi kerja sama.</x:v>
      </x:c>
      <x:c r="E10" s="27" t="str">
        <x:v>ND/SK/pembagian tugas; konfirmasi tertulis unit.</x:v>
      </x:c>
      <x:c r="F10" s="27" t="str">
        <x:v>BELUM TERSEDIA</x:v>
      </x:c>
      <x:c r="G10" s="27" t="str">
        <x:v>Naskah dan P2MA publik belum cukup untuk menetapkan unit internal yang bertanggung jawab atas implementasi kerja sama.belum ada pembagian tugas secara tertulis baik berupa SK ataupun Nota Dinas</x:v>
      </x:c>
      <x:c r="H10" s="27" t="str">
        <x:v>Naskah/P2MA publik; ND, SK, pembagian tugas, atau konfirmasi unit belum diperoleh.</x:v>
      </x:c>
      <x:c r="I10" s="44"/>
    </x:row>
    <x:row r="11" ht="72" customHeight="1">
      <x:c r="A11" s="43" t="n">
        <x:v>7</x:v>
      </x:c>
      <x:c r="B11" s="27" t="str">
        <x:v>PIC</x:v>
      </x:c>
      <x:c r="C11" s="27" t="str">
        <x:v>PIC internal</x:v>
      </x:c>
      <x:c r="D11" s="27" t="str">
        <x:v>PIC utama dan cadangan yang aktif, lengkap dengan jabatan, kontak, dan dasar penetapan.</x:v>
      </x:c>
      <x:c r="E11" s="27" t="str">
        <x:v>ND/SK/daftar PIC; konfirmasi tertulis unit.</x:v>
      </x:c>
      <x:c r="F11" s="27" t="str">
        <x:v>BELUM TERSEDIA</x:v>
      </x:c>
      <x:c r="G11" s="27" t="str">
        <x:v>PIC internal utama dan cadangan belum dapat dipastikan dari sumber publik yang diperiksa. Belum ada PIC internal yang di atur di dalam SK atau Nota dinas</x:v>
      </x:c>
      <x:c r="H11" s="27" t="str">
        <x:v>Daftar PIC, ND/SK, dan konfirmasi tertulis unit belum diperoleh.</x:v>
      </x:c>
      <x:c r="I11" s="44"/>
    </x:row>
    <x:row r="12" ht="72" customHeight="1">
      <x:c r="A12" s="43" t="n">
        <x:v>8</x:v>
      </x:c>
      <x:c r="B12" s="27" t="str">
        <x:v>PIC</x:v>
      </x:c>
      <x:c r="C12" s="27" t="str">
        <x:v>PIC mitra</x:v>
      </x:c>
      <x:c r="D12" s="27" t="str">
        <x:v>Penghubung operasional pihak mitra yang telah dikonfirmasi.</x:v>
      </x:c>
      <x:c r="E12" s="27" t="str">
        <x:v>Surat/email/form konfirmasi resmi dari mitra.</x:v>
      </x:c>
      <x:c r="F12" s="27" t="str">
        <x:v>BELUM TERSEDIA</x:v>
      </x:c>
      <x:c r="G12" s="27" t="str">
        <x:v>PIC operasional pihak mitra belum dikonfirmasi melalui surat, email resmi, atau formulir penunjukan.</x:v>
      </x:c>
      <x:c r="H12" s="27" t="str">
        <x:v>Surat/email/formulir penunjukan PIC mitra belum diperoleh.</x:v>
      </x:c>
      <x:c r="I12" s="44"/>
    </x:row>
    <x:row r="13" ht="72" customHeight="1">
      <x:c r="A13" s="43" t="n">
        <x:v>9</x:v>
      </x:c>
      <x:c r="B13" s="27" t="str">
        <x:v>TINDAK LANJUT</x:v>
      </x:c>
      <x:c r="C13" s="27" t="str">
        <x:v>Rencana tindak lanjut</x:v>
      </x:c>
      <x:c r="D13" s="27" t="str">
        <x:v>Dokumen atau komitmen operasional yang memuat kegiatan, periode, target, dan/atau PIC.</x:v>
      </x:c>
      <x:c r="E13" s="27" t="str">
        <x:v>Rencana aksi; matriks kerja; kalender; notula.</x:v>
      </x:c>
      <x:c r="F13" s="27" t="str">
        <x:v>BELUM TERSEDIA</x:v>
      </x:c>
      <x:c r="G13" s="27" t="str">
        <x:v>Ruang lingkup naskah tersedia, tetapi belum ditemukan rencana aksi atau komitmen operasional yang memuat kegiatan, periode, target, dan PIC.</x:v>
      </x:c>
      <x:c r="H13" s="27" t="str">
        <x:v>Rencana aksi, matriks kerja, kalender, atau notula belum diperoleh.</x:v>
      </x:c>
      <x:c r="I13" s="44"/>
    </x:row>
    <x:row r="14" ht="72" customHeight="1">
      <x:c r="A14" s="43" t="n">
        <x:v>10</x:v>
      </x:c>
      <x:c r="B14" s="27" t="str">
        <x:v>PELAKSANAAN</x:v>
      </x:c>
      <x:c r="C14" s="27" t="str">
        <x:v>Pelaksanaan dan hasil</x:v>
      </x:c>
      <x:c r="D14" s="27" t="str">
        <x:v>Kegiatan aktual, realisasi terhadap target jatuh tempo, serta output yang dihasilkan.</x:v>
      </x:c>
      <x:c r="E14" s="27" t="str">
        <x:v>Laporan; undangan; notula; daftar hadir; data hasil.</x:v>
      </x:c>
      <x:c r="F14" s="27" t="str">
        <x:v>BELUM TERVERIFIKASI</x:v>
      </x:c>
      <x:c r="G14" s="27" t="str">
        <x:v>Terdapat indikasi pelaksanaan kegiatan bersama UMRAH. Bukti yang tersedia pada saat baseline berupa sertifikat peserta magang, sehingga kegiatan magang dapat ditelusuri; keterkaitan dan output kegiatan lain yang tercatat belum didukung bukti minimum yang memadai.</x:v>
      </x:c>
      <x:c r="H14" s="27" t="str">
        <x:v>Sertifikat peserta magang; bukti/laporan kegiatan lain belum terhimpun dalam baseline.</x:v>
      </x:c>
      <x:c r="I14" s="44"/>
    </x:row>
    <x:row r="15" ht="72" customHeight="1">
      <x:c r="A15" s="43" t="n">
        <x:v>11</x:v>
      </x:c>
      <x:c r="B15" s="27" t="str">
        <x:v>EVIDEN</x:v>
      </x:c>
      <x:c r="C15" s="27" t="str">
        <x:v>Eviden implementasi</x:v>
      </x:c>
      <x:c r="D15" s="27" t="str">
        <x:v>Bukti pelaksanaan/output, lokasi penyimpanan, dan tingkat keteraturannya.</x:v>
      </x:c>
      <x:c r="E15" s="27" t="str">
        <x:v>Folder resmi; indeks bukti; dokumen/data kegiatan.</x:v>
      </x:c>
      <x:c r="F15" s="27" t="str">
        <x:v>BELUM TERSEDIA</x:v>
      </x:c>
      <x:c r="G15" s="27" t="str">
        <x:v>Naskah dan entri P2MA tersedia, tetapi folder resmi, indeks, serta bukti implementasi belum diperiksa.</x:v>
      </x:c>
      <x:c r="H15" s="27" t="str">
        <x:v>Folder eviden, indeks bukti, dan dokumen/data kegiatan belum diperoleh.</x:v>
      </x:c>
      <x:c r="I15" s="44"/>
    </x:row>
    <x:row r="16" ht="72" customHeight="1">
      <x:c r="A16" s="45" t="n">
        <x:v>12</x:v>
      </x:c>
      <x:c r="B16" s="46" t="str">
        <x:v>HAMBATAN</x:v>
      </x:c>
      <x:c r="C16" s="46" t="str">
        <x:v>Hambatan/gap</x:v>
      </x:c>
      <x:c r="D16" s="46" t="str">
        <x:v>Kendala faktual atau kekosongan data yang memengaruhi implementasi dan sudah dikonfirmasi.</x:v>
      </x:c>
      <x:c r="E16" s="46" t="str">
        <x:v>Konfirmasi unit/PIC/mitra; notula; laporan; bukti keterlambatan.</x:v>
      </x:c>
      <x:c r="F16" s="46" t="str">
        <x:v>BELUM TERSEDIA</x:v>
      </x:c>
      <x:c r="G16" s="46" t="str">
        <x:v>Hambatan operasional belum dikonfirmasi. Gap baseline pada cut-off mencakup arsip resmi, unit pengampu, PIC, rencana tindak lanjut, keterkaitan kegiatan dengan MoU, dan eviden implementasi.</x:v>
      </x:c>
      <x:c r="H16" s="46" t="str">
        <x:v>Penelusuran publik P2MA; konfirmasi unit/PIC/mitra belum dilakukan.</x:v>
      </x:c>
      <x:c r="I16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.375" customWidth="1"/>
    <x:col min="2" max="2" width="34" customWidth="1"/>
    <x:col min="3" max="3" width="22" customWidth="1"/>
    <x:col min="4" max="4" width="48" customWidth="1"/>
    <x:col min="5" max="5" width="18" customWidth="1"/>
    <x:col min="6" max="6" width="42" customWidth="1"/>
  </x:cols>
  <x:sheetData>
    <x:row r="1" ht="18">
      <x:c r="A1" s="721" t="str">
        <x:v>SUMBER DATA PASCA-BASELINE — P06 Universitas Maritim Raja Ali Haji (UMRAH)</x:v>
      </x:c>
      <x:c r="B1" s="722"/>
      <x:c r="C1" s="722"/>
      <x:c r="D1" s="722"/>
      <x:c r="E1" s="722"/>
      <x:c r="F1" s="723"/>
    </x:row>
    <x:row r="2">
      <x:c r="A2" s="724" t="str">
        <x:v>Penilaian s.d. 27 September 2026 menggunakan Final Baseline P06 dan Eviden_P06_UMRAH.xlsx yang masih belum terisi substantif.</x:v>
      </x:c>
      <x:c r="B2" s="725"/>
      <x:c r="C2" s="725"/>
      <x:c r="D2" s="725"/>
      <x:c r="E2" s="725"/>
      <x:c r="F2" s="726"/>
    </x:row>
    <x:row r="3">
      <x:c r="A3" s="610"/>
      <x:c r="B3" s="395"/>
      <x:c r="C3" s="395"/>
      <x:c r="D3" s="395"/>
      <x:c r="E3" s="395"/>
      <x:c r="F3" s="611"/>
    </x:row>
    <x:row r="4" ht="30">
      <x:c r="A4" s="608" t="str">
        <x:v>No</x:v>
      </x:c>
      <x:c r="B4" s="600" t="str">
        <x:v>Sumber</x:v>
      </x:c>
      <x:c r="C4" s="600" t="str">
        <x:v>Jenis Data</x:v>
      </x:c>
      <x:c r="D4" s="600" t="str">
        <x:v>Fakta Kunci</x:v>
      </x:c>
      <x:c r="E4" s="600" t="str">
        <x:v>Indikator Scorecard</x:v>
      </x:c>
      <x:c r="F4" s="609" t="str">
        <x:v>Catatan Rekonsiliasi</x:v>
      </x:c>
    </x:row>
    <x:row r="5" ht="42.75">
      <x:c r="A5" s="610" t="n">
        <x:v>1</x:v>
      </x:c>
      <x:c r="B5" s="395" t="str">
        <x:v>FINAL BASELINE P06</x:v>
      </x:c>
      <x:c r="C5" s="395" t="str">
        <x:v>Baseline</x:v>
      </x:c>
      <x:c r="D5" s="395" t="str">
        <x:v>P2MA terverifikasi; implementasi belum terverifikasi; terdapat sertifikat peserta magang sebagai bukti terbatas.</x:v>
      </x:c>
      <x:c r="E5" s="395" t="str">
        <x:v>I2,I3,I6</x:v>
      </x:c>
      <x:c r="F5" s="611" t="str">
        <x:v>Titik awal penilaian implementasi.</x:v>
      </x:c>
    </x:row>
    <x:row r="6" ht="42.75">
      <x:c r="A6" s="610" t="n">
        <x:v>2</x:v>
      </x:c>
      <x:c r="B6" s="395" t="str">
        <x:v>Eviden_P06_UMRAH.xlsx — IDENTITAS &amp; PIC</x:v>
      </x:c>
      <x:c r="C6" s="395" t="str">
        <x:v>Mitra</x:v>
      </x:c>
      <x:c r="D6" s="395" t="str">
        <x:v>Form masih berupa placeholder; PIC belum diisi.</x:v>
      </x:c>
      <x:c r="E6" s="395" t="str">
        <x:v>I1,I6,I7</x:v>
      </x:c>
      <x:c r="F6" s="611" t="str">
        <x:v>Tidak dihitung sebagai konfirmasi PIC.</x:v>
      </x:c>
    </x:row>
    <x:row r="7" ht="42.75">
      <x:c r="A7" s="610" t="n">
        <x:v>3</x:v>
      </x:c>
      <x:c r="B7" s="395" t="str">
        <x:v>Eviden_P06_UMRAH.xlsx — PELAKSANAAN/USULAN</x:v>
      </x:c>
      <x:c r="C7" s="395" t="str">
        <x:v>Mitra</x:v>
      </x:c>
      <x:c r="D7" s="395" t="str">
        <x:v>Belum ada kegiatan maupun usulan yang diinput.</x:v>
      </x:c>
      <x:c r="E7" s="395" t="str">
        <x:v>I1,I2,I3,I4,I5,I6,I7</x:v>
      </x:c>
      <x:c r="F7" s="611" t="str">
        <x:v>Tidak menambah evidence substantif.</x:v>
      </x:c>
    </x:row>
    <x:row r="8" ht="42.75">
      <x:c r="A8" s="610"/>
      <x:c r="B8" s="395"/>
      <x:c r="C8" s="395"/>
      <x:c r="D8" s="395"/>
      <x:c r="E8" s="395"/>
      <x:c r="F8" s="611"/>
    </x:row>
    <x:row r="9" ht="42.75">
      <x:c r="A9" s="610" t="str">
        <x:v>Catatan Kematangan</x:v>
      </x:c>
      <x:c r="B9" s="395" t="str">
        <x:v>MoU berlaku sejak 19 Maret 2025</x:v>
      </x:c>
      <x:c r="C9" s="395" t="str">
        <x:v>Usia saat penilaian 557 hari (&gt;6 bulan)</x:v>
      </x:c>
      <x:c r="D9" s="395" t="str">
        <x:v>Seluruh I1–I7 = DAPAT DINILAI</x:v>
      </x:c>
      <x:c r="E9" s="395" t="str">
        <x:v>Status Scorecard dihitung penuh</x:v>
      </x:c>
      <x:c r="F9" s="611" t="str">
        <x:v>Ketiadaan evidence setelah &gt;6 bulan tercermin pada skor, bukan BDN karena faktor waktu.</x:v>
      </x:c>
    </x:row>
    <x:row r="10" ht="42.75">
      <x:c r="A10" s="610"/>
      <x:c r="B10" s="395"/>
      <x:c r="C10" s="395"/>
      <x:c r="D10" s="395"/>
      <x:c r="E10" s="395"/>
      <x:c r="F10" s="611"/>
    </x:row>
    <x:row r="11" ht="28.5">
      <x:c r="A11" s="610"/>
      <x:c r="B11" s="395"/>
      <x:c r="C11" s="395"/>
      <x:c r="D11" s="395"/>
      <x:c r="E11" s="395"/>
      <x:c r="F11" s="611"/>
    </x:row>
    <x:row r="12" ht="28.5">
      <x:c r="A12" s="612"/>
      <x:c r="B12" s="396"/>
      <x:c r="C12" s="396"/>
      <x:c r="D12" s="396"/>
      <x:c r="E12" s="396"/>
      <x:c r="F12" s="613"/>
    </x:row>
    <x:row r="13">
      <x:c r="A13" s="395"/>
      <x:c r="B13" s="395"/>
      <x:c r="C13" s="395"/>
      <x:c r="D13" s="395"/>
      <x:c r="E13" s="395"/>
      <x:c r="F13" s="395"/>
    </x:row>
    <x:row r="14" s="83" customFormat="1" ht="51">
      <x:c r="A14" s="633"/>
      <x:c r="B14" s="633"/>
      <x:c r="C14" s="633"/>
      <x:c r="D14" s="633"/>
      <x:c r="E14" s="633"/>
      <x:c r="F14" s="633"/>
    </x:row>
    <x:row r="15">
      <x:c r="A15" s="395"/>
      <x:c r="B15" s="395"/>
      <x:c r="C15" s="395"/>
      <x:c r="D15" s="395"/>
      <x:c r="E15" s="395"/>
      <x:c r="F15" s="395"/>
    </x:row>
    <x:row r="16">
      <x:c r="A16" s="395"/>
      <x:c r="B16" s="395"/>
      <x:c r="C16" s="395"/>
      <x:c r="D16" s="395"/>
      <x:c r="E16" s="395"/>
      <x:c r="F16" s="395"/>
    </x:row>
    <x:row r="17">
      <x:c r="A17" s="395"/>
      <x:c r="B17" s="395"/>
      <x:c r="C17" s="395"/>
      <x:c r="D17" s="395"/>
      <x:c r="E17" s="395"/>
      <x:c r="F17" s="395"/>
    </x:row>
    <x:row r="18">
      <x:c r="A18" s="395"/>
      <x:c r="B18" s="395"/>
      <x:c r="C18" s="395"/>
      <x:c r="D18" s="395"/>
      <x:c r="E18" s="395"/>
      <x:c r="F18" s="395"/>
    </x:row>
    <x:row r="19">
      <x:c r="A19" s="395"/>
      <x:c r="B19" s="395"/>
      <x:c r="C19" s="395"/>
      <x:c r="D19" s="395"/>
      <x:c r="E19" s="395"/>
      <x:c r="F19" s="395"/>
    </x:row>
    <x:row r="20">
      <x:c r="A20" s="395"/>
      <x:c r="B20" s="395"/>
      <x:c r="C20" s="395"/>
      <x:c r="D20" s="395"/>
      <x:c r="E20" s="395"/>
      <x:c r="F20" s="395"/>
    </x:row>
    <x:row r="21">
      <x:c r="A21" s="395"/>
      <x:c r="B21" s="395"/>
      <x:c r="C21" s="395"/>
      <x:c r="D21" s="395"/>
      <x:c r="E21" s="395"/>
      <x:c r="F21" s="395"/>
    </x:row>
    <x:row r="22">
      <x:c r="A22" s="395"/>
      <x:c r="B22" s="395"/>
      <x:c r="C22" s="395"/>
      <x:c r="D22" s="395"/>
      <x:c r="E22" s="395"/>
      <x:c r="F22" s="395"/>
    </x:row>
    <x:row r="23">
      <x:c r="A23" s="395"/>
      <x:c r="B23" s="395"/>
      <x:c r="C23" s="395"/>
      <x:c r="D23" s="395"/>
      <x:c r="E23" s="395"/>
      <x:c r="F23" s="395"/>
    </x:row>
    <x:row r="24">
      <x:c r="A24" s="395"/>
      <x:c r="B24" s="395"/>
      <x:c r="C24" s="395"/>
      <x:c r="D24" s="395"/>
      <x:c r="E24" s="395"/>
      <x:c r="F24" s="395"/>
    </x:row>
    <x:row r="25">
      <x:c r="A25" s="395"/>
      <x:c r="B25" s="395"/>
      <x:c r="C25" s="395"/>
      <x:c r="D25" s="395"/>
      <x:c r="E25" s="395"/>
      <x:c r="F25" s="395"/>
    </x:row>
    <x:row r="26">
      <x:c r="A26" s="395"/>
      <x:c r="B26" s="395"/>
      <x:c r="C26" s="395"/>
      <x:c r="D26" s="395"/>
      <x:c r="E26" s="395"/>
      <x:c r="F26" s="395"/>
    </x:row>
    <x:row r="27">
      <x:c r="A27" s="395"/>
      <x:c r="B27" s="395"/>
      <x:c r="C27" s="395"/>
      <x:c r="D27" s="395"/>
      <x:c r="E27" s="395"/>
      <x:c r="F27" s="395"/>
    </x:row>
    <x:row r="28">
      <x:c r="A28" s="395"/>
      <x:c r="B28" s="395"/>
      <x:c r="C28" s="395"/>
      <x:c r="D28" s="395"/>
      <x:c r="E28" s="395"/>
      <x:c r="F28" s="395"/>
    </x:row>
    <x:row r="29">
      <x:c r="A29" s="395"/>
      <x:c r="B29" s="395"/>
      <x:c r="C29" s="395"/>
      <x:c r="D29" s="395"/>
      <x:c r="E29" s="395"/>
      <x:c r="F29" s="395"/>
    </x:row>
    <x:row r="30">
      <x:c r="A30" s="395"/>
      <x:c r="B30" s="395"/>
      <x:c r="C30" s="395"/>
      <x:c r="D30" s="395"/>
      <x:c r="E30" s="395"/>
      <x:c r="F30" s="395"/>
    </x:row>
    <x:row r="31">
      <x:c r="A31" s="395"/>
      <x:c r="B31" s="395"/>
      <x:c r="C31" s="395"/>
      <x:c r="D31" s="395"/>
      <x:c r="E31" s="395"/>
      <x:c r="F31" s="395"/>
    </x:row>
    <x:row r="32">
      <x:c r="A32" s="395"/>
      <x:c r="B32" s="395"/>
      <x:c r="C32" s="395"/>
      <x:c r="D32" s="395"/>
      <x:c r="E32" s="395"/>
      <x:c r="F32" s="395"/>
    </x:row>
    <x:row r="33">
      <x:c r="A33" s="395"/>
      <x:c r="B33" s="395"/>
      <x:c r="C33" s="395"/>
      <x:c r="D33" s="395"/>
      <x:c r="E33" s="395"/>
      <x:c r="F33" s="395"/>
    </x:row>
    <x:row r="34">
      <x:c r="A34" s="395"/>
      <x:c r="B34" s="395"/>
      <x:c r="C34" s="395"/>
      <x:c r="D34" s="395"/>
      <x:c r="E34" s="395"/>
      <x:c r="F34" s="395"/>
    </x:row>
    <x:row r="35">
      <x:c r="A35" s="395"/>
      <x:c r="B35" s="395"/>
      <x:c r="C35" s="395"/>
      <x:c r="D35" s="395"/>
      <x:c r="E35" s="395"/>
      <x:c r="F35" s="395"/>
    </x:row>
    <x:row r="36">
      <x:c r="A36" s="395"/>
      <x:c r="B36" s="395"/>
      <x:c r="C36" s="395"/>
      <x:c r="D36" s="395"/>
      <x:c r="E36" s="395"/>
      <x:c r="F36" s="395"/>
    </x:row>
    <x:row r="37">
      <x:c r="A37" s="395"/>
      <x:c r="B37" s="395"/>
      <x:c r="C37" s="395"/>
      <x:c r="D37" s="395"/>
      <x:c r="E37" s="395"/>
      <x:c r="F37" s="395"/>
    </x:row>
    <x:row r="38">
      <x:c r="A38" s="395"/>
      <x:c r="B38" s="395"/>
      <x:c r="C38" s="395"/>
      <x:c r="D38" s="395"/>
      <x:c r="E38" s="395"/>
      <x:c r="F38" s="395"/>
    </x:row>
    <x:row r="39">
      <x:c r="A39" s="395"/>
      <x:c r="B39" s="395"/>
      <x:c r="C39" s="395"/>
      <x:c r="D39" s="395"/>
      <x:c r="E39" s="395"/>
      <x:c r="F39" s="395"/>
    </x:row>
    <x:row r="40">
      <x:c r="A40" s="395"/>
      <x:c r="B40" s="395"/>
      <x:c r="C40" s="395"/>
      <x:c r="D40" s="395"/>
      <x:c r="E40" s="395"/>
      <x:c r="F40" s="395"/>
    </x:row>
  </x:sheetData>
  <x:pageMargins left="0.7" right="0.7" top="0.75" bottom="0.75" header="0.3" footer="0.3"/>
</x:worksheet>
</file>