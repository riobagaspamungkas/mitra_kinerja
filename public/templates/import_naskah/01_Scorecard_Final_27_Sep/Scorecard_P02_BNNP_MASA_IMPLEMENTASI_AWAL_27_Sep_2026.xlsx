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f9ec2c02494a78" /></Relationships>
</file>

<file path=xl/workbook.xml><?xml version="1.0" encoding="utf-8"?>
<x:workbook xmlns:x="http://schemas.openxmlformats.org/spreadsheetml/2006/main">
  <x:sheets>
    <x:sheet xmlns:r="http://schemas.openxmlformats.org/officeDocument/2006/relationships" name="PENILAIAN" sheetId="1" r:id="R2abf4b6e67a44398"/>
    <x:sheet xmlns:r="http://schemas.openxmlformats.org/officeDocument/2006/relationships" name="KENDALI" sheetId="2" r:id="Rc0db1e154ad54339"/>
    <x:sheet xmlns:r="http://schemas.openxmlformats.org/officeDocument/2006/relationships" name="REKOMENDASI" sheetId="3" r:id="R89dfcda0e2f244de"/>
    <x:sheet xmlns:r="http://schemas.openxmlformats.org/officeDocument/2006/relationships" name="RUBRIK" sheetId="4" r:id="Rb02b4203d1444e69"/>
    <x:sheet xmlns:r="http://schemas.openxmlformats.org/officeDocument/2006/relationships" name="PANDUAN" sheetId="5" r:id="R3c9794087f26406d"/>
    <x:sheet xmlns:r="http://schemas.openxmlformats.org/officeDocument/2006/relationships" name="CONTOH" sheetId="6" r:id="Rf88a9453d04641b8"/>
    <x:sheet xmlns:r="http://schemas.openxmlformats.org/officeDocument/2006/relationships" name="SUMBER_BASELINE" sheetId="7" r:id="R48cfa3776211488e"/>
    <x:sheet xmlns:r="http://schemas.openxmlformats.org/officeDocument/2006/relationships" name="SUMBER_AKTUAL" sheetId="8" r:id="Rad826f28780d4a8a"/>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<x:sst xmlns:x="http://schemas.openxmlformats.org/spreadsheetml/2006/main">
  <x:si>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</x:si>
  <x:si>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</x:si>
  <x:si>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</x:si>
  <x:si>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KUNING = diisi pengguna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</x:si>
  <x:si>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</x:si>
  <x:si>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</x:si>
  <x:si>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</x:si>
  <x:si>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</x:si>
  <x:si>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</x:si>
  <x:si>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</x:si>
  <x:si>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</x:si>
  <x:si>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</x:si>
  <x:si>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</x:si>
  <x:si>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</x:si>
  <x:si>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</x:si>
  <x:si>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</x:si>
  <x:si>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</x:si>
  <x:si>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</x:si>
  <x:si>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</x:si>
  <x:si>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</x:si>
  <x:si>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</x:si>
  <x:si>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</x:si>
  <x:si>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</x:si>
  <x:si>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</x:si>
  <x:si>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</x:si>
  <x:si>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</x:si>
  <x:si>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</x:si>
  <x:si>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</x:si>
  <x:si>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</x:si>
  <x:si>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</x:si>
  <x:si>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</x:si>
  <x:si>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</x:si>
  <x:si>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</x:si>
  <x:si>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</x:si>
  <x:si>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</x:si>
  <x:si>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</x:si>
  <x:si>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</x:si>
  <x:si>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</x:si>
  <x:si>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</x:si>
  <x:si>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</x:si>
  <x:si>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</x:si>
  <x:si>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</x:si>
  <x:si>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</x:si>
  <x:si>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</x:si>
  <x:si>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</x:si>
  <x:si>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</x:si>
  <x:si>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</x:si>
  <x:si>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</x:si>
  <x:si>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</x:si>
  <x:si>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</x:si>
  <x:si>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</x:si>
  <x:si>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</x:si>
  <x:si>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</x:si>
  <x:si>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</x:si>
  <x:si>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</x:si>
  <x:si>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</x:si>
  <x:si>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</x:si>
  <x:si>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</x:si>
  <x:si>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</x:si>
  <x:si>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</x:si>
  <x:si>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</x:si>
  <x:si>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</x:si>
  <x:si>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</x:si>
  <x:si>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</x:si>
  <x:si>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</x:si>
  <x:si>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</x:si>
  <x:si>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</x:si>
  <x:si>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</x:si>
  <x:si>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</x:si>
  <x:si>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</x:si>
  <x:si>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</x:si>
  <x:si>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</x:si>
  <x:si>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</x:si>
  <x:si>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</x:si>
  <x:si>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</x:si>
  <x:si>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</x:si>
  <x:si>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</x:si>
  <x:si>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</x:si>
  <x:si>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</x:si>
  <x:si>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</x:si>
  <x:si>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</x:si>
  <x:si>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</x:si>
  <x:si>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</x:si>
  <x:si>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</x:si>
  <x:si>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</x:si>
  <x:si>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</x:si>
  <x:si>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</x:si>
  <x:si>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</x:si>
  <x:si>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</x:si>
  <x:si>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</x:si>
  <x:si>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</x:si>
  <x:si>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</x:si>
  <x:si>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</x:si>
  <x:si>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</x:si>
  <x:si>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</x:si>
  <x:si>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</x:si>
  <x:si>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</x:si>
  <x:si>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</x:si>
  <x:si>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</x:si>
  <x:si>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</x:si>
  <x:si>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</x:si>
  <x:si>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</x:si>
  <x:si>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</x:si>
  <x:si>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</x:si>
  <x:si>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</x:si>
  <x:si>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</x:si>
  <x:si>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</x:si>
  <x:si>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</x:si>
  <x:si>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</x:si>
  <x:si>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</x:si>
  <x:si>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</x:si>
  <x:si>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</x:si>
  <x:si>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</x:si>
  <x:si>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</x:si>
  <x:si>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</x:si>
  <x:si>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</x:si>
  <x:si>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</x:si>
  <x:si>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</x:si>
  <x:si>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</x:si>
  <x:si>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</x:si>
  <x:si>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</x:si>
  <x:si>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</x:si>
  <x:si>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</x:si>
  <x:si>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</x:si>
  <x:si>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</x:si>
  <x:si>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</x:si>
  <x:si>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</x:si>
  <x:si>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</x:si>
  <x:si>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</x:si>
  <x:si>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</x:si>
  <x:si>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</x:si>
  <x:si>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</x:si>
  <x:si>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</x:si>
  <x:si>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</x:si>
  <x:si>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</x:si>
  <x:si>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</x:si>
  <x:si>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</x:si>
  <x:si>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</x:si>
  <x:si>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</x:si>
  <x:si>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</x:si>
  <x:si>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</x:si>
  <x:si>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</x:si>
  <x:si>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</x:si>
  <x:si>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</x:si>
  <x:si>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</x:si>
  <x:si>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</x:si>
  <x:si>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</x:si>
  <x:si>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</x:si>
  <x:si>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</x:si>
  <x:si>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</x:si>
  <x:si>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</x:si>
  <x:si>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</x:si>
  <x:si>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</x:si>
  <x:si>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</x:si>
  <x:si>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</x:si>
  <x:si>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</x:si>
  <x:si>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</x:si>
  <x:si>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</x:si>
  <x:si>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</x:si>
  <x:si>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</x:si>
  <x:si>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</x:si>
  <x:si>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</x:si>
  <x:si>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</x:si>
  <x:si>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</x:si>
  <x:si>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</x:si>
  <x:si>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</x:si>
  <x:si>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</x:si>
  <x:si>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</x:si>
  <x:si>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</x:si>
  <x:si>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</x:si>
  <x:si>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</x:si>
  <x:si>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</x:si>
  <x:si>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</x:si>
  <x:si>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</x:si>
  <x:si>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</x:si>
  <x:si>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</x:si>
  <x:si>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</x:si>
  <x:si>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</x:si>
  <x:si>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</x:si>
  <x:si>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</x:si>
  <x:si>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</x:si>
  <x:si>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</x:si>
  <x:si>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</x:si>
  <x:si>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</x:si>
  <x:si>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</x:si>
  <x:si>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</x:si>
  <x:si>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</x:si>
  <x:si>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</x:si>
  <x:si>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</x:si>
  <x:si>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</x:si>
  <x:si>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</x:si>
  <x:si>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</x:si>
  <x:si>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</x:si>
  <x:si>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</x:si>
  <x:si>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</x:si>
  <x:si>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</x:si>
  <x:si>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</x:si>
  <x:si>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</x:si>
  <x:si>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</x:si>
  <x:si>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</x:si>
  <x:si>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</x:si>
  <x:si>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</x:si>
  <x:si>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</x:si>
  <x:si>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</x:si>
  <x:si>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</x:si>
  <x:si>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</x:si>
  <x:si>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</x:si>
  <x:si>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</x:si>
  <x:si>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</x:si>
  <x:si>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</x:si>
  <x:si>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</x:si>
  <x:si>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</x:si>
  <x:si>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</x:si>
  <x:si>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</x:si>
  <x:si>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</x:si>
  <x:si>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</x:si>
  <x:si>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</x:si>
  <x:si>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</x:si>
  <x:si>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</x:si>
  <x:si>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</x:si>
  <x:si>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</x:si>
  <x:si>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</x:si>
  <x:si>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</x:si>
  <x:si>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</x:si>
  <x:si>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</x:si>
  <x:si>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</x:si>
  <x:si>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</x:si>
  <x:si>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</x:si>
  <x:si>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</x:si>
  <x:si>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</x:si>
  <x:si>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</x:si>
  <x:si>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</x:si>
  <x:si>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</x:si>
  <x:si>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</x:si>
  <x:si>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</x:si>
  <x:si>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</x:si>
  <x:si>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</x:si>
  <x:si>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</x:si>
  <x:si>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</x:si>
  <x:si>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</x:si>
  <x:si>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</x:si>
  <x:si>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</x:si>
  <x:si>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</x:si>
  <x:si>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</x:si>
  <x:si>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</x:si>
  <x:si>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</x:si>
  <x:si>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</x:si>
  <x:si>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</x:si>
  <x:si>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</x:si>
  <x:si>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</x:si>
  <x:si>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</x:si>
  <x:si>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</x:si>
  <x:si>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</x:si>
  <x:si>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</x:si>
  <x:si>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</x:si>
  <x:si>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</x:si>
  <x:si>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</x:si>
  <x:si>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</x:si>
  <x:si>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</x:si>
  <x:si>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</x:si>
  <x:si>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</x:si>
  <x:si>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</x:si>
  <x:si>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</x:si>
  <x:si>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</x:si>
  <x:si>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</x:si>
  <x:si>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</x:si>
  <x:si>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DAPAT DINILAI</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</x:si>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</x:sst>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9">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s>
  <x:fills count="15">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s>
  <x:borders count="29">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s>
  <x:cellStyleXfs count="1">
    <x:xf numFmtId="0" fontId="0" fillId="0" borderId="0"/>
  </x:cellStyleXfs>
  <x:cellXfs count="170">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0" xfId="0" applyFont="1" applyFill="1" applyAlignment="1">
      <x:alignment vertical="center"/>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3" fillId="4" borderId="5" xfId="0" applyFont="1" applyFill="1" applyBorder="1" applyAlignment="1">
      <x:alignment vertical="center"/>
    </x:xf>
    <x:xf numFmtId="0" fontId="3" fillId="4" borderId="7" xfId="0" applyFont="1" applyFill="1" applyBorder="1" applyAlignment="1">
      <x:alignment vertical="center"/>
    </x:xf>
    <x:xf numFmtId="0" fontId="3" fillId="4" borderId="9" xfId="0" applyFont="1" applyFill="1" applyBorder="1" applyAlignment="1">
      <x:alignment vertical="center"/>
    </x:xf>
    <x:xf numFmtId="0" fontId="3" fillId="4" borderId="10" xfId="0" applyFont="1" applyFill="1" applyBorder="1" applyAlignment="1">
      <x:alignment vertical="center"/>
    </x:xf>
    <x:xf numFmtId="0" fontId="0" fillId="5" borderId="5" xfId="0" applyFill="1" applyBorder="1" applyAlignment="1">
      <x:alignment wrapText="1"/>
    </x:xf>
    <x:xf numFmtId="0" fontId="0" fillId="5" borderId="5" xfId="0" applyFill="1" applyBorder="1" applyAlignment="1">
      <x:alignment vertical="top" wrapText="1"/>
    </x:xf>
    <x:xf numFmtId="0" fontId="0" fillId="5" borderId="6" xfId="0" applyFill="1" applyBorder="1" applyAlignment="1">
      <x:alignment wrapText="1"/>
    </x:xf>
    <x:xf numFmtId="0" fontId="0" fillId="5" borderId="6" xfId="0" applyFill="1" applyBorder="1" applyAlignment="1">
      <x:alignment vertical="top" wrapText="1"/>
    </x:xf>
    <x:xf numFmtId="0" fontId="0" fillId="5" borderId="0" xfId="0" applyFill="1" applyAlignment="1">
      <x:alignment wrapText="1"/>
    </x:xf>
    <x:xf numFmtId="0" fontId="0" fillId="5" borderId="0" xfId="0" applyFill="1" applyAlignment="1">
      <x:alignment vertical="top" wrapText="1"/>
    </x:xf>
    <x:xf numFmtId="0" fontId="0" fillId="5" borderId="8" xfId="0" applyFill="1" applyBorder="1" applyAlignment="1">
      <x:alignment wrapText="1"/>
    </x:xf>
    <x:xf numFmtId="0" fontId="0" fillId="5" borderId="8" xfId="0" applyFill="1" applyBorder="1" applyAlignment="1">
      <x:alignment vertical="top" wrapText="1"/>
    </x:xf>
    <x:xf numFmtId="0" fontId="0" fillId="5" borderId="10" xfId="0" applyFill="1" applyBorder="1" applyAlignment="1">
      <x:alignment wrapText="1"/>
    </x:xf>
    <x:xf numFmtId="0" fontId="0" fillId="5" borderId="10" xfId="0" applyFill="1" applyBorder="1" applyAlignment="1">
      <x:alignment vertical="top" wrapText="1"/>
    </x:xf>
    <x:xf numFmtId="0" fontId="0" fillId="5" borderId="11" xfId="0" applyFill="1" applyBorder="1" applyAlignment="1">
      <x:alignment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5" fillId="0" borderId="4" xfId="0" applyFont="1" applyBorder="1" applyAlignment="1">
      <x:alignment vertical="top" wrapText="1"/>
    </x:xf>
    <x:xf numFmtId="0" fontId="5" fillId="0" borderId="5" xfId="0" applyFont="1" applyBorder="1" applyAlignment="1">
      <x:alignment vertical="top" wrapText="1"/>
    </x:xf>
    <x:xf numFmtId="0" fontId="5" fillId="0" borderId="7" xfId="0" applyFont="1" applyBorder="1" applyAlignment="1">
      <x:alignment vertical="top" wrapText="1"/>
    </x:xf>
    <x:xf numFmtId="0" fontId="5" fillId="0" borderId="0" xfId="0" applyFont="1" applyAlignment="1">
      <x:alignment vertical="top" wrapText="1"/>
    </x:xf>
    <x:xf numFmtId="0" fontId="5" fillId="0" borderId="9" xfId="0" applyFont="1" applyBorder="1" applyAlignment="1">
      <x:alignment vertical="top" wrapText="1"/>
    </x:xf>
    <x:xf numFmtId="0" fontId="5" fillId="0" borderId="10" xfId="0" applyFont="1" applyBorder="1" applyAlignment="1">
      <x:alignment vertical="top" wrapText="1"/>
    </x:xf>
    <x:xf numFmtId="0" fontId="5" fillId="0" borderId="5" xfId="0" applyFont="1" applyBorder="1" applyAlignment="1">
      <x:alignment horizontal="center" vertical="top" wrapText="1"/>
    </x:xf>
    <x:xf numFmtId="0" fontId="5" fillId="0" borderId="0" xfId="0" applyFont="1" applyAlignment="1">
      <x:alignment horizontal="center" vertical="top" wrapText="1"/>
    </x:xf>
    <x:xf numFmtId="0" fontId="5" fillId="0" borderId="10" xfId="0" applyFont="1" applyBorder="1" applyAlignment="1">
      <x:alignment horizontal="center" vertical="top" wrapText="1"/>
    </x:xf>
    <x:xf numFmtId="0" fontId="0" fillId="6" borderId="5" xfId="0" applyFill="1" applyBorder="1" applyAlignment="1">
      <x:alignment vertical="center" wrapText="1"/>
    </x:xf>
    <x:xf numFmtId="0" fontId="0" fillId="6" borderId="0" xfId="0" applyFill="1" applyAlignment="1">
      <x:alignment vertical="center" wrapText="1"/>
    </x:xf>
    <x:xf numFmtId="0" fontId="0" fillId="6" borderId="10" xfId="0" applyFill="1" applyBorder="1" applyAlignment="1">
      <x:alignment vertical="center" wrapText="1"/>
    </x:xf>
    <x:xf numFmtId="0" fontId="0" fillId="6" borderId="6" xfId="0" applyFill="1" applyBorder="1" applyAlignment="1">
      <x:alignment vertical="center" wrapText="1"/>
    </x:xf>
    <x:xf numFmtId="0" fontId="0" fillId="6" borderId="8" xfId="0" applyFill="1" applyBorder="1" applyAlignment="1">
      <x:alignment vertical="center" wrapText="1"/>
    </x:xf>
    <x:xf numFmtId="0" fontId="0" fillId="6" borderId="11" xfId="0" applyFill="1" applyBorder="1" applyAlignment="1">
      <x:alignment vertical="center" wrapText="1"/>
    </x:xf>
    <x:xf numFmtId="2" fontId="0" fillId="6" borderId="8" xfId="0" applyNumberFormat="1" applyFill="1" applyBorder="1" applyAlignment="1">
      <x:alignment vertical="center"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2" fontId="0" fillId="6" borderId="11" xfId="0" applyNumberFormat="1" applyFill="1" applyBorder="1" applyAlignment="1">
      <x:alignment vertical="center" wrapText="1"/>
    </x:xf>
    <x:xf numFmtId="0" fontId="3" fillId="4" borderId="1" xfId="0" applyFont="1" applyFill="1" applyBorder="1" applyAlignment="1">
      <x:alignment vertical="center" wrapText="1"/>
    </x:xf>
    <x:xf numFmtId="0" fontId="0" fillId="0" borderId="2" xfId="0" applyBorder="1" applyAlignment="1">
      <x:alignment wrapText="1"/>
    </x:xf>
    <x:xf numFmtId="0" fontId="0" fillId="0" borderId="3" xfId="0" applyBorder="1" applyAlignment="1">
      <x:alignment wrapText="1"/>
    </x:xf>
    <x:xf numFmtId="0" fontId="5" fillId="0" borderId="4" xfId="0" applyFont="1" applyBorder="1" applyAlignment="1">
      <x:alignment wrapText="1"/>
    </x:xf>
    <x:xf numFmtId="0" fontId="5" fillId="0" borderId="7" xfId="0" applyFont="1" applyBorder="1" applyAlignment="1">
      <x:alignment wrapText="1"/>
    </x:xf>
    <x:xf numFmtId="0" fontId="5" fillId="0" borderId="9" xfId="0" applyFont="1" applyBorder="1" applyAlignment="1">
      <x:alignment wrapText="1"/>
    </x:xf>
    <x:xf numFmtId="164" fontId="0" fillId="5" borderId="5" xfId="0" applyNumberFormat="1" applyFill="1" applyBorder="1" applyAlignment="1">
      <x:alignment wrapText="1"/>
    </x:xf>
    <x:xf numFmtId="164" fontId="0" fillId="5" borderId="0" xfId="0" applyNumberFormat="1" applyFill="1" applyAlignment="1">
      <x:alignment wrapText="1"/>
    </x:xf>
    <x:xf numFmtId="164" fontId="0" fillId="5" borderId="10" xfId="0" applyNumberFormat="1" applyFill="1" applyBorder="1" applyAlignment="1">
      <x:alignment wrapText="1"/>
    </x:xf>
    <x:xf numFmtId="164" fontId="0" fillId="5" borderId="8" xfId="0" applyNumberFormat="1" applyFill="1" applyBorder="1" applyAlignment="1">
      <x:alignment vertical="top" wrapText="1"/>
    </x:xf>
    <x:xf numFmtId="164" fontId="0" fillId="5" borderId="10" xfId="0" applyNumberFormat="1" applyFill="1" applyBorder="1" applyAlignment="1">
      <x:alignment vertical="top" wrapText="1"/>
    </x:xf>
    <x:xf numFmtId="0" fontId="0" fillId="5" borderId="7" xfId="0" applyFill="1" applyBorder="1" applyAlignment="1">
      <x:alignment vertical="top" wrapText="1"/>
    </x:xf>
    <x:xf numFmtId="0" fontId="0" fillId="5" borderId="9" xfId="0" applyFill="1" applyBorder="1" applyAlignment="1">
      <x:alignment vertical="top" wrapText="1"/>
    </x:xf>
    <x:xf numFmtId="164" fontId="0" fillId="5" borderId="0" xfId="0" applyNumberFormat="1" applyFill="1" applyAlignment="1">
      <x:alignment vertical="top"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0" fillId="0" borderId="20" xfId="0" applyNumberFormat="1" applyFont="1" applyFill="1" applyBorder="1"/>
    <x:xf numFmtId="0" fontId="1" fillId="2" borderId="20" xfId="0" applyNumberFormat="1" applyFont="1" applyFill="1" applyBorder="1" applyAlignment="1">
      <x:alignment vertical="center"/>
    </x:xf>
    <x:xf numFmtId="0" fontId="2" fillId="3" borderId="20" xfId="0" applyNumberFormat="1" applyFont="1" applyFill="1" applyBorder="1" applyAlignment="1">
      <x:alignment vertical="center" wrapText="1"/>
    </x:xf>
    <x:xf numFmtId="0" fontId="3" fillId="4" borderId="20" xfId="0" applyNumberFormat="1" applyFont="1" applyFill="1" applyBorder="1" applyAlignment="1">
      <x:alignment vertical="center"/>
    </x:xf>
    <x:xf numFmtId="0" fontId="0" fillId="5" borderId="20" xfId="0" applyNumberFormat="1" applyFont="1" applyFill="1" applyBorder="1"/>
    <x:xf numFmtId="0" fontId="0" fillId="6" borderId="20" xfId="0" applyNumberFormat="1" applyFont="1" applyFill="1" applyBorder="1"/>
    <x:xf numFmtId="0" fontId="3" fillId="7" borderId="20" xfId="0" applyNumberFormat="1" applyFont="1" applyFill="1" applyBorder="1" applyAlignment="1">
      <x:alignment vertical="center"/>
    </x:xf>
    <x:xf numFmtId="0" fontId="0" fillId="5" borderId="20" xfId="0" applyNumberFormat="1" applyFont="1" applyFill="1" applyBorder="1" applyAlignment="1">
      <x:alignment wrapText="1"/>
    </x:xf>
    <x:xf numFmtId="0" fontId="0" fillId="5" borderId="20" xfId="0" applyNumberFormat="1" applyFont="1" applyFill="1" applyBorder="1" applyAlignment="1">
      <x:alignment vertical="top" wrapText="1"/>
    </x:xf>
    <x:xf numFmtId="0" fontId="4" fillId="3" borderId="20" xfId="0" applyNumberFormat="1" applyFont="1" applyFill="1" applyBorder="1" applyAlignment="1">
      <x:alignment horizontal="center" vertical="center" wrapText="1"/>
    </x:xf>
    <x:xf numFmtId="0" fontId="0" fillId="0" borderId="20" xfId="0" applyNumberFormat="1" applyFont="1" applyFill="1" applyBorder="1" applyAlignment="1">
      <x:alignment wrapText="1"/>
    </x:xf>
    <x:xf numFmtId="0" fontId="0" fillId="0" borderId="20"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20" xfId="0" applyNumberFormat="1" applyFont="1" applyFill="1" applyBorder="1" applyAlignment="1">
      <x:alignment horizontal="center" vertical="top" wrapText="1"/>
    </x:xf>
    <x:xf numFmtId="0" fontId="0" fillId="6" borderId="20" xfId="0" applyNumberFormat="1" applyFont="1" applyFill="1" applyBorder="1" applyAlignment="1">
      <x:alignment vertical="center" wrapText="1"/>
    </x:xf>
    <x:xf numFmtId="2" fontId="0" fillId="6" borderId="20" xfId="0" applyNumberFormat="1" applyFont="1" applyFill="1" applyBorder="1" applyAlignment="1">
      <x:alignment vertical="center" wrapText="1"/>
    </x:xf>
    <x:xf numFmtId="0" fontId="3" fillId="6" borderId="20" xfId="0" applyNumberFormat="1" applyFont="1" applyFill="1" applyBorder="1" applyAlignment="1">
      <x:alignment vertical="center"/>
    </x:xf>
    <x:xf numFmtId="0" fontId="3" fillId="4" borderId="20" xfId="0" applyNumberFormat="1" applyFont="1" applyFill="1" applyBorder="1" applyAlignment="1">
      <x:alignment vertical="center" wrapText="1"/>
    </x:xf>
    <x:xf numFmtId="0" fontId="5" fillId="0" borderId="20" xfId="0" applyNumberFormat="1" applyFont="1" applyFill="1" applyBorder="1" applyAlignment="1">
      <x:alignment wrapText="1"/>
    </x:xf>
    <x:xf numFmtId="164" fontId="0" fillId="5" borderId="20" xfId="0" applyNumberFormat="1" applyFont="1" applyFill="1" applyBorder="1" applyAlignment="1">
      <x:alignment wrapText="1"/>
    </x:xf>
    <x:xf numFmtId="164" fontId="0" fillId="5" borderId="20" xfId="0" applyNumberFormat="1" applyFont="1" applyFill="1" applyBorder="1" applyAlignment="1">
      <x:alignment vertical="top" wrapText="1"/>
    </x:xf>
    <x:xf numFmtId="0" fontId="6" fillId="2" borderId="20" xfId="0" applyNumberFormat="1" applyFont="1" applyFill="1" applyBorder="1"/>
    <x:xf numFmtId="0" fontId="4" fillId="3" borderId="20" xfId="0" applyNumberFormat="1" applyFont="1" applyFill="1" applyBorder="1" applyAlignment="1">
      <x:alignment wrapText="1"/>
    </x:xf>
    <x:xf numFmtId="0" fontId="0" fillId="11" borderId="0" xfId="0" applyNumberFormat="1" applyFont="1" applyFill="1" applyBorder="1"/>
    <x:xf numFmtId="0" fontId="0" fillId="11" borderId="20" xfId="0" applyNumberFormat="1" applyFont="1" applyFill="1" applyBorder="1"/>
    <x:xf numFmtId="0" fontId="6" fillId="11" borderId="0" xfId="0" applyNumberFormat="1" applyFont="1" applyFill="1" applyBorder="1"/>
    <x:xf numFmtId="0" fontId="6" fillId="11" borderId="20" xfId="0" applyNumberFormat="1" applyFont="1" applyFill="1" applyBorder="1"/>
    <x:xf numFmtId="0" fontId="0" fillId="12" borderId="0" xfId="0" applyNumberFormat="1" applyFont="1" applyFill="1" applyBorder="1"/>
    <x:xf numFmtId="0" fontId="0" fillId="12" borderId="20" xfId="0" applyNumberFormat="1" applyFont="1" applyFill="1" applyBorder="1"/>
    <x:xf numFmtId="0" fontId="7" fillId="12" borderId="0" xfId="0" applyNumberFormat="1" applyFont="1" applyFill="1" applyBorder="1"/>
    <x:xf numFmtId="0" fontId="7" fillId="12" borderId="20" xfId="0" applyNumberFormat="1" applyFont="1" applyFill="1" applyBorder="1"/>
    <x:xf numFmtId="0" fontId="0" fillId="13" borderId="0" xfId="0" applyNumberFormat="1" applyFont="1" applyFill="1" applyBorder="1"/>
    <x:xf numFmtId="0" fontId="0" fillId="13" borderId="20" xfId="0" applyNumberFormat="1" applyFont="1" applyFill="1" applyBorder="1"/>
    <x:xf numFmtId="0" fontId="4" fillId="13" borderId="0" xfId="0" applyNumberFormat="1" applyFont="1" applyFill="1" applyBorder="1"/>
    <x:xf numFmtId="0" fontId="4" fillId="13" borderId="20" xfId="0" applyNumberFormat="1" applyFont="1" applyFill="1" applyBorder="1"/>
    <x:xf numFmtId="0" fontId="4" fillId="13"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13" borderId="2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12" borderId="24" xfId="0" applyNumberFormat="1" applyFont="1" applyFill="1" applyBorder="1"/>
    <x:xf numFmtId="0" fontId="7" fillId="12" borderId="25" xfId="0" applyNumberFormat="1" applyFont="1" applyFill="1" applyBorder="1"/>
    <x:xf numFmtId="0" fontId="0" fillId="0" borderId="24" xfId="0" applyNumberFormat="1" applyFont="1" applyFill="1" applyBorder="1"/>
    <x:xf numFmtId="0" fontId="0" fillId="0" borderId="0"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0" fillId="6" borderId="0" xfId="0" applyNumberFormat="1" applyFont="1" applyFill="1" applyBorder="1" applyAlignment="1">
      <x:alignment vertical="center" wrapText="1"/>
    </x:xf>
    <x:xf numFmtId="2" fontId="0" fillId="6" borderId="0" xfId="0" applyNumberFormat="1" applyFont="1" applyFill="1" applyBorder="1" applyAlignment="1">
      <x:alignment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164" fontId="0" fillId="5" borderId="0" xfId="0" applyNumberFormat="1" applyFont="1" applyFill="1" applyBorder="1" applyAlignment="1">
      <x:alignment wrapText="1"/>
    </x:xf>
    <x:xf numFmtId="164" fontId="0" fillId="5" borderId="0" xfId="0" applyNumberFormat="1" applyFont="1" applyFill="1" applyBorder="1" applyAlignment="1">
      <x:alignment vertical="top"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be029d8fe942d2" /><Relationship Type="http://schemas.openxmlformats.org/officeDocument/2006/relationships/theme" Target="/xl/theme/theme1.xml" Id="R156c78715a9e46ea" /><Relationship Type="http://schemas.openxmlformats.org/officeDocument/2006/relationships/sharedStrings" Target="/xl/sharedStrings.xml" Id="Rcf55ffcf52084317" /><Relationship Type="http://schemas.openxmlformats.org/officeDocument/2006/relationships/worksheet" Target="/xl/worksheets/sheet1.xml" Id="R2abf4b6e67a44398" /><Relationship Type="http://schemas.openxmlformats.org/officeDocument/2006/relationships/worksheet" Target="/xl/worksheets/sheet2.xml" Id="Rc0db1e154ad54339" /><Relationship Type="http://schemas.openxmlformats.org/officeDocument/2006/relationships/worksheet" Target="/xl/worksheets/sheet3.xml" Id="R89dfcda0e2f244de" /><Relationship Type="http://schemas.openxmlformats.org/officeDocument/2006/relationships/worksheet" Target="/xl/worksheets/sheet4.xml" Id="Rb02b4203d1444e69" /><Relationship Type="http://schemas.openxmlformats.org/officeDocument/2006/relationships/worksheet" Target="/xl/worksheets/sheet5.xml" Id="R3c9794087f26406d" /><Relationship Type="http://schemas.openxmlformats.org/officeDocument/2006/relationships/worksheet" Target="/xl/worksheets/sheet6.xml" Id="Rf88a9453d04641b8" /><Relationship Type="http://schemas.openxmlformats.org/officeDocument/2006/relationships/worksheet" Target="/xl/worksheets/sheet7.xml" Id="R48cfa3776211488e" /><Relationship Type="http://schemas.openxmlformats.org/officeDocument/2006/relationships/worksheet" Target="/xl/worksheets/sheet8.xml" Id="Rad826f28780d4a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15">
      <x:c r="A3" s="4" t="s">
        <x:v>2</x:v>
      </x:c>
      <x:c r="B3" s="5" t="s">
        <x:v>3</x:v>
      </x:c>
      <x:c r="C3" s="6" t="s">
        <x:v>4</x:v>
      </x:c>
    </x:row>
    <x:row r="5" ht="15">
      <x:c r="A5" s="7" t="s">
        <x:v>5</x:v>
      </x:c>
      <x:c r="B5" s="7"/>
      <x:c r="C5" s="7"/>
      <x:c r="D5" s="7"/>
      <x:c r="E5" s="7"/>
      <x:c r="F5" s="7"/>
      <x:c r="G5" s="7"/>
      <x:c r="H5" s="7"/>
      <x:c r="I5" s="7"/>
      <x:c r="J5" s="7"/>
      <x:c r="K5" s="7"/>
    </x:row>
    <x:row r="6" ht="99.75">
      <x:c r="A6" s="9" t="s">
        <x:v>6</x:v>
      </x:c>
      <x:c r="B6" s="15" t="str">
        <x:v>Badan Narkotika Nasional Provinsi Kepulauan Riau</x:v>
      </x:c>
      <x:c r="C6" s="15"/>
      <x:c r="D6" s="10" t="s">
        <x:v>7</x:v>
      </x:c>
      <x:c r="E6" s="15" t="str">
        <x:v>PKS/22/VII/KA/HK.10/2026/BNNP / W.32-HH.04.05-30 — 13 Juli 2026</x:v>
      </x:c>
      <x:c r="F6" s="15"/>
      <x:c r="G6" s="15"/>
      <x:c r="H6" s="15"/>
      <x:c r="I6" s="15"/>
      <x:c r="J6" s="15"/>
      <x:c r="K6" s="17"/>
    </x:row>
    <x:row r="7" ht="409.5">
      <x:c r="A7" s="11" t="s">
        <x:v>8</x:v>
      </x:c>
      <x:c r="B7" s="19" t="str">
        <x:v>Integrasi dan Pemanfaatan Belajar Seru Tiap Hari Learning Hub sebagai Platform Pembelajaran Digital dalam Penguatan Literasi Hukum, Pencegahan Penyalahgunaan Narkotika, dan Pembangunan Karakter Generasi Muda di Provinsi Kepulauan Riau</x:v>
      </x:c>
      <x:c r="C7" s="19"/>
      <x:c r="D7" s="3" t="s">
        <x:v>9</x:v>
      </x:c>
      <x:c r="E7" s="19" t="str">
        <x:v>Update pasca-baseline s.d. 27 September 2026</x:v>
      </x:c>
      <x:c r="F7" s="19"/>
      <x:c r="G7" s="19"/>
      <x:c r="H7" s="19"/>
      <x:c r="I7" s="19"/>
      <x:c r="J7" s="19"/>
      <x:c r="K7" s="21"/>
    </x:row>
    <x:row r="8" ht="114">
      <x:c r="A8" s="11" t="s">
        <x:v>10</x:v>
      </x:c>
      <x:c r="B8" s="19" t="str">
        <x:v>Pokja Data / Reviewer — contoh pengisian</x:v>
      </x:c>
      <x:c r="C8" s="19"/>
      <x:c r="D8" s="3" t="s">
        <x:v>11</x:v>
      </x:c>
      <x:c r="E8" s="19" t="str">
        <x:v>27 September 2026</x:v>
      </x:c>
      <x:c r="F8" s="19"/>
      <x:c r="G8" s="19"/>
      <x:c r="H8" s="19"/>
      <x:c r="I8" s="19"/>
      <x:c r="J8" s="19"/>
      <x:c r="K8" s="21"/>
    </x:row>
    <x:row r="9" ht="99.75">
      <x:c r="A9" s="12" t="s">
        <x:v>12</x:v>
      </x:c>
      <x:c r="B9" s="23" t="str">
        <x:v>Internal: tersedia berdasarkan SK PIC (diasumsikan tersedia sesuai instruksi); Mitra: Ratih Frayunita Sari, S.I.Kom., M.A (utama) dan Melisa Dwi Putri, S.Psi (cadangan)</x:v>
      </x:c>
      <x:c r="C9" s="23"/>
      <x:c r="D9" s="13" t="s">
        <x:v>13</x:v>
      </x:c>
      <x:c r="E9" s="23" t="str">
        <x:v>13 Juli 2026 s.d. 12 Juli 2029</x:v>
      </x:c>
      <x:c r="F9" s="23"/>
      <x:c r="G9" s="23"/>
      <x:c r="H9" s="23"/>
      <x:c r="I9" s="23"/>
      <x:c r="J9" s="23"/>
      <x:c r="K9" s="25"/>
    </x:row>
    <x:row r="11" ht="15">
      <x:c r="A11" s="7" t="s">
        <x:v>14</x:v>
      </x:c>
      <x:c r="B11" s="7"/>
      <x:c r="C11" s="7"/>
      <x:c r="D11" s="7"/>
      <x:c r="E11" s="7"/>
      <x:c r="F11" s="7"/>
      <x:c r="G11" s="7"/>
      <x:c r="H11" s="7"/>
      <x:c r="I11" s="7"/>
      <x:c r="J11" s="7"/>
      <x:c r="K11" s="7"/>
    </x:row>
    <x:row r="12" ht="15">
      <x:c r="A12" s="26" t="s">
        <x:v>15</x:v>
      </x:c>
      <x:c r="B12" s="26" t="s">
        <x:v>16</x:v>
      </x:c>
      <x:c r="C12" s="26" t="s">
        <x:v>17</x:v>
      </x:c>
      <x:c r="D12" s="26" t="s">
        <x:v>18</x:v>
      </x:c>
      <x:c r="E12" s="26" t="s">
        <x:v>19</x:v>
      </x:c>
      <x:c r="F12" s="26" t="s">
        <x:v>20</x:v>
      </x:c>
      <x:c r="G12" s="26" t="s">
        <x:v>21</x:v>
      </x:c>
      <x:c r="H12" s="26" t="s">
        <x:v>22</x:v>
      </x:c>
      <x:c r="I12" s="26" t="s">
        <x:v>23</x:v>
      </x:c>
      <x:c r="J12" s="26" t="s">
        <x:v>24</x:v>
      </x:c>
      <x:c r="K12" s="26" t="s">
        <x:v>25</x:v>
      </x:c>
    </x:row>
    <x:row r="13" ht="81.94999694824219" customHeight="1">
      <x:c r="A13" s="42" t="s">
        <x:v>26</x:v>
      </x:c>
      <x:c r="B13" s="48">
        <x:v>10</x:v>
      </x:c>
      <x:c r="C13" s="36" t="s">
        <x:v>27</x:v>
      </x:c>
      <x:c r="D13" s="15" t="str">
        <x:v>Unit pengampu, PIC internal, PIC mitra, dan rencana tindak lanjut: BELUM TERSEDIA pada final baseline.</x:v>
      </x:c>
      <x:c r="E13" s="15" t="str">
        <x:v>PIC internal diasumsikan telah ditetapkan melalui SK. PIC mitra utama dan cadangan sudah tersedia. Mitra juga menyampaikan 5 usulan tindak lanjut dengan target waktu. Mekanisme koordinasi pembaruan konten masih perlu diperjelas, termasuk siapa penanggung jawab di Kanwil.</x:v>
      </x:c>
      <x:c r="F13" s="15" t="str">
        <x:v>DAPAT DINILAI</x:v>
      </x:c>
      <x:c r="G13" s="15" t="str">
        <x:v>SK PIC internal (diasumsikan tersedia untuk contoh); Data Stakeholder — sheet IDENTITAS &amp; PIC dan USULAN TINDAK LANJUT; 5 rencana tindak lanjut dan PIC mitra utama/cadangan.</x:v>
      </x:c>
      <x:c r="H13" s="15" t="n">
        <x:v>2</x:v>
      </x:c>
      <x:c r="I13" s="51" t="n">
        <x:f t="shared" ref="I13:I19" si="0">IF(F13="DAPAT DINILAI",IF(ISNUMBER(H13),H13/4*B13,""),"")</x:f>
        <x:v>5</x:v>
      </x:c>
      <x:c r="J13" s="15" t="str">
        <x:v>Penanggung jawab dan rencana tindak lanjut sudah mulai jelas, tetapi mekanisme koordinasi dan pembagian peran operasional untuk pembaruan konten belum sepenuhnya tegas. Sesuai rubrik, kondisi ini berada pada skor 2.</x:v>
      </x:c>
      <x:c r="K13" s="17" t="str">
        <x:v>Tetapkan alur koordinasi pembaruan materi, PIC internal yang menjadi focal point, serta kalender tindak lanjut bersama BNNP Kepri.</x:v>
      </x:c>
    </x:row>
    <x:row r="14" ht="81.94999694824219" customHeight="1">
      <x:c r="A14" s="44" t="s">
        <x:v>28</x:v>
      </x:c>
      <x:c r="B14" s="49">
        <x:v>15</x:v>
      </x:c>
      <x:c r="C14" s="38" t="s">
        <x:v>29</x:v>
      </x:c>
      <x:c r="D14" s="19" t="str">
        <x:v>Pelaksanaan dan hasil: BELUM TERSEDIA pada final baseline.</x:v>
      </x:c>
      <x:c r="E14" s="19" t="str">
        <x:v>Implementasi sudah mulai berjalan. Data mitra mencatat integrasi materi Kanwil Hukum ke BESTI Learning Hub berstatus Sedang Berjalan. Data internal memverifikasi penyediaan/penayangan materi publikasi layanan hukum melalui BESTI, sementara ruang lingkup narasumber belum dilaksanakan.</x:v>
      </x:c>
      <x:c r="F14" s="19" t="str">
        <x:v>DAPAT DINILAI</x:v>
      </x:c>
      <x:c r="G14" s="19" t="str">
        <x:v>Data Stakeholder — PELAKSANAAN KEGIATAN; RL26 Kolaborasi Kampanye; RL28 Infografis/Videografis; BESTI Learning Hub: https://bestilearninghub.id/category/literasi-hukum/; RL27 menunjukkan ruang lingkup narasumber belum dilaksanakan.</x:v>
      </x:c>
      <x:c r="H14" s="19" t="n">
        <x:v>2</x:v>
      </x:c>
      <x:c r="I14" s="52" t="n">
        <x:f t="shared" si="0">IF(F14="DAPAT DINILAI",IF(ISNUMBER(H14),H14/4*B14,""),"")</x:f>
        <x:v>7.5</x:v>
      </x:c>
      <x:c r="J14" s="19" t="str">
        <x:v>Sebagian tindak lanjut telah dilaksanakan dan dapat dibuktikan, tetapi implementasi belum mencakup seluruh ruang lingkup dan sebagian kegiatan masih berjalan. Sesuai rubrik I2: sebagian tindak lanjut terlaksana dengan gap yang masih berarti.</x:v>
      </x:c>
      <x:c r="K14" s="21" t="str">
        <x:v>Selesaikan integrasi materi, lanjutkan e-book/modul, dan mulai realisasi ruang lingkup narasumber/podcast/webinar sesuai prioritas.</x:v>
      </x:c>
    </x:row>
    <x:row r="15" ht="81.94999694824219" customHeight="1">
      <x:c r="A15" s="44" t="s">
        <x:v>30</x:v>
      </x:c>
      <x:c r="B15" s="49">
        <x:v>15</x:v>
      </x:c>
      <x:c r="C15" s="38" t="s">
        <x:v>31</x:v>
      </x:c>
      <x:c r="D15" s="19" t="str">
        <x:v>Pelaksanaan dan eviden implementasi: BELUM TERSEDIA pada final baseline.</x:v>
      </x:c>
      <x:c r="E15" s="19" t="str">
        <x:v>Output awal sudah tersedia berupa konten/materi publikasi layanan hukum Kanwil Kemenkum Kepri pada BESTI Learning Hub. Namun output belum lengkap untuk seluruh ruang lingkup, khususnya e-book/modul dan kegiatan narasumber.</x:v>
      </x:c>
      <x:c r="F15" s="19" t="str">
        <x:v>DAPAT DINILAI</x:v>
      </x:c>
      <x:c r="G15" s="19" t="str">
        <x:v>RL26 dan RL28 mencatat output tersedianya konten/materi publikasi layanan hukum pada BESTI; https://bestilearninghub.id/category/literasi-hukum/; RL24 dan RL27 menunjukkan sebagian output belum terbentuk.</x:v>
      </x:c>
      <x:c r="H15" s="19" t="n">
        <x:v>2</x:v>
      </x:c>
      <x:c r="I15" s="52" t="n">
        <x:f t="shared" si="0">IF(F15="DAPAT DINILAI",IF(ISNUMBER(H15),H15/4*B15,""),"")</x:f>
        <x:v>7.5</x:v>
      </x:c>
      <x:c r="J15" s="19" t="str">
        <x:v>Output nyata sudah ada dan dapat ditelusuri, tetapi baru mencakup sebagian ruang lingkup. Rubrik I3 skor 2 sesuai dengan kondisi sebagian output tercapai.</x:v>
      </x:c>
      <x:c r="K15" s="21" t="str">
        <x:v>Inventarisasi output per ruang lingkup dan tetapkan target minimum: konten, e-book/modul, kampanye, serta kegiatan narasumber.</x:v>
      </x:c>
    </x:row>
    <x:row r="16" ht="81.94999694824219" customHeight="1">
      <x:c r="A16" s="44" t="s">
        <x:v>32</x:v>
      </x:c>
      <x:c r="B16" s="49">
        <x:v>20</x:v>
      </x:c>
      <x:c r="C16" s="38" t="s">
        <x:v>33</x:v>
      </x:c>
      <x:c r="D16" s="19" t="str">
        <x:v>Final baseline belum memiliki data outcome/manfaat terukur.</x:v>
      </x:c>
      <x:c r="E16" s="19" t="str">
        <x:v>Manfaat awal sudah terindikasi secara kualitatif, antara lain bertambahnya variasi materi pembelajaran dan meluasnya kanal penyebaran informasi hukum melalui BESTI. Namun usia PKS baru sekitar 2,5 bulan, sehingga belum cukup periode observasi untuk menilai outcome secara objektif.</x:v>
      </x:c>
      <x:c r="F16" s="19" t="str">
        <x:v>BELUM DAPAT DINILAI</x:v>
      </x:c>
      <x:c r="G16" s="19" t="str">
        <x:v>Data Stakeholder — PELAKSANAAN KEGIATAN kolom Hasil/Manfaat; RL26/RL28 kolom Outcome/Manfaat; tautan BESTI Learning Hub. Data ini dicatat sebagai indikasi manfaat awal, bukan dasar pemberian skor outcome.</x:v>
      </x:c>
      <x:c r="H16" s="19"/>
      <x:c r="I16" s="52">
        <x:f t="shared" si="0"/>
      </x:c>
      <x:c r="J16" s="19" t="str">
        <x:v>Outcome belum diberi skor bukan karena bukti tidak ada, melainkan karena jangka waktu implementasi sejak 13 Juli 2026 sampai periode penilaian 27 September 2026 belum memadai untuk menilai perubahan/manfaat secara matang.</x:v>
      </x:c>
      <x:c r="K16" s="21" t="str">
        <x:v>Tetapkan indikator outcome dan mulai kumpulkan jumlah konten, akses/pengguna, tayangan, pemanfaatan materi, serta umpan balik. Nilai I4 pada review berikutnya setelah periode observasi memadai.</x:v>
      </x:c>
    </x:row>
    <x:row r="17" ht="81.94999694824219" customHeight="1">
      <x:c r="A17" s="44" t="s">
        <x:v>34</x:v>
      </x:c>
      <x:c r="B17" s="49">
        <x:v>20</x:v>
      </x:c>
      <x:c r="C17" s="38" t="s">
        <x:v>35</x:v>
      </x:c>
      <x:c r="D17" s="19" t="str">
        <x:v>Final baseline belum memiliki data kontribusi/dampak terhadap kinerja atau pelayanan.</x:v>
      </x:c>
      <x:c r="E17" s="19" t="str">
        <x:v>Arah kontribusi awal dapat dijelaskan: BESTI mendukung diseminasi informasi hukum dan penyuluhan hukum melalui kanal digital. Namun pada usia PKS sekitar 2,5 bulan, hubungan antara output dengan capaian kinerja/pelayanan belum cukup matang untuk dinilai.</x:v>
      </x:c>
      <x:c r="F17" s="19" t="str">
        <x:v>BELUM DAPAT DINILAI</x:v>
      </x:c>
      <x:c r="G17" s="19" t="str">
        <x:v>RL26/RL28 mencatat arah kontribusi terhadap diseminasi informasi hukum dan penyuluhan hukum; BESTI Learning Hub menjadi kanal pelaksanaan. Data ini diperlakukan sebagai arah kontribusi awal, belum sebagai dampak yang dinilai.</x:v>
      </x:c>
      <x:c r="H17" s="19"/>
      <x:c r="I17" s="52">
        <x:f t="shared" si="0"/>
      </x:c>
      <x:c r="J17" s="19" t="str">
        <x:v>Kontribusi/dampak belum diberi skor karena periode implementasi masih terlalu awal. Penilaian baru dilakukan setelah outcome mulai terbentuk dan dapat dihubungkan dengan indikator kinerja atau pelayanan yang relevan.</x:v>
      </x:c>
      <x:c r="K17" s="21" t="str">
        <x:v>Pada review berikutnya, hubungkan outcome terverifikasi dengan indikator publikasi/penyuluhan, pemanfaatan layanan, atau sasaran kinerja yang relevan.</x:v>
      </x:c>
    </x:row>
    <x:row r="18" ht="81.94999694824219" customHeight="1">
      <x:c r="A18" s="44" t="s">
        <x:v>36</x:v>
      </x:c>
      <x:c r="B18" s="49">
        <x:v>10</x:v>
      </x:c>
      <x:c r="C18" s="38" t="s">
        <x:v>37</x:v>
      </x:c>
      <x:c r="D18" s="19" t="str">
        <x:v>Arsip resmi: BELUM TERSEDIA; P2MA: TERVERIFIKASI; eviden implementasi: BELUM TERSEDIA.</x:v>
      </x:c>
      <x:c r="E18" s="19" t="str">
        <x:v>Evidence pasca-baseline sudah tersedia dari data mitra, matriks internal per ruang lingkup, P2MA, dan tautan BESTI. Namun evidence masih tersebar, belum seluruh ruang lingkup memiliki bukti, dan belum ada repository/index terpadu untuk scorecard.</x:v>
      </x:c>
      <x:c r="F18" s="19" t="str">
        <x:v>DAPAT DINILAI</x:v>
      </x:c>
      <x:c r="G18" s="19" t="str">
        <x:v>Data Stakeholder; RL24, RL26, RL27, RL28; naskah/P2MA; https://bestilearninghub.id/category/literasi-hukum/; SK PIC internal diasumsikan tersedia.</x:v>
      </x:c>
      <x:c r="H18" s="19" t="n">
        <x:v>2</x:v>
      </x:c>
      <x:c r="I18" s="52" t="n">
        <x:f t="shared" si="0">IF(F18="DAPAT DINILAI",IF(ISNUMBER(H18),H18/4*B18,""),"")</x:f>
        <x:v>5</x:v>
      </x:c>
      <x:c r="J18" s="19" t="str">
        <x:v>Evidence utama sudah tersedia dan dapat ditelusuri, tetapi kelengkapan dan keteraturan antar-ruang lingkup belum konsisten. Ini sesuai rubrik I6 skor 2.</x:v>
      </x:c>
      <x:c r="K18" s="21" t="str">
        <x:v>Buat satu folder/repository evidence P02, indeks per ruang lingkup, dan log versi/tanggal bukti.</x:v>
      </x:c>
    </x:row>
    <x:row r="19" ht="81.94999694824219" customHeight="1">
      <x:c r="A19" s="46" t="s">
        <x:v>38</x:v>
      </x:c>
      <x:c r="B19" s="50">
        <x:v>10</x:v>
      </x:c>
      <x:c r="C19" s="40" t="s">
        <x:v>39</x:v>
      </x:c>
      <x:c r="D19" s="23" t="str">
        <x:v>Masa berlaku: TERVERIFIKASI; hambatan/gap operasional: BELUM TERSEDIA.</x:v>
      </x:c>
      <x:c r="E19" s="23" t="str">
        <x:v>Masa berlaku masih panjang sampai 12 Juli 2029. Risiko utama saat ini adalah kebutuhan penyesuaian materi dan kejelasan koordinasi dengan narasumber/pengelola. PIC mitra tersedia, PIC internal diasumsikan telah ditetapkan, dan terdapat rencana tindak lanjut untuk pengembangan konten serta evaluasi.</x:v>
      </x:c>
      <x:c r="F19" s="23" t="str">
        <x:v>DAPAT DINILAI</x:v>
      </x:c>
      <x:c r="G19" s="23" t="str">
        <x:v>Final baseline masa berlaku; Data Stakeholder — kendala/catatan, PIC, dan usulan tindak lanjut; RL26/RL28 mencatat tidak ada hambatan material dan rencana penambahan materi.</x:v>
      </x:c>
      <x:c r="H19" s="23" t="n">
        <x:v>2</x:v>
      </x:c>
      <x:c r="I19" s="53" t="n">
        <x:f t="shared" si="0">IF(F19="DAPAT DINILAI",IF(ISNUMBER(H19),H19/4*B19,""),"")</x:f>
        <x:v>5</x:v>
      </x:c>
      <x:c r="J19" s="23" t="str">
        <x:v>Risiko utama sudah mulai dikenali dan terdapat tindak lanjut, tetapi mekanisme mitigasi, evaluasi berkala, dan pengukuran keberlanjutan belum kuat. Rubrik I7 skor 2.</x:v>
      </x:c>
      <x:c r="K19" s="25" t="str">
        <x:v>Tetapkan mitigasi risiko sederhana: owner, jadwal update materi, mekanisme persetujuan konten, dan evaluasi pemanfaatan minimal tahunan.</x:v>
      </x:c>
    </x:row>
    <x:row r="21" ht="15">
      <x:c r="A21" s="7" t="s">
        <x:v>40</x:v>
      </x:c>
      <x:c r="B21" s="7"/>
      <x:c r="C21" s="7"/>
      <x:c r="D21" s="7"/>
      <x:c r="E21" s="7"/>
      <x:c r="F21" s="7"/>
      <x:c r="G21" s="7"/>
      <x:c r="H21" s="7"/>
      <x:c r="I21" s="7"/>
      <x:c r="J21" s="7"/>
      <x:c r="K21" s="7"/>
    </x:row>
    <x:row r="22" ht="15">
      <x:c r="A22" s="9" t="s">
        <x:v>41</x:v>
      </x:c>
      <x:c r="B22" s="54" t="n">
        <x:f>COUNTIF($F$13:$F$19,"DAPAT DINILAI")</x:f>
        <x:v>5</x:v>
      </x:c>
      <x:c r="D22" s="58" t="s">
        <x:v>42</x:v>
      </x:c>
      <x:c r="E22" s="58"/>
      <x:c r="F22" s="58"/>
      <x:c r="G22" s="58"/>
      <x:c r="H22" s="58"/>
      <x:c r="I22" s="58"/>
      <x:c r="J22" s="58"/>
      <x:c r="K22" s="58"/>
    </x:row>
    <x:row r="23" ht="33.95000076293945" customHeight="1">
      <x:c r="A23" s="11" t="s">
        <x:v>43</x:v>
      </x:c>
      <x:c r="B23" s="55" t="n">
        <x:f>COUNTIF($F$13:$F$19,"BELUM DAPAT DINILAI")</x:f>
        <x:v>2</x:v>
      </x:c>
      <x:c r="D23" s="59" t="s">
        <x:v>44</x:v>
      </x:c>
      <x:c r="E23" s="28" t="s">
        <x:v>45</x:v>
      </x:c>
      <x:c r="F23" s="28"/>
      <x:c r="G23" s="28"/>
      <x:c r="H23" s="28"/>
      <x:c r="I23" s="28"/>
      <x:c r="J23" s="28"/>
      <x:c r="K23" s="29"/>
    </x:row>
    <x:row r="24" ht="33.95000076293945" customHeight="1">
      <x:c r="A24" s="11" t="s">
        <x:v>46</x:v>
      </x:c>
      <x:c r="B24" s="55" t="n">
        <x:f>COUNTIF($F$13:$F$19,"BUKTI BELUM MEMADAI")</x:f>
        <x:v>0</x:v>
      </x:c>
      <x:c r="D24" s="60" t="s">
        <x:v>47</x:v>
      </x:c>
      <x:c r="E24" s="31" t="s">
        <x:v>48</x:v>
      </x:c>
      <x:c r="F24" s="31"/>
      <x:c r="G24" s="31"/>
      <x:c r="H24" s="31"/>
      <x:c r="I24" s="31"/>
      <x:c r="J24" s="31"/>
      <x:c r="K24" s="32"/>
    </x:row>
    <x:row r="25" ht="33.95000076293945" customHeight="1">
      <x:c r="A25" s="11" t="s">
        <x:v>49</x:v>
      </x:c>
      <x:c r="B25" s="57" t="n">
        <x:f>SUMIF($F$13:$F$19,"DAPAT DINILAI",$B$13:$B$19)</x:f>
        <x:v>60</x:v>
      </x:c>
      <x:c r="D25" s="60" t="s">
        <x:v>50</x:v>
      </x:c>
      <x:c r="E25" s="31" t="s">
        <x:v>51</x:v>
      </x:c>
      <x:c r="F25" s="31"/>
      <x:c r="G25" s="31"/>
      <x:c r="H25" s="31"/>
      <x:c r="I25" s="31"/>
      <x:c r="J25" s="31"/>
      <x:c r="K25" s="32"/>
    </x:row>
    <x:row r="26" ht="33.95000076293945" customHeight="1">
      <x:c r="A26" s="11" t="s">
        <x:v>52</x:v>
      </x:c>
      <x:c r="B26" s="57" t="str">
        <x:f>IF(B22=7,SUM($I$13:$I$19),"")</x:f>
      </x:c>
      <x:c r="D26" s="60" t="s">
        <x:v>53</x:v>
      </x:c>
      <x:c r="E26" s="31" t="s">
        <x:v>54</x:v>
      </x:c>
      <x:c r="F26" s="31"/>
      <x:c r="G26" s="31"/>
      <x:c r="H26" s="31"/>
      <x:c r="I26" s="31"/>
      <x:c r="J26" s="31"/>
      <x:c r="K26" s="32"/>
    </x:row>
    <x:row r="27" ht="33.95000076293945" customHeight="1">
      <x:c r="A27" s="11" t="s">
        <x:v>55</x:v>
      </x:c>
      <x:c r="B27" s="55" t="str">
        <x:f>IF(B24&gt;0,"BUKTI BELUM MEMADAI",IF(B22=7,"SIAP DIVALIDASI",IF(B23&gt;0,"MASA IMPLEMENTASI AWAL",IF(B22=0,"BELUM DINILAI","DALAM PENILAIAN"))))</x:f>
        <x:v>MASA IMPLEMENTASI AWAL</x:v>
      </x:c>
      <x:c r="D27" s="61" t="s">
        <x:v>56</x:v>
      </x:c>
      <x:c r="E27" s="34" t="s">
        <x:v>57</x:v>
      </x:c>
      <x:c r="F27" s="34"/>
      <x:c r="G27" s="34"/>
      <x:c r="H27" s="34"/>
      <x:c r="I27" s="34"/>
      <x:c r="J27" s="34"/>
      <x:c r="K27" s="35"/>
    </x:row>
    <x:row r="28" ht="15">
      <x:c r="A28" s="12" t="s">
        <x:v>58</x:v>
      </x:c>
      <x:c r="B28" s="56" t="str">
        <x:f>IF(B26="","",IF(B26&gt;=80,"KUAT",IF(B26&gt;=60,"CUKUP / PERLU PENGUATAN",IF(B26&gt;=40,"PERLU PERBAIKAN","KRITIS"))))</x:f>
      </x:c>
    </x:row>
  </x:sheetData>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8" customWidth="1"/>
    <x:col min="2" max="2" width="24" customWidth="1"/>
    <x:col min="3" max="3" width="32" customWidth="1"/>
    <x:col min="4" max="4" width="26" customWidth="1"/>
    <x:col min="5" max="5" width="28" customWidth="1"/>
    <x:col min="6" max="7" width="18" customWidth="1"/>
    <x:col min="8" max="8" width="3" customWidth="1"/>
    <x:col min="9" max="9" width="24" customWidth="1"/>
    <x:col min="10" max="10" width="28" customWidth="1"/>
    <x:col min="11" max="11" width="20" customWidth="1"/>
  </x:cols>
  <x:sheetData>
    <x:row r="1" ht="19.5">
      <x:c r="A1" s="1" t="s">
        <x:v>59</x:v>
      </x:c>
      <x:c r="B1" s="1"/>
      <x:c r="C1" s="1"/>
      <x:c r="D1" s="1"/>
      <x:c r="E1" s="1"/>
      <x:c r="F1" s="1"/>
      <x:c r="G1" s="1"/>
      <x:c r="H1" s="1"/>
      <x:c r="I1" s="1"/>
      <x:c r="J1" s="1"/>
      <x:c r="K1" s="1"/>
    </x:row>
    <x:row r="2" ht="51">
      <x:c r="A2" s="2" t="s">
        <x:v>60</x:v>
      </x:c>
      <x:c r="B2" s="2"/>
      <x:c r="C2" s="2"/>
      <x:c r="D2" s="2"/>
      <x:c r="E2" s="2"/>
      <x:c r="F2" s="2"/>
      <x:c r="G2" s="2"/>
      <x:c r="H2" s="2"/>
      <x:c r="I2" s="2"/>
      <x:c r="J2" s="2"/>
      <x:c r="K2" s="2"/>
    </x:row>
    <x:row r="3" ht="15">
      <x:c r="A3" s="4" t="s">
        <x:v>2</x:v>
      </x:c>
      <x:c r="B3" s="5" t="s">
        <x:v>3</x:v>
      </x:c>
      <x:c r="C3" s="6" t="s">
        <x:v>4</x:v>
      </x:c>
    </x:row>
    <x:row r="5" ht="15">
      <x:c r="A5" s="7" t="s">
        <x:v>61</x:v>
      </x:c>
      <x:c r="B5" s="7"/>
      <x:c r="C5" s="7"/>
      <x:c r="D5" s="7" t="s">
        <x:v>62</x:v>
      </x:c>
      <x:c r="E5" s="7"/>
      <x:c r="F5" s="7"/>
      <x:c r="G5" s="7"/>
      <x:c r="H5" s="7"/>
      <x:c r="I5" s="7"/>
      <x:c r="J5" s="7"/>
      <x:c r="K5" s="7"/>
    </x:row>
    <x:row r="6" ht="15">
      <x:c r="A6" s="9" t="s">
        <x:v>55</x:v>
      </x:c>
      <x:c r="B6" s="54" t="str">
        <x:f>PENILAIAN!B27</x:f>
        <x:v>MASA IMPLEMENTASI AWAL</x:v>
      </x:c>
      <x:c r="D6" s="9" t="s">
        <x:v>63</x:v>
      </x:c>
      <x:c r="E6" s="17" t="str">
        <x:v>OUTPUT AWAL / IMPLEMENTASI BERJALAN</x:v>
      </x:c>
      <x:c r="G6" s="63"/>
      <x:c r="H6" s="64"/>
      <x:c r="I6" s="64"/>
      <x:c r="J6" s="64"/>
      <x:c r="K6" s="65"/>
    </x:row>
    <x:row r="7" ht="57">
      <x:c r="A7" s="11" t="s">
        <x:v>64</x:v>
      </x:c>
      <x:c r="B7" s="57" t="str">
        <x:f>IF(PENILAIAN!B26="","",PENILAIAN!B26)</x:f>
      </x:c>
      <x:c r="D7" s="12" t="s">
        <x:v>65</x:v>
      </x:c>
      <x:c r="E7" s="25" t="str">
        <x:v>PKS baru berjalan sekitar 2,5 bulan. Pengelolaan, implementasi awal, output, evidence, dan kesiapan keberlanjutan sudah dapat dinilai; outcome serta kontribusi/dampak belum memasuki periode penilaian yang memadai.</x:v>
      </x:c>
    </x:row>
    <x:row r="8" ht="15">
      <x:c r="A8" s="11" t="s">
        <x:v>58</x:v>
      </x:c>
      <x:c r="B8" s="57" t="str">
        <x:f>IF(PENILAIAN!B28="","",PENILAIAN!B28)</x:f>
      </x:c>
    </x:row>
    <x:row r="9" ht="15">
      <x:c r="A9" s="11" t="s">
        <x:v>66</x:v>
      </x:c>
      <x:c r="B9" s="57" t="n">
        <x:f>PENILAIAN!B22</x:f>
        <x:v>5</x:v>
      </x:c>
    </x:row>
    <x:row r="10" ht="15">
      <x:c r="A10" s="11" t="s">
        <x:v>67</x:v>
      </x:c>
      <x:c r="B10" s="57" t="n">
        <x:f>PENILAIAN!B23</x:f>
        <x:v>2</x:v>
      </x:c>
    </x:row>
    <x:row r="11" ht="15">
      <x:c r="A11" s="11" t="s">
        <x:v>68</x:v>
      </x:c>
      <x:c r="B11" s="57" t="n">
        <x:f>PENILAIAN!B24</x:f>
        <x:v>0</x:v>
      </x:c>
    </x:row>
    <x:row r="12" ht="15">
      <x:c r="A12" s="12" t="s">
        <x:v>69</x:v>
      </x:c>
      <x:c r="B12" s="62" t="n">
        <x:f>PENILAIAN!B25</x:f>
        <x:v>60</x:v>
      </x:c>
    </x:row>
    <x:row r="14" ht="15">
      <x:c r="A14" s="7" t="s">
        <x:v>70</x:v>
      </x:c>
      <x:c r="B14" s="7"/>
      <x:c r="C14" s="7"/>
      <x:c r="D14" s="7"/>
      <x:c r="E14" s="7"/>
      <x:c r="F14" s="7"/>
      <x:c r="G14" s="7"/>
      <x:c r="H14" s="7"/>
      <x:c r="I14" s="7"/>
      <x:c r="J14" s="7"/>
      <x:c r="K14" s="7"/>
    </x:row>
    <x:row r="15" ht="15">
      <x:c r="A15" s="26" t="s">
        <x:v>71</x:v>
      </x:c>
      <x:c r="B15" s="26" t="s">
        <x:v>72</x:v>
      </x:c>
      <x:c r="C15" s="26" t="s">
        <x:v>73</x:v>
      </x:c>
      <x:c r="D15" s="26" t="s">
        <x:v>74</x:v>
      </x:c>
      <x:c r="E15" s="26" t="s">
        <x:v>75</x:v>
      </x:c>
      <x:c r="F15" s="26" t="s">
        <x:v>76</x:v>
      </x:c>
      <x:c r="G15" s="26" t="s">
        <x:v>77</x:v>
      </x:c>
      <x:c r="I15" s="9" t="s">
        <x:v>78</x:v>
      </x:c>
      <x:c r="J15" s="8"/>
    </x:row>
    <x:row r="16" ht="54" customHeight="1">
      <x:c r="A16" s="66" t="str">
        <x:v>Masa berlaku</x:v>
      </x:c>
      <x:c r="B16" s="14" t="str">
        <x:v>E0 - Normal</x:v>
      </x:c>
      <x:c r="C16" s="14" t="str">
        <x:v>PKS berlaku 13 Juli 2026 s.d. 12 Juli 2029; tidak ada isu masa berlaku pada periode penilaian.</x:v>
      </x:c>
      <x:c r="D16" s="14" t="str">
        <x:v>Pertahankan monitoring masa berlaku dan review berkala.</x:v>
      </x:c>
      <x:c r="E16" s="14" t="str">
        <x:v>Pengelola kerja sama / PIC internal</x:v>
      </x:c>
      <x:c r="F16" s="69" t="str">
        <x:v>Review berkala</x:v>
      </x:c>
      <x:c r="G16" s="16" t="str">
        <x:v>BERJALAN</x:v>
      </x:c>
      <x:c r="I16" s="11" t="s">
        <x:v>79</x:v>
      </x:c>
      <x:c r="J16" s="55" t="str">
        <x:f>IF(COUNTIF($B$16:$B$19,"E3 - Kritis")&gt;0,"E3 - Kritis",IF(COUNTIF($B$16:$B$19,"E2 - Perlu Tindakan")&gt;0,"E2 - Perlu Tindakan",IF(COUNTIF($B$16:$B$19,"E1 - Perhatian")&gt;0,"E1 - Perhatian",IF(COUNTIF($B$16:$B$19,"E0 - Normal")&gt;0,"E0 - Normal","V0 - Data belum cukup"))))</x:f>
        <x:v>E1 - Perhatian</x:v>
      </x:c>
    </x:row>
    <x:row r="17" ht="54" customHeight="1">
      <x:c r="A17" s="67" t="str">
        <x:v>Pelaksanaan / tenggat</x:v>
      </x:c>
      <x:c r="B17" s="18" t="str">
        <x:v>E1 - Perhatian</x:v>
      </x:c>
      <x:c r="C17" s="18" t="str">
        <x:v>Sebagian implementasi sudah berjalan dan konten telah tersedia di BESTI, tetapi belum seluruh ruang lingkup terlaksana.</x:v>
      </x:c>
      <x:c r="D17" s="18" t="str">
        <x:v>Tuntaskan integrasi materi prioritas dan jadwalkan kegiatan narasumber/podcast/webinar.</x:v>
      </x:c>
      <x:c r="E17" s="18" t="str">
        <x:v>PIC internal + PIC BNNP Kepri</x:v>
      </x:c>
      <x:c r="F17" s="70" t="str">
        <x:v>Triwulan IV 2026</x:v>
      </x:c>
      <x:c r="G17" s="20" t="str">
        <x:v>DALAM TINDAK LANJUT</x:v>
      </x:c>
      <x:c r="I17" s="11" t="s">
        <x:v>80</x:v>
      </x:c>
      <x:c r="J17" s="21" t="str">
        <x:v>DALAM TINDAK LANJUT</x:v>
      </x:c>
    </x:row>
    <x:row r="18" ht="54" customHeight="1">
      <x:c r="A18" s="67" t="str">
        <x:v>Data / evidence</x:v>
      </x:c>
      <x:c r="B18" s="18" t="str">
        <x:v>E1 - Perhatian</x:v>
      </x:c>
      <x:c r="C18" s="18" t="str">
        <x:v>Evidence tersedia dari stakeholder, matriks ruang lingkup, P2MA, dan BESTI, tetapi masih tersebar dan belum terindeks.</x:v>
      </x:c>
      <x:c r="D18" s="18" t="str">
        <x:v>Konsolidasikan satu repository evidence P02 dan susun indeks bukti per ruang lingkup.</x:v>
      </x:c>
      <x:c r="E18" s="18" t="str">
        <x:v>PIC internal / Pengelola kerja sama</x:v>
      </x:c>
      <x:c r="F18" s="70" t="str">
        <x:v>Oktober 2026</x:v>
      </x:c>
      <x:c r="G18" s="20" t="str">
        <x:v>DALAM TINDAK LANJUT</x:v>
      </x:c>
      <x:c r="I18" s="12" t="s">
        <x:v>81</x:v>
      </x:c>
      <x:c r="J18" s="25" t="str">
        <x:v>Fokus pengendalian pada masa implementasi awal: tuntaskan ruang lingkup yang belum berjalan, rapikan evidence, dan mulai membangun data pemanfaatan BESTI. Outcome serta kontribusi/dampak dinilai pada review berikutnya setelah periode observasi memadai.</x:v>
      </x:c>
    </x:row>
    <x:row r="19" ht="54" customHeight="1">
      <x:c r="A19" s="68" t="str">
        <x:v>Penanggung jawab / koordinasi</x:v>
      </x:c>
      <x:c r="B19" s="22" t="str">
        <x:v>E1 - Perhatian</x:v>
      </x:c>
      <x:c r="C19" s="22" t="str">
        <x:v>PIC mitra utama/cadangan tersedia dan PIC internal diasumsikan telah ditetapkan melalui SK; mekanisme update konten dan focal point Kanwil masih perlu ditegaskan.</x:v>
      </x:c>
      <x:c r="D19" s="22" t="str">
        <x:v>Tetapkan alur koordinasi, focal point Kanwil, dan mekanisme persetujuan/update materi.</x:v>
      </x:c>
      <x:c r="E19" s="22" t="str">
        <x:v>PIC internal + PIC BNNP Kepri</x:v>
      </x:c>
      <x:c r="F19" s="71" t="str">
        <x:v>Oktober 2026</x:v>
      </x:c>
      <x:c r="G19" s="24" t="str">
        <x:v>DALAM TINDAK LANJUT</x:v>
      </x:c>
    </x:row>
    <x:row r="21" ht="15">
      <x:c r="A21" s="7" t="s">
        <x:v>82</x:v>
      </x:c>
      <x:c r="B21" s="7"/>
      <x:c r="C21" s="7"/>
      <x:c r="D21" s="7"/>
      <x:c r="E21" s="7"/>
      <x:c r="F21" s="7"/>
      <x:c r="G21" s="7"/>
      <x:c r="H21" s="7"/>
      <x:c r="I21" s="7"/>
      <x:c r="J21" s="7"/>
      <x:c r="K21" s="7"/>
    </x:row>
    <x:row r="22" ht="30" customHeight="1">
      <x:c r="A22" s="9" t="s">
        <x:v>83</x:v>
      </x:c>
      <x:c r="B22" s="17" t="str">
        <x:v>TIDAK</x:v>
      </x:c>
      <x:c r="D22" s="59" t="s">
        <x:v>84</x:v>
      </x:c>
      <x:c r="E22" s="28" t="s">
        <x:v>85</x:v>
      </x:c>
      <x:c r="F22" s="28"/>
      <x:c r="G22" s="28"/>
      <x:c r="H22" s="28"/>
      <x:c r="I22" s="28"/>
      <x:c r="J22" s="28"/>
      <x:c r="K22" s="29"/>
    </x:row>
    <x:row r="23" ht="30" customHeight="1">
      <x:c r="A23" s="11" t="s">
        <x:v>86</x:v>
      </x:c>
      <x:c r="B23" s="21" t="str">
        <x:v>Dapat diselesaikan pada level pengelola/PIC</x:v>
      </x:c>
      <x:c r="D23" s="30"/>
      <x:c r="E23" s="31"/>
      <x:c r="F23" s="31"/>
      <x:c r="G23" s="31"/>
      <x:c r="H23" s="31"/>
      <x:c r="I23" s="31"/>
      <x:c r="J23" s="31"/>
      <x:c r="K23" s="32"/>
    </x:row>
    <x:row r="24" ht="30" customHeight="1">
      <x:c r="A24" s="12" t="s">
        <x:v>87</x:v>
      </x:c>
      <x:c r="B24" s="25" t="str">
        <x:v>Belum terdapat isu material yang membutuhkan keputusan pimpinan. Pada masa implementasi awal, kebutuhan utama adalah penguatan koordinasi, pelaksanaan ruang lingkup, penataan evidence, dan pengumpulan data outcome.</x:v>
      </x:c>
      <x:c r="D24" s="33"/>
      <x:c r="E24" s="34"/>
      <x:c r="F24" s="34"/>
      <x:c r="G24" s="34"/>
      <x:c r="H24" s="34"/>
      <x:c r="I24" s="34"/>
      <x:c r="J24" s="34"/>
      <x:c r="K24" s="35"/>
    </x:row>
  </x:sheetData>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24"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15">
      <x:c r="A3" s="4" t="s">
        <x:v>2</x:v>
      </x:c>
      <x:c r="B3" s="5" t="s">
        <x:v>3</x:v>
      </x:c>
      <x:c r="C3" s="6" t="s">
        <x:v>4</x:v>
      </x:c>
    </x:row>
    <x:row r="5" ht="15">
      <x:c r="A5" s="7" t="s">
        <x:v>90</x:v>
      </x:c>
      <x:c r="B5" s="7"/>
      <x:c r="C5" s="7"/>
      <x:c r="D5" s="7" t="s">
        <x:v>91</x:v>
      </x:c>
      <x:c r="E5" s="7"/>
      <x:c r="F5" s="7"/>
      <x:c r="G5" s="7"/>
      <x:c r="H5" s="7"/>
      <x:c r="I5" s="7"/>
      <x:c r="J5" s="7"/>
      <x:c r="K5" s="7"/>
    </x:row>
    <x:row r="6" ht="15">
      <x:c r="A6" s="9" t="s">
        <x:v>55</x:v>
      </x:c>
      <x:c r="B6" s="54" t="str">
        <x:f>PENILAIAN!B27</x:f>
        <x:v>MASA IMPLEMENTASI AWAL</x:v>
      </x:c>
      <x:c r="D6" s="9" t="s">
        <x:v>92</x:v>
      </x:c>
      <x:c r="E6" s="17" t="str">
        <x:v>DRAFT — MASA IMPLEMENTASI AWAL</x:v>
      </x:c>
    </x:row>
    <x:row r="7" ht="15">
      <x:c r="A7" s="11" t="s">
        <x:v>64</x:v>
      </x:c>
      <x:c r="B7" s="57" t="str">
        <x:f>IF(PENILAIAN!B26="","",PENILAIAN!B26)</x:f>
      </x:c>
      <x:c r="D7" s="11" t="s">
        <x:v>93</x:v>
      </x:c>
      <x:c r="E7" s="21"/>
    </x:row>
    <x:row r="8" ht="15">
      <x:c r="A8" s="11" t="s">
        <x:v>58</x:v>
      </x:c>
      <x:c r="B8" s="57" t="str">
        <x:f>IF(PENILAIAN!B28="","",PENILAIAN!B28)</x:f>
      </x:c>
      <x:c r="D8" s="11" t="s">
        <x:v>94</x:v>
      </x:c>
      <x:c r="E8" s="72"/>
    </x:row>
    <x:row r="9" ht="42.75">
      <x:c r="A9" s="11" t="s">
        <x:v>63</x:v>
      </x:c>
      <x:c r="B9" s="57" t="str">
        <x:f>IF(KENDALI!E6="","",KENDALI!E6)</x:f>
        <x:v>OUTPUT AWAL / IMPLEMENTASI BERJALAN</x:v>
      </x:c>
      <x:c r="D9" s="12" t="s">
        <x:v>95</x:v>
      </x:c>
      <x:c r="E9" s="25" t="str">
        <x:v>Contoh pengisian berdasarkan final baseline, data mitra, data internal per ruang lingkup, dan asumsi SK PIC internal tersedia. I4 Outcome dan I5 Kontribusi/Dampak belum dinilai karena PKS baru berjalan sekitar 2,5 bulan.</x:v>
      </x:c>
    </x:row>
    <x:row r="10" ht="15">
      <x:c r="A10" s="11" t="s">
        <x:v>79</x:v>
      </x:c>
      <x:c r="B10" s="57" t="str">
        <x:f>IF(KENDALI!J16="","",KENDALI!J16)</x:f>
        <x:v>E1 - Perhatian</x:v>
      </x:c>
    </x:row>
    <x:row r="11" ht="15">
      <x:c r="A11" s="11" t="s">
        <x:v>96</x:v>
      </x:c>
      <x:c r="B11" s="57" t="str">
        <x:f>IF(KENDALI!B22="","",KENDALI!B22)</x:f>
        <x:v>TIDAK</x:v>
      </x:c>
    </x:row>
    <x:row r="12" ht="15">
      <x:c r="A12" s="11" t="s">
        <x:v>67</x:v>
      </x:c>
      <x:c r="B12" s="57" t="n">
        <x:f>PENILAIAN!B23</x:f>
        <x:v>2</x:v>
      </x:c>
    </x:row>
    <x:row r="13" ht="15">
      <x:c r="A13" s="12" t="s">
        <x:v>68</x:v>
      </x:c>
      <x:c r="B13" s="62" t="n">
        <x:f>PENILAIAN!B24</x:f>
        <x:v>0</x:v>
      </x:c>
    </x:row>
    <x:row r="15" ht="15">
      <x:c r="A15" s="7" t="s">
        <x:v>97</x:v>
      </x:c>
      <x:c r="B15" s="7"/>
      <x:c r="C15" s="7"/>
      <x:c r="D15" s="7"/>
      <x:c r="E15" s="7"/>
      <x:c r="F15" s="7"/>
      <x:c r="G15" s="7"/>
      <x:c r="H15" s="7"/>
      <x:c r="I15" s="7"/>
      <x:c r="J15" s="7"/>
      <x:c r="K15" s="7"/>
    </x:row>
    <x:row r="16" ht="30" customHeight="1">
      <x:c r="A16" s="9" t="s">
        <x:v>98</x:v>
      </x:c>
      <x:c r="B16" s="15" t="str">
        <x:v>Sejak baseline, telah tersedia PIC mitra, rencana tindak lanjut, integrasi materi yang sedang berjalan, dan output awal berupa konten layanan hukum pada BESTI Learning Hub. Karena PKS baru berlaku sejak 13 Juli 2026, outcome dan kontribusi/dampak belum memasuki periode penilaian yang memadai.</x:v>
      </x:c>
      <x:c r="C16" s="15"/>
      <x:c r="D16" s="59" t="s">
        <x:v>84</x:v>
      </x:c>
      <x:c r="E16" s="15" t="s">
        <x:v>99</x:v>
      </x:c>
      <x:c r="F16" s="15"/>
      <x:c r="G16" s="15"/>
      <x:c r="H16" s="15"/>
      <x:c r="I16" s="15"/>
      <x:c r="J16" s="15"/>
      <x:c r="K16" s="17"/>
    </x:row>
    <x:row r="17" ht="30" customHeight="1">
      <x:c r="A17" s="11" t="s">
        <x:v>100</x:v>
      </x:c>
      <x:c r="B17" s="19" t="str">
        <x:v>LANJUTKAN IMPLEMENTASI DAN SIAPKAN PENGUKURAN HASIL</x:v>
      </x:c>
      <x:c r="C17" s="19"/>
      <x:c r="D17" s="74"/>
      <x:c r="E17" s="19"/>
      <x:c r="F17" s="19"/>
      <x:c r="G17" s="19"/>
      <x:c r="H17" s="19"/>
      <x:c r="I17" s="19"/>
      <x:c r="J17" s="19"/>
      <x:c r="K17" s="21"/>
    </x:row>
    <x:row r="18" ht="30" customHeight="1">
      <x:c r="A18" s="11" t="s">
        <x:v>86</x:v>
      </x:c>
      <x:c r="B18" s="19" t="str">
        <x:v>Kerja sama menunjukkan kemajuan pada tata kelola, implementasi, dan output awal. Fokus berikutnya adalah menuntaskan ruang lingkup yang belum berjalan, menata evidence, serta membangun data outcome sebelum penilaian hasil yang lebih matang.</x:v>
      </x:c>
      <x:c r="C18" s="19"/>
      <x:c r="D18" s="75"/>
      <x:c r="E18" s="23"/>
      <x:c r="F18" s="23"/>
      <x:c r="G18" s="23"/>
      <x:c r="H18" s="23"/>
      <x:c r="I18" s="23"/>
      <x:c r="J18" s="23"/>
      <x:c r="K18" s="25"/>
    </x:row>
    <x:row r="19" ht="128.25">
      <x:c r="A19" s="11" t="s">
        <x:v>101</x:v>
      </x:c>
      <x:c r="B19" s="19" t="str">
        <x:v>1) Tegaskan focal point dan mekanisme update konten; 2) konsolidasikan repository evidence P02; 3) lanjutkan integrasi e-book/modul; 4) realisasikan kolaborasi narasumber/podcast/webinar; 5) mulai ukur konten, akses/pengguna, pemanfaatan dan umpan balik; 6) lakukan review outcome/kontribusi setelah periode implementasi memadai.</x:v>
      </x:c>
      <x:c r="C19" s="19"/>
      <x:c r="D19" s="19"/>
      <x:c r="E19" s="19"/>
      <x:c r="F19" s="19"/>
      <x:c r="G19" s="19"/>
      <x:c r="H19" s="19"/>
      <x:c r="I19" s="19"/>
      <x:c r="J19" s="19"/>
      <x:c r="K19" s="21"/>
    </x:row>
    <x:row r="20" ht="42.75">
      <x:c r="A20" s="11" t="s">
        <x:v>75</x:v>
      </x:c>
      <x:c r="B20" s="19" t="str">
        <x:v>PIC internal Kanwil bersama PIC BNNP Kepri</x:v>
      </x:c>
      <x:c r="C20" s="19"/>
      <x:c r="D20" s="19"/>
      <x:c r="E20" s="19"/>
      <x:c r="F20" s="19"/>
      <x:c r="G20" s="19"/>
      <x:c r="H20" s="19"/>
      <x:c r="I20" s="19"/>
      <x:c r="J20" s="19"/>
      <x:c r="K20" s="21"/>
    </x:row>
    <x:row r="21" ht="15">
      <x:c r="A21" s="12" t="s">
        <x:v>102</x:v>
      </x:c>
      <x:c r="B21" s="73" t="str">
        <x:v>Penguatan implementasi: Triwulan IV 2026; review outcome/kontribusi pada periode evaluasi berikutnya</x:v>
      </x:c>
      <x:c r="C21" s="23"/>
      <x:c r="D21" s="23"/>
      <x:c r="E21" s="23"/>
      <x:c r="F21" s="23"/>
      <x:c r="G21" s="23"/>
      <x:c r="H21" s="23"/>
      <x:c r="I21" s="23"/>
      <x:c r="J21" s="23"/>
      <x:c r="K21" s="25"/>
    </x:row>
    <x:row r="23" ht="15">
      <x:c r="A23" s="7" t="s">
        <x:v>103</x:v>
      </x:c>
      <x:c r="B23" s="7"/>
      <x:c r="C23" s="7"/>
      <x:c r="D23" s="7"/>
      <x:c r="E23" s="7"/>
      <x:c r="F23" s="7"/>
      <x:c r="G23" s="7"/>
      <x:c r="H23" s="7"/>
      <x:c r="I23" s="7"/>
      <x:c r="J23" s="7"/>
      <x:c r="K23" s="7"/>
    </x:row>
    <x:row r="24" ht="15">
      <x:c r="A24" s="9" t="s">
        <x:v>104</x:v>
      </x:c>
      <x:c r="B24" s="15" t="str">
        <x:v>BELUM DIPUTUSKAN</x:v>
      </x:c>
      <x:c r="C24" s="15"/>
      <x:c r="D24" s="15"/>
      <x:c r="E24" s="15"/>
      <x:c r="F24" s="15"/>
      <x:c r="G24" s="15"/>
      <x:c r="H24" s="15"/>
      <x:c r="I24" s="15"/>
      <x:c r="J24" s="15"/>
      <x:c r="K24" s="17"/>
    </x:row>
    <x:row r="25" ht="15">
      <x:c r="A25" s="11" t="s">
        <x:v>105</x:v>
      </x:c>
      <x:c r="B25" s="19"/>
      <x:c r="C25" s="19"/>
      <x:c r="D25" s="19"/>
      <x:c r="E25" s="19"/>
      <x:c r="F25" s="19"/>
      <x:c r="G25" s="19"/>
      <x:c r="H25" s="19"/>
      <x:c r="I25" s="19"/>
      <x:c r="J25" s="19"/>
      <x:c r="K25" s="21"/>
    </x:row>
    <x:row r="26" ht="15">
      <x:c r="A26" s="11" t="s">
        <x:v>106</x:v>
      </x:c>
      <x:c r="B26" s="76"/>
      <x:c r="C26" s="19"/>
      <x:c r="D26" s="19"/>
      <x:c r="E26" s="19"/>
      <x:c r="F26" s="19"/>
      <x:c r="G26" s="19"/>
      <x:c r="H26" s="19"/>
      <x:c r="I26" s="19"/>
      <x:c r="J26" s="19"/>
      <x:c r="K26" s="21"/>
    </x:row>
    <x:row r="27" ht="15">
      <x:c r="A27" s="11" t="s">
        <x:v>107</x:v>
      </x:c>
      <x:c r="B27" s="19"/>
      <x:c r="C27" s="19"/>
      <x:c r="D27" s="19"/>
      <x:c r="E27" s="19"/>
      <x:c r="F27" s="19"/>
      <x:c r="G27" s="19"/>
      <x:c r="H27" s="19"/>
      <x:c r="I27" s="19"/>
      <x:c r="J27" s="19"/>
      <x:c r="K27" s="21"/>
    </x:row>
    <x:row r="28" ht="15">
      <x:c r="A28" s="12" t="s">
        <x:v>108</x:v>
      </x:c>
      <x:c r="B28" s="73"/>
      <x:c r="C28" s="23"/>
      <x:c r="D28" s="23"/>
      <x:c r="E28" s="23"/>
      <x:c r="F28" s="23"/>
      <x:c r="G28" s="23"/>
      <x:c r="H28" s="23"/>
      <x:c r="I28" s="23"/>
      <x:c r="J28" s="23"/>
      <x:c r="K28" s="25"/>
    </x:row>
  </x:sheetData>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31" customWidth="1"/>
    <x:col min="2" max="2" width="8" customWidth="1"/>
    <x:col min="3" max="3" width="38" customWidth="1"/>
    <x:col min="4" max="8" width="31" customWidth="1"/>
    <x:col min="9" max="9" width="34" customWidth="1"/>
  </x:cols>
  <x:sheetData>
    <x:row r="1" ht="19.5">
      <x:c r="A1" s="1" t="s">
        <x:v>109</x:v>
      </x:c>
      <x:c r="B1" s="1"/>
      <x:c r="C1" s="1"/>
      <x:c r="D1" s="1"/>
      <x:c r="E1" s="1"/>
      <x:c r="F1" s="1"/>
      <x:c r="G1" s="1"/>
      <x:c r="H1" s="1"/>
      <x:c r="I1" s="1"/>
    </x:row>
    <x:row r="2" ht="51">
      <x:c r="A2" s="2" t="s">
        <x:v>110</x:v>
      </x:c>
      <x:c r="B2" s="2"/>
      <x:c r="C2" s="2"/>
      <x:c r="D2" s="2"/>
      <x:c r="E2" s="2"/>
      <x:c r="F2" s="2"/>
      <x:c r="G2" s="2"/>
      <x:c r="H2" s="2"/>
      <x:c r="I2" s="2"/>
    </x:row>
    <x:row r="4" ht="15">
      <x:c r="A4" s="26" t="s">
        <x:v>15</x:v>
      </x:c>
      <x:c r="B4" s="26" t="s">
        <x:v>16</x:v>
      </x:c>
      <x:c r="C4" s="26" t="s">
        <x:v>111</x:v>
      </x:c>
      <x:c r="D4" s="26" t="s">
        <x:v>112</x:v>
      </x:c>
      <x:c r="E4" s="26" t="s">
        <x:v>113</x:v>
      </x:c>
      <x:c r="F4" s="26" t="s">
        <x:v>114</x:v>
      </x:c>
      <x:c r="G4" s="26" t="s">
        <x:v>115</x:v>
      </x:c>
      <x:c r="H4" s="26" t="s">
        <x:v>116</x:v>
      </x:c>
      <x:c r="I4" s="26" t="s">
        <x:v>81</x:v>
      </x:c>
    </x:row>
    <x:row r="5" ht="110.0999984741211" customHeight="1">
      <x:c r="A5" s="42" t="s">
        <x:v>26</x:v>
      </x:c>
      <x:c r="B5" s="43">
        <x:v>10</x:v>
      </x:c>
      <x:c r="C5" s="36" t="s">
        <x:v>117</x:v>
      </x:c>
      <x:c r="D5" s="36" t="s">
        <x:v>118</x:v>
      </x:c>
      <x:c r="E5" s="36" t="s">
        <x:v>119</x:v>
      </x:c>
      <x:c r="F5" s="36" t="s">
        <x:v>120</x:v>
      </x:c>
      <x:c r="G5" s="36" t="s">
        <x:v>121</x:v>
      </x:c>
      <x:c r="H5" s="36" t="s">
        <x:v>122</x:v>
      </x:c>
      <x:c r="I5" s="37" t="s">
        <x:v>123</x:v>
      </x:c>
    </x:row>
    <x:row r="6" ht="110.0999984741211" customHeight="1">
      <x:c r="A6" s="44" t="s">
        <x:v>28</x:v>
      </x:c>
      <x:c r="B6" s="45">
        <x:v>15</x:v>
      </x:c>
      <x:c r="C6" s="38" t="s">
        <x:v>124</x:v>
      </x:c>
      <x:c r="D6" s="38" t="s">
        <x:v>125</x:v>
      </x:c>
      <x:c r="E6" s="38" t="s">
        <x:v>126</x:v>
      </x:c>
      <x:c r="F6" s="38" t="s">
        <x:v>127</x:v>
      </x:c>
      <x:c r="G6" s="38" t="s">
        <x:v>128</x:v>
      </x:c>
      <x:c r="H6" s="38" t="s">
        <x:v>129</x:v>
      </x:c>
      <x:c r="I6" s="39"/>
    </x:row>
    <x:row r="7" ht="110.0999984741211" customHeight="1">
      <x:c r="A7" s="44" t="s">
        <x:v>30</x:v>
      </x:c>
      <x:c r="B7" s="45">
        <x:v>15</x:v>
      </x:c>
      <x:c r="C7" s="38" t="s">
        <x:v>130</x:v>
      </x:c>
      <x:c r="D7" s="38" t="s">
        <x:v>131</x:v>
      </x:c>
      <x:c r="E7" s="38" t="s">
        <x:v>132</x:v>
      </x:c>
      <x:c r="F7" s="38" t="s">
        <x:v>133</x:v>
      </x:c>
      <x:c r="G7" s="38" t="s">
        <x:v>134</x:v>
      </x:c>
      <x:c r="H7" s="38" t="s">
        <x:v>135</x:v>
      </x:c>
      <x:c r="I7" s="39"/>
    </x:row>
    <x:row r="8" ht="110.0999984741211" customHeight="1">
      <x:c r="A8" s="44" t="s">
        <x:v>32</x:v>
      </x:c>
      <x:c r="B8" s="45">
        <x:v>20</x:v>
      </x:c>
      <x:c r="C8" s="38" t="s">
        <x:v>136</x:v>
      </x:c>
      <x:c r="D8" s="38" t="s">
        <x:v>137</x:v>
      </x:c>
      <x:c r="E8" s="38" t="s">
        <x:v>138</x:v>
      </x:c>
      <x:c r="F8" s="38" t="s">
        <x:v>139</x:v>
      </x:c>
      <x:c r="G8" s="38" t="s">
        <x:v>140</x:v>
      </x:c>
      <x:c r="H8" s="38" t="s">
        <x:v>141</x:v>
      </x:c>
      <x:c r="I8" s="39" t="s">
        <x:v>142</x:v>
      </x:c>
    </x:row>
    <x:row r="9" ht="110.0999984741211" customHeight="1">
      <x:c r="A9" s="44" t="s">
        <x:v>34</x:v>
      </x:c>
      <x:c r="B9" s="45">
        <x:v>20</x:v>
      </x:c>
      <x:c r="C9" s="38" t="s">
        <x:v>143</x:v>
      </x:c>
      <x:c r="D9" s="38" t="s">
        <x:v>144</x:v>
      </x:c>
      <x:c r="E9" s="38" t="s">
        <x:v>145</x:v>
      </x:c>
      <x:c r="F9" s="38" t="s">
        <x:v>146</x:v>
      </x:c>
      <x:c r="G9" s="38" t="s">
        <x:v>147</x:v>
      </x:c>
      <x:c r="H9" s="38" t="s">
        <x:v>148</x:v>
      </x:c>
      <x:c r="I9" s="39" t="s">
        <x:v>149</x:v>
      </x:c>
    </x:row>
    <x:row r="10" ht="110.0999984741211" customHeight="1">
      <x:c r="A10" s="44" t="s">
        <x:v>36</x:v>
      </x:c>
      <x:c r="B10" s="45">
        <x:v>10</x:v>
      </x:c>
      <x:c r="C10" s="38" t="s">
        <x:v>150</x:v>
      </x:c>
      <x:c r="D10" s="38" t="s">
        <x:v>151</x:v>
      </x:c>
      <x:c r="E10" s="38" t="s">
        <x:v>152</x:v>
      </x:c>
      <x:c r="F10" s="38" t="s">
        <x:v>153</x:v>
      </x:c>
      <x:c r="G10" s="38" t="s">
        <x:v>154</x:v>
      </x:c>
      <x:c r="H10" s="38" t="s">
        <x:v>155</x:v>
      </x:c>
      <x:c r="I10" s="39" t="s">
        <x:v>156</x:v>
      </x:c>
    </x:row>
    <x:row r="11" ht="110.0999984741211" customHeight="1">
      <x:c r="A11" s="46" t="s">
        <x:v>38</x:v>
      </x:c>
      <x:c r="B11" s="47">
        <x:v>10</x:v>
      </x:c>
      <x:c r="C11" s="40" t="s">
        <x:v>157</x:v>
      </x:c>
      <x:c r="D11" s="40" t="s">
        <x:v>158</x:v>
      </x:c>
      <x:c r="E11" s="40" t="s">
        <x:v>159</x:v>
      </x:c>
      <x:c r="F11" s="40" t="s">
        <x:v>160</x:v>
      </x:c>
      <x:c r="G11" s="40" t="s">
        <x:v>161</x:v>
      </x:c>
      <x:c r="H11" s="40" t="s">
        <x:v>162</x:v>
      </x:c>
      <x:c r="I11" s="41" t="s">
        <x:v>163</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4" ht="15">
      <x:c r="A4" s="7" t="s">
        <x:v>166</x:v>
      </x:c>
      <x:c r="B4" s="7"/>
      <x:c r="C4" s="7"/>
      <x:c r="D4" s="7"/>
      <x:c r="E4" s="7"/>
      <x:c r="F4" s="7"/>
    </x:row>
    <x:row r="5" ht="15">
      <x:c r="A5" s="77" t="s">
        <x:v>167</x:v>
      </x:c>
      <x:c r="B5" s="78" t="s">
        <x:v>168</x:v>
      </x:c>
    </x:row>
    <x:row r="6" ht="28.5">
      <x:c r="A6" s="30" t="s">
        <x:v>169</x:v>
      </x:c>
      <x:c r="B6" s="32" t="s">
        <x:v>170</x:v>
      </x:c>
    </x:row>
    <x:row r="7" ht="42.75">
      <x:c r="A7" s="30" t="s">
        <x:v>171</x:v>
      </x:c>
      <x:c r="B7" s="32" t="s">
        <x:v>172</x:v>
      </x:c>
    </x:row>
    <x:row r="8">
      <x:c r="A8" s="30" t="s">
        <x:v>93</x:v>
      </x:c>
      <x:c r="B8" s="32" t="s">
        <x:v>173</x:v>
      </x:c>
    </x:row>
    <x:row r="9" ht="28.5">
      <x:c r="A9" s="33" t="s">
        <x:v>174</x:v>
      </x:c>
      <x:c r="B9" s="35" t="s">
        <x:v>175</x:v>
      </x:c>
    </x:row>
    <x:row r="11" ht="15">
      <x:c r="A11" s="7" t="s">
        <x:v>176</x:v>
      </x:c>
      <x:c r="B11" s="7"/>
      <x:c r="C11" s="7"/>
      <x:c r="D11" s="7"/>
      <x:c r="E11" s="7"/>
      <x:c r="F11" s="7"/>
    </x:row>
    <x:row r="12" ht="28.5">
      <x:c r="A12" s="59" t="s">
        <x:v>44</x:v>
      </x:c>
      <x:c r="B12" s="28" t="s">
        <x:v>177</x:v>
      </x:c>
      <x:c r="C12" s="29" t="s">
        <x:v>178</x:v>
      </x:c>
    </x:row>
    <x:row r="13" ht="28.5">
      <x:c r="A13" s="60" t="s">
        <x:v>47</x:v>
      </x:c>
      <x:c r="B13" s="31" t="s">
        <x:v>179</x:v>
      </x:c>
      <x:c r="C13" s="32" t="s">
        <x:v>180</x:v>
      </x:c>
    </x:row>
    <x:row r="14" ht="28.5">
      <x:c r="A14" s="60" t="s">
        <x:v>50</x:v>
      </x:c>
      <x:c r="B14" s="31" t="s">
        <x:v>181</x:v>
      </x:c>
      <x:c r="C14" s="32" t="s">
        <x:v>182</x:v>
      </x:c>
    </x:row>
    <x:row r="15" ht="15">
      <x:c r="A15" s="60" t="s">
        <x:v>53</x:v>
      </x:c>
      <x:c r="B15" s="31" t="s">
        <x:v>183</x:v>
      </x:c>
      <x:c r="C15" s="32" t="s">
        <x:v>184</x:v>
      </x:c>
    </x:row>
    <x:row r="16" ht="28.5">
      <x:c r="A16" s="61" t="s">
        <x:v>56</x:v>
      </x:c>
      <x:c r="B16" s="34" t="s">
        <x:v>185</x:v>
      </x:c>
      <x:c r="C16" s="35" t="s">
        <x:v>186</x:v>
      </x:c>
    </x:row>
    <x:row r="20" ht="15">
      <x:c r="A20" s="7" t="s">
        <x:v>187</x:v>
      </x:c>
      <x:c r="B20" s="7"/>
      <x:c r="C20" s="7"/>
      <x:c r="D20" s="7"/>
      <x:c r="E20" s="7"/>
      <x:c r="F20" s="7"/>
    </x:row>
    <x:row r="21" ht="15">
      <x:c r="A21" s="77" t="s">
        <x:v>72</x:v>
      </x:c>
      <x:c r="B21" s="79" t="s">
        <x:v>188</x:v>
      </x:c>
      <x:c r="C21" s="78" t="s">
        <x:v>189</x:v>
      </x:c>
    </x:row>
    <x:row r="22">
      <x:c r="A22" s="30" t="s">
        <x:v>190</x:v>
      </x:c>
      <x:c r="B22" s="31" t="s">
        <x:v>191</x:v>
      </x:c>
      <x:c r="C22" s="32" t="s">
        <x:v>192</x:v>
      </x:c>
    </x:row>
    <x:row r="23" ht="28.5">
      <x:c r="A23" s="30" t="s">
        <x:v>193</x:v>
      </x:c>
      <x:c r="B23" s="31" t="s">
        <x:v>194</x:v>
      </x:c>
      <x:c r="C23" s="32" t="s">
        <x:v>195</x:v>
      </x:c>
    </x:row>
    <x:row r="24" ht="28.5">
      <x:c r="A24" s="33" t="str">
        <x:v>BELUM DAPAT DINILAI</x:v>
      </x:c>
      <x:c r="B24" s="34" t="str">
        <x:v>Digunakan bila secara objektif belum cukup waktu bagi indikator untuk menghasilkan hasil/manfaat. Ini terutama relevan pada masa implementasi awal untuk outcome dan kontribusi/dampak.</x:v>
      </x:c>
      <x:c r="C24" s="35" t="str">
        <x:v>Tidak</x:v>
      </x:c>
    </x:row>
    <x:row r="27" ht="15">
      <x:c r="A27" s="7" t="s">
        <x:v>196</x:v>
      </x:c>
      <x:c r="B27" s="7"/>
      <x:c r="C27" s="7"/>
      <x:c r="D27" s="7"/>
      <x:c r="E27" s="7"/>
      <x:c r="F27" s="7"/>
    </x:row>
    <x:row r="28" ht="28.5">
      <x:c r="A28" s="59" t="s">
        <x:v>112</x:v>
      </x:c>
      <x:c r="B28" s="29" t="s">
        <x:v>197</x:v>
      </x:c>
    </x:row>
    <x:row r="29" ht="28.5">
      <x:c r="A29" s="60" t="s">
        <x:v>67</x:v>
      </x:c>
      <x:c r="B29" s="32" t="s">
        <x:v>198</x:v>
      </x:c>
    </x:row>
    <x:row r="30" ht="28.5">
      <x:c r="A30" s="60" t="s">
        <x:v>46</x:v>
      </x:c>
      <x:c r="B30" s="32" t="s">
        <x:v>199</x:v>
      </x:c>
    </x:row>
    <x:row r="31" ht="15">
      <x:c r="A31" s="60" t="s">
        <x:v>52</x:v>
      </x:c>
      <x:c r="B31" s="32" t="s">
        <x:v>200</x:v>
      </x:c>
    </x:row>
    <x:row r="32" ht="28.5">
      <x:c r="A32" s="61" t="str">
        <x:v>Masa Implementasi Awal</x:v>
      </x:c>
      <x:c r="B32" s="35" t="str">
        <x:v>Digunakan bila kerja sama masih baru sehingga sebagian indikator hasil (terutama outcome dan kontribusi/dampak) secara objektif belum layak diberi skor. Indikator yang sudah matang tetap dapat dinilai.</x:v>
      </x:c>
      <x:c r="C32" t="str">
        <x:v>Nilai final/kategori belum ditetapkan sampai seluruh indikator hasil memasuki periode penilaian yang memadai.</x:v>
      </x:c>
    </x:row>
    <x:row r="35" ht="15">
      <x:c r="A35" s="7" t="s">
        <x:v>201</x:v>
      </x:c>
      <x:c r="B35" s="7"/>
      <x:c r="C35" s="7"/>
      <x:c r="D35" s="7"/>
      <x:c r="E35" s="7"/>
      <x:c r="F35" s="7"/>
    </x:row>
    <x:row r="36" ht="15">
      <x:c r="A36" s="77" t="s">
        <x:v>202</x:v>
      </x:c>
      <x:c r="B36" s="78" t="s">
        <x:v>203</x:v>
      </x:c>
    </x:row>
    <x:row r="37" ht="28.5">
      <x:c r="A37" s="30" t="s">
        <x:v>204</x:v>
      </x:c>
      <x:c r="B37" s="32" t="s">
        <x:v>205</x:v>
      </x:c>
    </x:row>
    <x:row r="38" ht="28.5">
      <x:c r="A38" s="30" t="s">
        <x:v>206</x:v>
      </x:c>
      <x:c r="B38" s="32" t="s">
        <x:v>207</x:v>
      </x:c>
    </x:row>
    <x:row r="39" ht="28.5">
      <x:c r="A39" s="30" t="s">
        <x:v>208</x:v>
      </x:c>
      <x:c r="B39" s="32" t="s">
        <x:v>209</x:v>
      </x:c>
    </x:row>
    <x:row r="40" ht="28.5">
      <x:c r="A40" s="33" t="s">
        <x:v>210</x:v>
      </x:c>
      <x:c r="B40" s="35" t="s">
        <x:v>211</x:v>
      </x:c>
    </x:row>
    <x:row r="42" ht="15">
      <x:c r="A42" s="7" t="s">
        <x:v>212</x:v>
      </x:c>
      <x:c r="B42" s="7"/>
      <x:c r="C42" s="7"/>
      <x:c r="D42" s="7"/>
      <x:c r="E42" s="7"/>
      <x:c r="F42" s="7"/>
    </x:row>
    <x:row r="43" ht="15">
      <x:c r="A43" s="77" t="s">
        <x:v>213</x:v>
      </x:c>
      <x:c r="B43" s="78" t="s">
        <x:v>214</x:v>
      </x:c>
    </x:row>
    <x:row r="44" ht="28.5">
      <x:c r="A44" s="30" t="s">
        <x:v>215</x:v>
      </x:c>
      <x:c r="B44" s="32" t="s">
        <x:v>216</x:v>
      </x:c>
    </x:row>
    <x:row r="45" ht="28.5">
      <x:c r="A45" s="30" t="s">
        <x:v>217</x:v>
      </x:c>
      <x:c r="B45" s="32" t="s">
        <x:v>218</x:v>
      </x:c>
    </x:row>
    <x:row r="46" ht="28.5">
      <x:c r="A46" s="30" t="s">
        <x:v>219</x:v>
      </x:c>
      <x:c r="B46" s="32" t="s">
        <x:v>220</x:v>
      </x:c>
    </x:row>
    <x:row r="47" ht="28.5">
      <x:c r="A47" s="30" t="s">
        <x:v>221</x:v>
      </x:c>
      <x:c r="B47" s="32" t="s">
        <x:v>222</x:v>
      </x:c>
    </x:row>
    <x:row r="48" ht="28.5">
      <x:c r="A48" s="33" t="s">
        <x:v>223</x:v>
      </x:c>
      <x:c r="B48" s="35" t="s">
        <x:v>224</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225</x:v>
      </x:c>
      <x:c r="B1" s="1"/>
      <x:c r="C1" s="1"/>
      <x:c r="D1" s="1"/>
      <x:c r="E1" s="1"/>
      <x:c r="F1" s="1"/>
      <x:c r="G1" s="1"/>
      <x:c r="H1" s="1"/>
    </x:row>
    <x:row r="2" ht="114.75">
      <x:c r="A2" s="2" t="s">
        <x:v>226</x:v>
      </x:c>
      <x:c r="B2" s="2"/>
      <x:c r="C2" s="2"/>
      <x:c r="D2" s="2"/>
      <x:c r="E2" s="2"/>
      <x:c r="F2" s="2"/>
      <x:c r="G2" s="2"/>
      <x:c r="H2" s="2"/>
    </x:row>
    <x:row r="4" ht="15">
      <x:c r="A4" s="7" t="s">
        <x:v>227</x:v>
      </x:c>
      <x:c r="B4" s="7"/>
      <x:c r="C4" s="7"/>
      <x:c r="D4" s="7"/>
      <x:c r="E4" s="7"/>
      <x:c r="F4" s="7"/>
      <x:c r="G4" s="7"/>
      <x:c r="H4" s="7"/>
    </x:row>
    <x:row r="5" ht="15">
      <x:c r="A5" s="26" t="s">
        <x:v>15</x:v>
      </x:c>
      <x:c r="B5" s="26" t="s">
        <x:v>228</x:v>
      </x:c>
      <x:c r="C5" s="26" t="s">
        <x:v>72</x:v>
      </x:c>
      <x:c r="D5" s="26" t="s">
        <x:v>229</x:v>
      </x:c>
      <x:c r="E5" s="26" t="s">
        <x:v>16</x:v>
      </x:c>
      <x:c r="F5" s="26" t="s">
        <x:v>230</x:v>
      </x:c>
      <x:c r="G5" s="26" t="s">
        <x:v>214</x:v>
      </x:c>
      <x:c r="H5" s="26" t="s">
        <x:v>101</x:v>
      </x:c>
    </x:row>
    <x:row r="6" ht="28.5">
      <x:c r="A6" s="27" t="s">
        <x:v>231</x:v>
      </x:c>
      <x:c r="B6" s="28" t="s">
        <x:v>232</x:v>
      </x:c>
      <x:c r="C6" s="28" t="s">
        <x:v>190</x:v>
      </x:c>
      <x:c r="D6" s="28">
        <x:v>1</x:v>
      </x:c>
      <x:c r="E6" s="28">
        <x:v>10</x:v>
      </x:c>
      <x:c r="F6" s="28">
        <x:v>2.5</x:v>
      </x:c>
      <x:c r="G6" s="28" t="s">
        <x:v>233</x:v>
      </x:c>
      <x:c r="H6" s="29" t="s">
        <x:v>234</x:v>
      </x:c>
    </x:row>
    <x:row r="7">
      <x:c r="A7" s="30" t="s">
        <x:v>235</x:v>
      </x:c>
      <x:c r="B7" s="31" t="s">
        <x:v>236</x:v>
      </x:c>
      <x:c r="C7" s="31" t="s">
        <x:v>190</x:v>
      </x:c>
      <x:c r="D7" s="31">
        <x:v>0</x:v>
      </x:c>
      <x:c r="E7" s="31">
        <x:v>15</x:v>
      </x:c>
      <x:c r="F7" s="31">
        <x:v>0</x:v>
      </x:c>
      <x:c r="G7" s="31" t="s">
        <x:v>237</x:v>
      </x:c>
      <x:c r="H7" s="32" t="s">
        <x:v>238</x:v>
      </x:c>
    </x:row>
    <x:row r="8" ht="28.5">
      <x:c r="A8" s="30" t="s">
        <x:v>239</x:v>
      </x:c>
      <x:c r="B8" s="31" t="s">
        <x:v>240</x:v>
      </x:c>
      <x:c r="C8" s="31" t="s">
        <x:v>190</x:v>
      </x:c>
      <x:c r="D8" s="31">
        <x:v>0</x:v>
      </x:c>
      <x:c r="E8" s="31">
        <x:v>15</x:v>
      </x:c>
      <x:c r="F8" s="31">
        <x:v>0</x:v>
      </x:c>
      <x:c r="G8" s="31" t="s">
        <x:v>241</x:v>
      </x:c>
      <x:c r="H8" s="32" t="s">
        <x:v>242</x:v>
      </x:c>
    </x:row>
    <x:row r="9" ht="28.5">
      <x:c r="A9" s="30" t="s">
        <x:v>243</x:v>
      </x:c>
      <x:c r="B9" s="31" t="s">
        <x:v>244</x:v>
      </x:c>
      <x:c r="C9" s="31" t="s">
        <x:v>190</x:v>
      </x:c>
      <x:c r="D9" s="31">
        <x:v>0</x:v>
      </x:c>
      <x:c r="E9" s="31">
        <x:v>20</x:v>
      </x:c>
      <x:c r="F9" s="31">
        <x:v>0</x:v>
      </x:c>
      <x:c r="G9" s="31" t="s">
        <x:v>245</x:v>
      </x:c>
      <x:c r="H9" s="32" t="s">
        <x:v>246</x:v>
      </x:c>
    </x:row>
    <x:row r="10" ht="28.5">
      <x:c r="A10" s="30" t="s">
        <x:v>247</x:v>
      </x:c>
      <x:c r="B10" s="31" t="s">
        <x:v>248</x:v>
      </x:c>
      <x:c r="C10" s="31" t="s">
        <x:v>190</x:v>
      </x:c>
      <x:c r="D10" s="31">
        <x:v>0</x:v>
      </x:c>
      <x:c r="E10" s="31">
        <x:v>20</x:v>
      </x:c>
      <x:c r="F10" s="31">
        <x:v>0</x:v>
      </x:c>
      <x:c r="G10" s="31" t="s">
        <x:v>249</x:v>
      </x:c>
      <x:c r="H10" s="32" t="s">
        <x:v>250</x:v>
      </x:c>
    </x:row>
    <x:row r="11" ht="28.5">
      <x:c r="A11" s="30" t="s">
        <x:v>251</x:v>
      </x:c>
      <x:c r="B11" s="31" t="s">
        <x:v>252</x:v>
      </x:c>
      <x:c r="C11" s="31" t="s">
        <x:v>190</x:v>
      </x:c>
      <x:c r="D11" s="31">
        <x:v>3</x:v>
      </x:c>
      <x:c r="E11" s="31">
        <x:v>10</x:v>
      </x:c>
      <x:c r="F11" s="31">
        <x:v>7.5</x:v>
      </x:c>
      <x:c r="G11" s="31" t="s">
        <x:v>253</x:v>
      </x:c>
      <x:c r="H11" s="32" t="s">
        <x:v>254</x:v>
      </x:c>
    </x:row>
    <x:row r="12" ht="28.5">
      <x:c r="A12" s="33" t="s">
        <x:v>255</x:v>
      </x:c>
      <x:c r="B12" s="34" t="s">
        <x:v>256</x:v>
      </x:c>
      <x:c r="C12" s="34" t="s">
        <x:v>190</x:v>
      </x:c>
      <x:c r="D12" s="34">
        <x:v>1</x:v>
      </x:c>
      <x:c r="E12" s="34">
        <x:v>10</x:v>
      </x:c>
      <x:c r="F12" s="34">
        <x:v>2.5</x:v>
      </x:c>
      <x:c r="G12" s="34" t="s">
        <x:v>257</x:v>
      </x:c>
      <x:c r="H12" s="35" t="s">
        <x:v>258</x:v>
      </x:c>
    </x:row>
    <x:row r="14" ht="15">
      <x:c r="A14" s="7" t="str">
        <x:v>CONTOH B — MASA IMPLEMENTASI AWAL: HASIL BELUM MEMASUKI PERIODE PENILAIAN</x:v>
      </x:c>
      <x:c r="B14" s="7"/>
      <x:c r="C14" s="7"/>
      <x:c r="D14" s="7"/>
      <x:c r="E14" s="7"/>
      <x:c r="F14" s="7"/>
      <x:c r="G14" s="7"/>
      <x:c r="H14" s="7"/>
    </x:row>
    <x:row r="15" ht="15">
      <x:c r="A15" s="26" t="s">
        <x:v>15</x:v>
      </x:c>
      <x:c r="B15" s="26" t="s">
        <x:v>228</x:v>
      </x:c>
      <x:c r="C15" s="26" t="s">
        <x:v>72</x:v>
      </x:c>
      <x:c r="D15" s="26" t="s">
        <x:v>229</x:v>
      </x:c>
      <x:c r="E15" s="26" t="s">
        <x:v>16</x:v>
      </x:c>
      <x:c r="F15" s="26" t="s">
        <x:v>230</x:v>
      </x:c>
      <x:c r="G15" s="26" t="s">
        <x:v>214</x:v>
      </x:c>
      <x:c r="H15" s="26" t="s">
        <x:v>101</x:v>
      </x:c>
    </x:row>
    <x:row r="16" ht="28.5">
      <x:c r="A16" s="27" t="s">
        <x:v>231</x:v>
      </x:c>
      <x:c r="B16" s="28" t="s">
        <x:v>259</x:v>
      </x:c>
      <x:c r="C16" s="28" t="s">
        <x:v>190</x:v>
      </x:c>
      <x:c r="D16" s="28">
        <x:v>3</x:v>
      </x:c>
      <x:c r="E16" s="28">
        <x:v>10</x:v>
      </x:c>
      <x:c r="F16" s="28">
        <x:v>7.5</x:v>
      </x:c>
      <x:c r="G16" s="28" t="s">
        <x:v>260</x:v>
      </x:c>
      <x:c r="H16" s="29" t="s">
        <x:v>261</x:v>
      </x:c>
    </x:row>
    <x:row r="17">
      <x:c r="A17" s="30" t="s">
        <x:v>235</x:v>
      </x:c>
      <x:c r="B17" s="31" t="s">
        <x:v>262</x:v>
      </x:c>
      <x:c r="C17" s="31" t="s">
        <x:v>190</x:v>
      </x:c>
      <x:c r="D17" s="31">
        <x:v>2</x:v>
      </x:c>
      <x:c r="E17" s="31">
        <x:v>15</x:v>
      </x:c>
      <x:c r="F17" s="31">
        <x:v>7.5</x:v>
      </x:c>
      <x:c r="G17" s="31" t="s">
        <x:v>263</x:v>
      </x:c>
      <x:c r="H17" s="32" t="s">
        <x:v>264</x:v>
      </x:c>
    </x:row>
    <x:row r="18" ht="28.5">
      <x:c r="A18" s="30" t="s">
        <x:v>239</x:v>
      </x:c>
      <x:c r="B18" s="31" t="s">
        <x:v>265</x:v>
      </x:c>
      <x:c r="C18" s="31" t="s">
        <x:v>266</x:v>
      </x:c>
      <x:c r="D18" s="31"/>
      <x:c r="E18" s="31">
        <x:v>15</x:v>
      </x:c>
      <x:c r="F18" s="31"/>
      <x:c r="G18" s="31" t="s">
        <x:v>267</x:v>
      </x:c>
      <x:c r="H18" s="32" t="s">
        <x:v>268</x:v>
      </x:c>
    </x:row>
    <x:row r="19">
      <x:c r="A19" s="30" t="s">
        <x:v>243</x:v>
      </x:c>
      <x:c r="B19" s="31" t="s">
        <x:v>269</x:v>
      </x:c>
      <x:c r="C19" s="31" t="s">
        <x:v>266</x:v>
      </x:c>
      <x:c r="D19" s="31"/>
      <x:c r="E19" s="31">
        <x:v>20</x:v>
      </x:c>
      <x:c r="F19" s="31"/>
      <x:c r="G19" s="31" t="s">
        <x:v>270</x:v>
      </x:c>
      <x:c r="H19" s="32" t="s">
        <x:v>271</x:v>
      </x:c>
    </x:row>
    <x:row r="20">
      <x:c r="A20" s="30" t="s">
        <x:v>247</x:v>
      </x:c>
      <x:c r="B20" s="31" t="s">
        <x:v>272</x:v>
      </x:c>
      <x:c r="C20" s="31" t="s">
        <x:v>266</x:v>
      </x:c>
      <x:c r="D20" s="31"/>
      <x:c r="E20" s="31">
        <x:v>20</x:v>
      </x:c>
      <x:c r="F20" s="31"/>
      <x:c r="G20" s="31" t="s">
        <x:v>270</x:v>
      </x:c>
      <x:c r="H20" s="32" t="s">
        <x:v>273</x:v>
      </x:c>
    </x:row>
    <x:row r="21">
      <x:c r="A21" s="30" t="s">
        <x:v>251</x:v>
      </x:c>
      <x:c r="B21" s="31" t="s">
        <x:v>274</x:v>
      </x:c>
      <x:c r="C21" s="31" t="s">
        <x:v>190</x:v>
      </x:c>
      <x:c r="D21" s="31">
        <x:v>3</x:v>
      </x:c>
      <x:c r="E21" s="31">
        <x:v>10</x:v>
      </x:c>
      <x:c r="F21" s="31">
        <x:v>7.5</x:v>
      </x:c>
      <x:c r="G21" s="31" t="s">
        <x:v>275</x:v>
      </x:c>
      <x:c r="H21" s="32" t="s">
        <x:v>276</x:v>
      </x:c>
    </x:row>
    <x:row r="22">
      <x:c r="A22" s="33" t="s">
        <x:v>255</x:v>
      </x:c>
      <x:c r="B22" s="34" t="s">
        <x:v>277</x:v>
      </x:c>
      <x:c r="C22" s="34" t="s">
        <x:v>190</x:v>
      </x:c>
      <x:c r="D22" s="34">
        <x:v>3</x:v>
      </x:c>
      <x:c r="E22" s="34">
        <x:v>10</x:v>
      </x:c>
      <x:c r="F22" s="34">
        <x:v>7.5</x:v>
      </x:c>
      <x:c r="G22" s="34" t="s">
        <x:v>278</x:v>
      </x:c>
      <x:c r="H22" s="35" t="s">
        <x:v>279</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80" t="str">
        <x:v>SUMBER DATA — FINAL BASELINE P02 Badan Narkotika Nasional Provinsi Kepulauan Riau</x:v>
      </x:c>
      <x:c r="B1" s="80"/>
      <x:c r="C1" s="80"/>
      <x:c r="D1" s="80"/>
      <x:c r="E1" s="80"/>
      <x:c r="F1" s="80"/>
      <x:c r="G1" s="80"/>
      <x:c r="H1" s="80"/>
      <x:c r="I1" s="80"/>
    </x:row>
    <x:row r="2">
      <x:c r="A2" s="81" t="str">
        <x:v>Disalin dari FINAL BASELINE MITRA KINERJA — cut-off 28 Agustus 2026. Data pasca-baseline dinilai pada sheet PENILAIAN dan ditelusuri pada SUMBER_AKTUAL.</x:v>
      </x:c>
      <x:c r="B2" s="81"/>
      <x:c r="C2" s="81"/>
      <x:c r="D2" s="81"/>
      <x:c r="E2" s="81"/>
      <x:c r="F2" s="81"/>
      <x:c r="G2" s="81"/>
      <x:c r="H2" s="81"/>
      <x:c r="I2" s="81"/>
    </x:row>
    <x:row r="4" ht="15">
      <x:c r="A4" s="82" t="str">
        <x:v>No</x:v>
      </x:c>
      <x:c r="B4" s="83" t="str">
        <x:v>Kelompok</x:v>
      </x:c>
      <x:c r="C4" s="83" t="str">
        <x:v>Elemen baseline</x:v>
      </x:c>
      <x:c r="D4" s="83" t="str">
        <x:v>Yang diperiksa</x:v>
      </x:c>
      <x:c r="E4" s="83" t="str">
        <x:v>Sumber/bukti minimum</x:v>
      </x:c>
      <x:c r="F4" s="83" t="str">
        <x:v>Status</x:v>
      </x:c>
      <x:c r="G4" s="83" t="str">
        <x:v>Fakta/hasil pemeriksaan</x:v>
      </x:c>
      <x:c r="H4" s="83" t="str">
        <x:v>Sumber/link bukti</x:v>
      </x:c>
      <x:c r="I4" s="84" t="str">
        <x:v>Catatan khusus (opsional)</x:v>
      </x:c>
    </x:row>
    <x:row r="5" ht="72" customHeight="1">
      <x:c r="A5" s="85" t="n">
        <x:v>1</x:v>
      </x:c>
      <x:c r="B5" s="38" t="str">
        <x:v>IDENTITAS</x:v>
      </x:c>
      <x:c r="C5" s="38" t="str">
        <x:v>Identitas naskah</x:v>
      </x:c>
      <x:c r="D5" s="38" t="str">
        <x:v>Jenis, nomor para pihak, judul, dan nama resmi mitra sesuai naskah.</x:v>
      </x:c>
      <x:c r="E5" s="38" t="str">
        <x:v>Naskah bertanda tangan; P2MA sebagai pembanding.</x:v>
      </x:c>
      <x:c r="F5" s="38" t="str">
        <x:v>TERVERIFIKASI</x:v>
      </x:c>
      <x:c r="G5" s="38" t="str">
        <x:v>Jenis, nomor para pihak, judul, dan nama resmi mitra telah dicocokkan dengan naskah/P2MA dan dinyatakan sesuai.</x:v>
      </x:c>
      <x:c r="H5" s="38" t="str">
        <x:v>https://p2ma.kemenkum.go.id/uploads/kerjasama/naskah/1785760147.pdf</x:v>
      </x:c>
      <x:c r="I5" s="86"/>
    </x:row>
    <x:row r="6" ht="72" customHeight="1">
      <x:c r="A6" s="85" t="n">
        <x:v>2</x:v>
      </x:c>
      <x:c r="B6" s="38" t="str">
        <x:v>MASA BERLAKU</x:v>
      </x:c>
      <x:c r="C6" s="38" t="str">
        <x:v>Masa berlaku</x:v>
      </x:c>
      <x:c r="D6" s="38" t="str">
        <x:v>Tanggal efektif, durasi, dan tanggal berakhir sesuai klausul naskah.</x:v>
      </x:c>
      <x:c r="E6" s="38" t="str">
        <x:v>Klausul jangka waktu; halaman tanda tangan; P2MA.</x:v>
      </x:c>
      <x:c r="F6" s="38" t="str">
        <x:v>TERVERIFIKASI</x:v>
      </x:c>
      <x:c r="G6" s="38" t="str">
        <x:v>P2MA/naskah menunjukkan masa berlaku mulai 13 Juli 2026 sampai dengan 12 Juli 2029; periode ini digunakan sebagai data baseline.</x:v>
      </x:c>
      <x:c r="H6" s="38" t="str">
        <x:v>https://p2ma.kemenkum.go.id/kdn/pencarian?tipe=1&amp;keyword=Badan%20Narkotika%20Nasional%20Provinsi%20Kepulauan%20Riau</x:v>
      </x:c>
      <x:c r="I6" s="86"/>
    </x:row>
    <x:row r="7" ht="72" customHeight="1">
      <x:c r="A7" s="85" t="n">
        <x:v>3</x:v>
      </x:c>
      <x:c r="B7" s="38" t="str">
        <x:v>SUBSTANSI</x:v>
      </x:c>
      <x:c r="C7" s="38" t="str">
        <x:v>Ruang lingkup</x:v>
      </x:c>
      <x:c r="D7" s="38" t="str">
        <x:v>Ruang kerja, kewajiban, atau kegiatan utama yang disepakati.</x:v>
      </x:c>
      <x:c r="E7" s="38" t="str">
        <x:v>Pasal ruang lingkup/hak-kewajiban; lampiran.</x:v>
      </x:c>
      <x:c r="F7" s="38" t="str">
        <x:v>TERVERIFIKASI</x:v>
      </x:c>
      <x:c r="G7" s="38" t="str">
        <x:v>Ruang lingkup meliputi integrasi materi pembelajaran pada BESTI Learning Hub, penempatan logo, kampanye komunikasi publik, kolaborasi narasumber untuk podcast/webinar/seminar, serta penyediaan infografis atau videografis.</x:v>
      </x:c>
      <x:c r="H7" s="38" t="str">
        <x:v>https://p2ma.kemenkum.go.id/uploads/kerjasama/naskah/1785760147.pdf</x:v>
      </x:c>
      <x:c r="I7" s="86"/>
    </x:row>
    <x:row r="8" ht="72" customHeight="1">
      <x:c r="A8" s="85" t="n">
        <x:v>4</x:v>
      </x:c>
      <x:c r="B8" s="38" t="str">
        <x:v>TATA KELOLA</x:v>
      </x:c>
      <x:c r="C8" s="38" t="str">
        <x:v>Status arsip</x:v>
      </x:c>
      <x:c r="D8" s="38" t="str">
        <x:v>Ketersediaan naskah lengkap pada lokasi arsip resmi dan dapat ditemukan kembali.</x:v>
      </x:c>
      <x:c r="E8" s="38" t="str">
        <x:v>Arsip resmi; register; folder organisasi.</x:v>
      </x:c>
      <x:c r="F8" s="38" t="str">
        <x:v>BELUM TERSEDIA</x:v>
      </x:c>
      <x:c r="G8" s="38" t="str">
        <x:v>Salinan naskah tersedia melalui P2MA, namun pada cut-off belum tersedia lokasi/folder arsip resmi internal yang teridentifikasi untuk naskah kerja sama ini.</x:v>
      </x:c>
      <x:c r="H8" s="38" t="str">
        <x:v>P2MA dan konfirmasi internal kondisi baseline.</x:v>
      </x:c>
      <x:c r="I8" s="86"/>
    </x:row>
    <x:row r="9" ht="72" customHeight="1">
      <x:c r="A9" s="85" t="n">
        <x:v>5</x:v>
      </x:c>
      <x:c r="B9" s="38" t="str">
        <x:v>TATA KELOLA</x:v>
      </x:c>
      <x:c r="C9" s="38" t="str">
        <x:v>Status P2MA</x:v>
      </x:c>
      <x:c r="D9" s="38" t="str">
        <x:v>Keberadaan entri dan kesesuaian metadata P2MA dengan naskah resmi.</x:v>
      </x:c>
      <x:c r="E9" s="38" t="str">
        <x:v>P2MA dan naskah bertanda tangan.</x:v>
      </x:c>
      <x:c r="F9" s="38" t="str">
        <x:v>TERVERIFIKASI</x:v>
      </x:c>
      <x:c r="G9" s="38" t="str">
        <x:v>Entri P2MA ditemukan dengan status Berlangsung dan naskah PDF dapat dibuka; entri BESTI Learning Hub digunakan sebagai rujukan baseline.</x:v>
      </x:c>
      <x:c r="H9" s="38" t="str">
        <x:v>https://p2ma.kemenkum.go.id/kdn/pencarian?tipe=1&amp;keyword=Badan%20Narkotika%20Nasional%20Provinsi%20Kepulauan%20Riau</x:v>
      </x:c>
      <x:c r="I9" s="86"/>
    </x:row>
    <x:row r="10" ht="72" customHeight="1">
      <x:c r="A10" s="85" t="n">
        <x:v>6</x:v>
      </x:c>
      <x:c r="B10" s="38" t="str">
        <x:v>PENGAMPU</x:v>
      </x:c>
      <x:c r="C10" s="38" t="str">
        <x:v>Unit pengampu</x:v>
      </x:c>
      <x:c r="D10" s="38" t="str">
        <x:v>Unit internal yang bertanggung jawab atas substansi dan implementasi kerja sama.</x:v>
      </x:c>
      <x:c r="E10" s="38" t="str">
        <x:v>ND/SK/pembagian tugas; konfirmasi tertulis unit.</x:v>
      </x:c>
      <x:c r="F10" s="38" t="str">
        <x:v>BELUM TERSEDIA</x:v>
      </x:c>
      <x:c r="G10" s="38" t="str">
        <x:v>Pada cut-off belum tersedia penetapan unit pengampu internal yang secara khusus bertanggung jawab atas implementasi kerja sama.</x:v>
      </x:c>
      <x:c r="H10" s="38" t="str">
        <x:v>Konfirmasi internal kondisi baseline; belum tersedia ND/SK/pembagian tugas pengampu.</x:v>
      </x:c>
      <x:c r="I10" s="86"/>
    </x:row>
    <x:row r="11" ht="72" customHeight="1">
      <x:c r="A11" s="85" t="n">
        <x:v>7</x:v>
      </x:c>
      <x:c r="B11" s="38" t="str">
        <x:v>PIC</x:v>
      </x:c>
      <x:c r="C11" s="38" t="str">
        <x:v>PIC internal</x:v>
      </x:c>
      <x:c r="D11" s="38" t="str">
        <x:v>PIC utama dan cadangan yang aktif, lengkap dengan jabatan, kontak, dan dasar penetapan.</x:v>
      </x:c>
      <x:c r="E11" s="38" t="str">
        <x:v>ND/SK/daftar PIC; konfirmasi tertulis unit.</x:v>
      </x:c>
      <x:c r="F11" s="38" t="str">
        <x:v>BELUM TERSEDIA</x:v>
      </x:c>
      <x:c r="G11" s="38" t="str">
        <x:v>Pada cut-off belum tersedia PIC internal utama dan cadangan yang ditetapkan untuk pengelolaan operasional kerja sama.</x:v>
      </x:c>
      <x:c r="H11" s="38" t="str">
        <x:v>Konfirmasi internal kondisi baseline; belum tersedia ND/SK/daftar PIC.</x:v>
      </x:c>
      <x:c r="I11" s="86"/>
    </x:row>
    <x:row r="12" ht="72" customHeight="1">
      <x:c r="A12" s="85" t="n">
        <x:v>8</x:v>
      </x:c>
      <x:c r="B12" s="38" t="str">
        <x:v>PIC</x:v>
      </x:c>
      <x:c r="C12" s="38" t="str">
        <x:v>PIC mitra</x:v>
      </x:c>
      <x:c r="D12" s="38" t="str">
        <x:v>Penghubung operasional pihak mitra yang telah dikonfirmasi.</x:v>
      </x:c>
      <x:c r="E12" s="38" t="str">
        <x:v>Surat/email/form konfirmasi resmi dari mitra.</x:v>
      </x:c>
      <x:c r="F12" s="38" t="str">
        <x:v>BELUM TERSEDIA</x:v>
      </x:c>
      <x:c r="G12" s="38" t="str">
        <x:v>Pada cut-off belum tersedia PIC operasional dari pihak BNNP Kepri yang dikonfirmasi melalui kanal kedinasan.</x:v>
      </x:c>
      <x:c r="H12" s="38" t="str">
        <x:v>Konfirmasi internal kondisi baseline; surat/email/formulir penunjukan PIC mitra belum tersedia.</x:v>
      </x:c>
      <x:c r="I12" s="86"/>
    </x:row>
    <x:row r="13" ht="72" customHeight="1">
      <x:c r="A13" s="85" t="n">
        <x:v>9</x:v>
      </x:c>
      <x:c r="B13" s="38" t="str">
        <x:v>TINDAK LANJUT</x:v>
      </x:c>
      <x:c r="C13" s="38" t="str">
        <x:v>Rencana tindak lanjut</x:v>
      </x:c>
      <x:c r="D13" s="38" t="str">
        <x:v>Dokumen atau komitmen operasional yang memuat kegiatan, periode, target, dan/atau PIC.</x:v>
      </x:c>
      <x:c r="E13" s="38" t="str">
        <x:v>Rencana aksi; matriks kerja; kalender; notula.</x:v>
      </x:c>
      <x:c r="F13" s="38" t="str">
        <x:v>BELUM TERSEDIA</x:v>
      </x:c>
      <x:c r="G13" s="38" t="str">
        <x:v>Pada cut-off belum tersedia rencana aksi atau komitmen operasional yang memuat kegiatan, periode, target, dan PIC.</x:v>
      </x:c>
      <x:c r="H13" s="38" t="str">
        <x:v>Konfirmasi internal kondisi baseline; rencana aksi/matriks kerja/kalender/notula belum tersedia.</x:v>
      </x:c>
      <x:c r="I13" s="86"/>
    </x:row>
    <x:row r="14" ht="72" customHeight="1">
      <x:c r="A14" s="85" t="n">
        <x:v>10</x:v>
      </x:c>
      <x:c r="B14" s="38" t="str">
        <x:v>PELAKSANAAN</x:v>
      </x:c>
      <x:c r="C14" s="38" t="str">
        <x:v>Pelaksanaan dan hasil</x:v>
      </x:c>
      <x:c r="D14" s="38" t="str">
        <x:v>Kegiatan aktual, realisasi terhadap target jatuh tempo, serta output yang dihasilkan.</x:v>
      </x:c>
      <x:c r="E14" s="38" t="str">
        <x:v>Laporan; undangan; notula; daftar hadir; data hasil.</x:v>
      </x:c>
      <x:c r="F14" s="38" t="str">
        <x:v>BELUM TERSEDIA</x:v>
      </x:c>
      <x:c r="G14" s="38" t="str">
        <x:v>Pada cut-off belum terdapat kegiatan bersama yang terdokumentasi sebagai pelaksanaan PKS BESTI Learning Hub.</x:v>
      </x:c>
      <x:c r="H14" s="38" t="str">
        <x:v>Konfirmasi internal kondisi baseline; laporan/undangan/notula/data hasil belum tersedia.</x:v>
      </x:c>
      <x:c r="I14" s="86"/>
    </x:row>
    <x:row r="15" ht="72" customHeight="1">
      <x:c r="A15" s="85" t="n">
        <x:v>11</x:v>
      </x:c>
      <x:c r="B15" s="38" t="str">
        <x:v>EVIDEN</x:v>
      </x:c>
      <x:c r="C15" s="38" t="str">
        <x:v>Eviden implementasi</x:v>
      </x:c>
      <x:c r="D15" s="38" t="str">
        <x:v>Bukti pelaksanaan/output, lokasi penyimpanan, dan tingkat keteraturannya.</x:v>
      </x:c>
      <x:c r="E15" s="38" t="str">
        <x:v>Folder resmi; indeks bukti; dokumen/data kegiatan.</x:v>
      </x:c>
      <x:c r="F15" s="38" t="str">
        <x:v>BELUM TERSEDIA</x:v>
      </x:c>
      <x:c r="G15" s="38" t="str">
        <x:v>Karena belum terdapat pelaksanaan yang terdokumentasi, eviden implementasi dan output kegiatan juga belum tersedia pada cut-off.</x:v>
      </x:c>
      <x:c r="H15" s="38" t="str">
        <x:v>Konfirmasi internal kondisi baseline; folder eviden/dokumen kegiatan belum tersedia.</x:v>
      </x:c>
      <x:c r="I15" s="86"/>
    </x:row>
    <x:row r="16" ht="72" customHeight="1">
      <x:c r="A16" s="87" t="n">
        <x:v>12</x:v>
      </x:c>
      <x:c r="B16" s="88" t="str">
        <x:v>HAMBATAN</x:v>
      </x:c>
      <x:c r="C16" s="88" t="str">
        <x:v>Hambatan/gap</x:v>
      </x:c>
      <x:c r="D16" s="88" t="str">
        <x:v>Kendala faktual atau kekosongan data yang memengaruhi implementasi dan sudah dikonfirmasi.</x:v>
      </x:c>
      <x:c r="E16" s="88" t="str">
        <x:v>Konfirmasi unit/PIC/mitra; notula; laporan; bukti keterlambatan.</x:v>
      </x:c>
      <x:c r="F16" s="88" t="str">
        <x:v>BELUM TERSEDIA</x:v>
      </x:c>
      <x:c r="G16" s="88" t="str">
        <x:v>Hambatan spesifik belum teridentifikasi; kondisi utama pada cut-off adalah kerja sama belum diturunkan ke tata kelola dan pelaksanaan operasional.</x:v>
      </x:c>
      <x:c r="H16" s="88" t="str">
        <x:v>Konfirmasi internal kondisi baseline.</x:v>
      </x:c>
      <x:c r="I16" s="89"/>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6" hidden="0" customWidth="1"/>
    <x:col min="2" max="2" width="34" hidden="0" customWidth="1"/>
    <x:col min="3" max="3" width="22" hidden="0" customWidth="1"/>
    <x:col min="4" max="4" width="48" hidden="0" customWidth="1"/>
    <x:col min="5" max="5" width="18" hidden="0" customWidth="1"/>
    <x:col min="6" max="6" width="42" hidden="0" customWidth="1"/>
  </x:cols>
  <x:sheetData>
    <x:row r="1">
      <x:c r="A1" s="128" t="str">
        <x:v>SUMBER DATA PASCA-BASELINE — P02 BNNP KEPRI</x:v>
      </x:c>
      <x:c r="B1" s="129"/>
      <x:c r="C1" s="129"/>
      <x:c r="D1" s="129"/>
      <x:c r="E1" s="129"/>
      <x:c r="F1" s="130"/>
    </x:row>
    <x:row r="2">
      <x:c r="A2" s="131" t="str">
        <x:v>Digunakan untuk contoh pengisian Scorecard s.d. 27 September 2026. SK PIC internal diperlakukan tersedia sesuai asumsi pengguna.</x:v>
      </x:c>
      <x:c r="B2" s="119"/>
      <x:c r="C2" s="119"/>
      <x:c r="D2" s="119"/>
      <x:c r="E2" s="119"/>
      <x:c r="F2" s="132"/>
    </x:row>
    <x:row r="3">
      <x:c r="A3" s="133"/>
      <x:c r="B3" s="134"/>
      <x:c r="C3" s="134"/>
      <x:c r="D3" s="134"/>
      <x:c r="E3" s="134"/>
      <x:c r="F3" s="135"/>
    </x:row>
    <x:row r="4">
      <x:c r="A4" s="136" t="str">
        <x:v>No</x:v>
      </x:c>
      <x:c r="B4" s="125" t="str">
        <x:v>Sumber</x:v>
      </x:c>
      <x:c r="C4" s="125" t="str">
        <x:v>Jenis Data</x:v>
      </x:c>
      <x:c r="D4" s="125" t="str">
        <x:v>Fakta Kunci</x:v>
      </x:c>
      <x:c r="E4" s="125" t="str">
        <x:v>Indikator Scorecard</x:v>
      </x:c>
      <x:c r="F4" s="137" t="str">
        <x:v>Catatan Rekonsiliasi</x:v>
      </x:c>
    </x:row>
    <x:row r="5">
      <x:c r="A5" s="138" t="n">
        <x:v>1</x:v>
      </x:c>
      <x:c r="B5" s="126" t="str">
        <x:v>Data Stakeholder (7)(1).xlsx — IDENTITAS &amp; PIC</x:v>
      </x:c>
      <x:c r="C5" s="126" t="str">
        <x:v>Mitra</x:v>
      </x:c>
      <x:c r="D5" s="126" t="str">
        <x:v>PIC utama dan cadangan BNNP Kepri tersedia; terdapat kebutuhan kejelasan mekanisme update konten dan penanggung jawab Kanwil.</x:v>
      </x:c>
      <x:c r="E5" s="126" t="str">
        <x:v>I1, I7</x:v>
      </x:c>
      <x:c r="F5" s="139" t="str">
        <x:v>Dipakai bersama asumsi SK PIC internal tersedia.</x:v>
      </x:c>
    </x:row>
    <x:row r="6">
      <x:c r="A6" s="138" t="n">
        <x:v>2</x:v>
      </x:c>
      <x:c r="B6" s="126" t="str">
        <x:v>Data Stakeholder (7)(1).xlsx — PELAKSANAAN KEGIATAN</x:v>
      </x:c>
      <x:c r="C6" s="126" t="str">
        <x:v>Mitra</x:v>
      </x:c>
      <x:c r="D6" s="126" t="str">
        <x:v>Integrasi materi Kanwil Hukum di BESTI Learning Hub sedang berjalan; manfaat awal berupa bertambahnya variasi materi pembelajaran.</x:v>
      </x:c>
      <x:c r="E6" s="126" t="str">
        <x:v>I2, I3, I4, I7</x:v>
      </x:c>
      <x:c r="F6" s="139" t="str">
        <x:v>Menunjukkan implementasi pasca-baseline.</x:v>
      </x:c>
    </x:row>
    <x:row r="7">
      <x:c r="A7" s="138" t="n">
        <x:v>3</x:v>
      </x:c>
      <x:c r="B7" s="126" t="str">
        <x:v>Data Stakeholder (7)(1).xlsx — USULAN TINDAK LANJUT</x:v>
      </x:c>
      <x:c r="C7" s="126" t="str">
        <x:v>Mitra</x:v>
      </x:c>
      <x:c r="D7" s="126" t="str">
        <x:v>Terdapat 5 usulan tindak lanjut: integrasi materi, narasumber, kampanye, infografis/videografis, serta monitoring/evaluasi.</x:v>
      </x:c>
      <x:c r="E7" s="126" t="str">
        <x:v>I1, I2, I7</x:v>
      </x:c>
      <x:c r="F7" s="139" t="str">
        <x:v>Menjadi dasar kesiapan tindak lanjut, bukan bukti seluruh kegiatan sudah terlaksana.</x:v>
      </x:c>
    </x:row>
    <x:row r="8">
      <x:c r="A8" s="138" t="n">
        <x:v>4</x:v>
      </x:c>
      <x:c r="B8" s="126" t="str">
        <x:v>RL24_P02_Integrasi_Integrasi Materi ke BESTI Learning Hub.xlsm</x:v>
      </x:c>
      <x:c r="C8" s="126" t="str">
        <x:v>Internal per ruang lingkup</x:v>
      </x:c>
      <x:c r="D8" s="126" t="str">
        <x:v>Data integrasi e-book/modul spesifik belum diperoleh pada formulir ruang lingkup ini.</x:v>
      </x:c>
      <x:c r="E8" s="126" t="str">
        <x:v>I2, I3</x:v>
      </x:c>
      <x:c r="F8" s="139" t="str">
        <x:v>Tidak dianggap bertentangan dengan kegiatan integrasi umum yang sedang berjalan; menunjukkan output spesifik belum lengkap.</x:v>
      </x:c>
    </x:row>
    <x:row r="9">
      <x:c r="A9" s="138" t="n">
        <x:v>5</x:v>
      </x:c>
      <x:c r="B9" s="126" t="str">
        <x:v>RL26_P02_Kampanye_Kolaborasi Kampanye Komunikasi Publik BESTI.xlsm</x:v>
      </x:c>
      <x:c r="C9" s="126" t="str">
        <x:v>Internal per ruang lingkup</x:v>
      </x:c>
      <x:c r="D9" s="126" t="str">
        <x:v>Penyediaan dan penayangan materi publikasi layanan hukum pada BESTI terverifikasi; outcome awal berupa jangkauan informasi lebih luas.</x:v>
      </x:c>
      <x:c r="E9" s="126" t="str">
        <x:v>I2, I3, I4, I5, I6</x:v>
      </x:c>
      <x:c r="F9" s="139" t="str">
        <x:v>Diperkuat oleh tautan BESTI Learning Hub.</x:v>
      </x:c>
    </x:row>
    <x:row r="10">
      <x:c r="A10" s="138" t="n">
        <x:v>6</x:v>
      </x:c>
      <x:c r="B10" s="126" t="str">
        <x:v>RL27_P02_Narasumber_Kolaborasi sebagai Narasumber.xlsm</x:v>
      </x:c>
      <x:c r="C10" s="126" t="str">
        <x:v>Internal per ruang lingkup</x:v>
      </x:c>
      <x:c r="D10" s="126" t="str">
        <x:v>Belum ada kegiatan narasumber/podcast/webinar/seminar pada ruang lingkup ini.</x:v>
      </x:c>
      <x:c r="E10" s="126" t="str">
        <x:v>I2, I3</x:v>
      </x:c>
      <x:c r="F10" s="139" t="str">
        <x:v>Menjelaskan implementasi belum mencakup seluruh ruang lingkup.</x:v>
      </x:c>
    </x:row>
    <x:row r="11">
      <x:c r="A11" s="138" t="n">
        <x:v>7</x:v>
      </x:c>
      <x:c r="B11" s="126" t="str">
        <x:v>RL28_P02_Infografis_Pemberian Informasi Infografis-Videografis.xlsm</x:v>
      </x:c>
      <x:c r="C11" s="126" t="str">
        <x:v>Internal per ruang lingkup</x:v>
      </x:c>
      <x:c r="D11" s="126" t="str">
        <x:v>Penyediaan dan integrasi materi publikasi/edukasi layanan hukum pada BESTI terverifikasi.</x:v>
      </x:c>
      <x:c r="E11" s="126" t="str">
        <x:v>I2, I3, I4, I5, I6</x:v>
      </x:c>
      <x:c r="F11" s="139" t="str">
        <x:v>Diperkuat oleh tautan BESTI Learning Hub.</x:v>
      </x:c>
    </x:row>
    <x:row r="12">
      <x:c r="A12" s="140" t="n">
        <x:v>8</x:v>
      </x:c>
      <x:c r="B12" s="141" t="str">
        <x:v>https://bestilearninghub.id/category/literasi-hukum/</x:v>
      </x:c>
      <x:c r="C12" s="141" t="str">
        <x:v>Evidence eksternal</x:v>
      </x:c>
      <x:c r="D12" s="141" t="str">
        <x:v>Lokasi konten literasi hukum pada BESTI Learning Hub.</x:v>
      </x:c>
      <x:c r="E12" s="141" t="str">
        <x:v>I2, I3, I4, I5, I6</x:v>
      </x:c>
      <x:c r="F12" s="142" t="str">
        <x:v>Digunakan untuk keterlacakan output; metrik pemanfaatan belum tersedia.</x:v>
      </x:c>
    </x:row>
    <x:row r="14">
      <x:c r="A14" s="169" t="str">
        <x:v>Catatan Kematangan</x:v>
      </x:c>
      <x:c r="B14" s="169" t="str">
        <x:v>PKS berlaku sejak 13 Juli 2026</x:v>
      </x:c>
      <x:c r="C14" s="169" t="str">
        <x:v>Usia saat penilaian ±2,5 bulan</x:v>
      </x:c>
      <x:c r="D14" s="169" t="str">
        <x:v>I4 Outcome dan I5 Kontribusi/Dampak = BELUM DAPAT DINILAI</x:v>
      </x:c>
      <x:c r="E14" s="169" t="str">
        <x:v>Status Scorecard = MASA IMPLEMENTASI AWAL</x:v>
      </x:c>
      <x:c r="F14" s="169" t="str">
        <x:v>Bukan kekurangan bukti; indikator belum matang secara waktu.</x:v>
      </x:c>
    </x:row>
  </x:sheetData>
  <x:pageMargins left="0.7" right="0.7" top="0.75" bottom="0.75" header="0.3" footer="0.3"/>
</x:worksheet>
</file>