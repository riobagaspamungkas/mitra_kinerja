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7715326d874f49" /></Relationships>
</file>

<file path=xl/workbook.xml><?xml version="1.0" encoding="utf-8"?>
<x:workbook xmlns:x="http://schemas.openxmlformats.org/spreadsheetml/2006/main">
  <x:sheets>
    <x:sheet xmlns:r="http://schemas.openxmlformats.org/officeDocument/2006/relationships" name="PENILAIAN" sheetId="1" r:id="R648b73d42ef64694"/>
    <x:sheet xmlns:r="http://schemas.openxmlformats.org/officeDocument/2006/relationships" name="KENDALI" sheetId="2" r:id="R2e6ce1e6d0e74d84"/>
    <x:sheet xmlns:r="http://schemas.openxmlformats.org/officeDocument/2006/relationships" name="REKOMENDASI" sheetId="3" r:id="Rc52826802ad34e22"/>
    <x:sheet xmlns:r="http://schemas.openxmlformats.org/officeDocument/2006/relationships" name="RUBRIK" sheetId="4" r:id="Rc7365b3f7dd04a03"/>
    <x:sheet xmlns:r="http://schemas.openxmlformats.org/officeDocument/2006/relationships" name="PANDUAN" sheetId="5" r:id="R8175618694f443be"/>
    <x:sheet xmlns:r="http://schemas.openxmlformats.org/officeDocument/2006/relationships" name="CONTOH" sheetId="6" r:id="Rd371b8127d054c0d"/>
    <x:sheet xmlns:r="http://schemas.openxmlformats.org/officeDocument/2006/relationships" name="SUMBER_BASELINE" sheetId="7" r:id="R2ce2bb28bf1b454d"/>
    <x:sheet xmlns:r="http://schemas.openxmlformats.org/officeDocument/2006/relationships" name="SUMBER_AKTUAL" sheetId="8" r:id="Re4a74d8aa4464358"/>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<x:sst xmlns:x="http://schemas.openxmlformats.org/spreadsheetml/2006/main">
  <x:si>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</x:si>
  <x:si>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</x:si>
  <x:si>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</x:si>
  <x:si>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</x:si>
  <x:si>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</x:si>
  <x:si>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</x:si>
  <x:si>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</x:si>
  <x:si>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</x:si>
  <x:si>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</x:si>
  <x:si>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</x:si>
  <x:si>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</x:si>
  <x:si>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</x:si>
  <x:si>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</x:si>
  <x:si>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</x:si>
  <x:si>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</x:si>
  <x:si>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</x:si>
  <x:si>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</x:si>
  <x:si>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</x:si>
  <x:si>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</x:si>
  <x:si>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</x:si>
  <x:si>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</x:si>
  <x:si>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</x:si>
  <x:si>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</x:si>
  <x:si>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</x:si>
  <x:si>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</x:si>
  <x:si>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</x:si>
  <x:si>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</x:si>
  <x:si>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</x:si>
  <x:si>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</x:si>
  <x:si>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</x:si>
  <x:si>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</x:si>
  <x:si>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</x:si>
  <x:si>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</x:si>
  <x:si>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</x:si>
  <x:si>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</x:si>
  <x:si>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</x:si>
  <x:si>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</x:si>
  <x:si>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</x:si>
  <x:si>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</x:si>
  <x:si>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</x:si>
  <x:si>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</x:si>
  <x:si>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</x:si>
  <x:si>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</x:si>
  <x:si>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</x:si>
  <x:si>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</x:si>
  <x:si>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</x:si>
  <x:si>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</x:si>
  <x:si>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</x:si>
  <x:si>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</x:si>
  <x:si>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</x:si>
  <x:si>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</x:si>
  <x:si>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</x:si>
  <x:si>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</x:si>
  <x:si>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</x:si>
  <x:si>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</x:si>
  <x:si>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</x:si>
  <x:si>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</x:si>
  <x:si>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</x:si>
  <x:si>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</x:si>
  <x:si>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</x:si>
  <x:si>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</x:si>
  <x:si>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</x:si>
  <x:si>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</x:si>
  <x:si>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</x:si>
  <x:si>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</x:si>
  <x:si>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</x:si>
  <x:si>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</x:si>
  <x:si>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</x:si>
  <x:si>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</x:si>
  <x:si>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</x:si>
  <x:si>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</x:si>
  <x:si>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</x:si>
  <x:si>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</x:si>
  <x:si>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</x:si>
  <x:si>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</x:si>
  <x:si>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</x:si>
  <x:si>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</x:si>
  <x:si>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</x:si>
  <x:si>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</x:si>
  <x:si>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</x:si>
  <x:si>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DALAM TINDAK LANJUT</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</x:si>
  <x:si>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</x:si>
  <x:si>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</x:si>
  <x:si>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</x:si>
  <x:si>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</x:si>
  <x:si>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</x:si>
  <x:si>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</x:si>
  <x:si>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</x:si>
  <x:si>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</x:si>
  <x:si>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</x:si>
  <x:si>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</x:si>
  <x:si>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</x:si>
  <x:si>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</x:si>
  <x:si>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</x:si>
  <x:si>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</x:si>
  <x:si>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</x:si>
  <x:si>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</x:si>
  <x:si>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</x:si>
  <x:si>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</x:si>
  <x:si>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</x:si>
  <x:si>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</x:si>
  <x:si>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</x:si>
  <x:si>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</x:si>
  <x:si>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</x:si>
  <x:si>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</x:si>
  <x:si>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</x:si>
  <x:si>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</x:si>
  <x:si>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</x:si>
  <x:si>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</x:si>
  <x:si>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</x:si>
  <x:si>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</x:si>
  <x:si>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</x:si>
  <x:si>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</x:si>
  <x:si>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</x:si>
  <x:si>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</x:si>
  <x:si>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</x:si>
  <x:si>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</x:si>
  <x:si>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</x:si>
  <x:si>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</x:si>
  <x:si>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</x:si>
  <x:si>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</x:si>
  <x:si>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</x:si>
  <x:si>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</x:si>
  <x:si>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</x:si>
  <x:si>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</x:si>
  <x:si>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</x:si>
  <x:si>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</x:si>
  <x:si>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</x:si>
  <x:si>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</x:si>
  <x:si>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</x:si>
  <x:si>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</x:si>
  <x:si>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</x:si>
  <x:si>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</x:si>
  <x:si>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</x:si>
  <x:si>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</x:si>
  <x:si>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</x:si>
  <x:si>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</x:si>
  <x:si>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</x:si>
  <x:si>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</x:si>
  <x:si>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</x:si>
  <x:si>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</x:si>
  <x:si>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</x:si>
  <x:si>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</x:si>
  <x:si>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</x:si>
  <x:si>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</x:si>
  <x:si>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</x:si>
  <x:si>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</x:si>
  <x:si>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</x:si>
  <x:si>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</x:si>
  <x:si>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</x:si>
  <x:si>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</x:si>
  <x:si>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</x:si>
  <x:si>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</x:si>
  <x:si>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</x:si>
  <x:si>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</x:si>
  <x:si>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</x:si>
  <x:si>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</x:si>
  <x:si>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</x:si>
  <x:si>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</x:si>
  <x:si>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</x:si>
  <x:si>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</x:si>
  <x:si>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</x:si>
  <x:si>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</x:si>
  <x:si>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</x:si>
  <x:si>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</x:si>
  <x:si>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</x:si>
  <x:si>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</x:si>
  <x:si>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</x:si>
  <x:si>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</x:si>
  <x:si>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</x:si>
  <x:si>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</x:si>
  <x:si>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</x:si>
  <x:si>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</x:si>
  <x:si>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</x:si>
  <x:si>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</x:si>
  <x:si>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</x:si>
  <x:si>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</x:si>
  <x:si>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</x:si>
  <x:si>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</x:si>
  <x:si>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</x:si>
  <x:si>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</x:si>
  <x:si>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</x:si>
  <x:si>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</x:si>
  <x:si>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</x:si>
  <x:si>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</x:si>
  <x:si>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</x:si>
  <x:si>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</x:si>
  <x:si>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</x:si>
  <x:si>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</x:si>
  <x:si>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</x:si>
  <x:si>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</x:si>
  <x:si>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</x:si>
  <x:si>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</x:si>
  <x:si>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</x:si>
  <x:si>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</x:si>
  <x:si>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</x:si>
  <x:si>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BELUM DAPAT DINILAI</x:t>
  </x:si>
  <x:si>
    <x:t xml:space="preserve">Digunakan bila secara objektif belum cukup waktu bagi indikator untuk menghasilkan hasil/manfaat. Ini terutama relevan pada masa implementasi awal untuk outcome dan kontribusi/dampak.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</x:si>
  <x:si>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</x:si>
  <x:si>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</x:si>
  <x:si>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</x:si>
  <x:si>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</x:si>
  <x:si>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</x:si>
  <x:si>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Masa Implementasi Awal</x:t>
  </x:si>
  <x:si>
    <x:t xml:space="preserve">Digunakan bila kerja sama masih baru sehingga sebagian indikator hasil (terutama outcome dan kontribusi/dampak) secara objektif belum layak diberi skor. Indikator yang sudah matang tetap dapat dinilai.</x:t>
  </x:si>
  <x:si>
    <x:t xml:space="preserve">Nilai final/kategori belum ditetapkan sampai seluruh indikator hasil memasuki periode penilaian yang memadai.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</x:si>
  <x:si>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</x:si>
  <x:si>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</x:si>
  <x:si>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</x:si>
  <x:si>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</x:si>
  <x:si>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</x:si>
  <x:si>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</x:si>
  <x:si>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</x:si>
  <x:si>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</x:si>
  <x:si>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</x:si>
  <x:si>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</x:si>
  <x:si>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</x:si>
  <x:si>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</x:si>
  <x:si>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</x:si>
  <x:si>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</x:si>
  <x:si>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</x:si>
  <x:si>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</x:si>
  <x:si>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</x:si>
  <x:si>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</x:si>
  <x:si>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</x:si>
  <x:si>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</x:si>
  <x:si>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</x:si>
  <x:si>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</x:si>
  <x:si>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</x:si>
  <x:si>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</x:si>
  <x:si>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</x:si>
  <x:si>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</x:si>
  <x:si>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</x:si>
  <x:si>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</x:si>
  <x:si>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</x:si>
  <x:si>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</x:si>
  <x:si>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</x:si>
  <x:si>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</x:si>
  <x:si>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</x:si>
  <x:si>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</x:si>
  <x:si>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</x:si>
  <x:si>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</x:si>
  <x:si>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</x:si>
  <x:si>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</x:si>
  <x:si>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</x:si>
  <x:si>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</x:si>
  <x:si>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</x:si>
  <x:si>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</x:si>
  <x:si>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</x:si>
  <x:si>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</x:si>
  <x:si>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</x:si>
  <x:si>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</x:si>
  <x:si>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</x:si>
  <x:si>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</x:si>
  <x:si>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</x:si>
  <x:si>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</x:si>
  <x:si>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</x:si>
  <x:si>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</x:si>
  <x:si>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</x:si>
  <x:si>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</x:si>
  <x:si>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</x:si>
  <x:si>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</x:si>
  <x:si>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</x:si>
  <x:si>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</x:si>
  <x:si>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CONTOH B — MASA IMPLEMENTASI AWAL: HASIL BELUM MEMASUKI PERIODE PENILAIAN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</x:si>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</x:sst>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10">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
      <x:sz val="11"/>
      <x:color rgb="FF1F1F1F"/>
      <x:name val="Carlito"/>
    </x:font>
  </x:fonts>
  <x:fills count="22">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
      <x:patternFill patternType="solid">
        <x:fgColor theme="1" tint="0.4999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7E6E6"/>
      </x:patternFill>
    </x:fill>
    <x:fill>
      <x:patternFill patternType="solid">
        <x:fgColor rgb="FFEEF5FB"/>
      </x:patternFill>
    </x:fill>
    <x:fill>
      <x:patternFill patternType="solid">
        <x:fgColor rgb="FFFFFFFF"/>
      </x:patternFill>
    </x:fill>
  </x:fills>
  <x:borders count="68">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indexed="64"/>
      </x:left>
      <x:right style="thin">
        <x:color indexed="64"/>
      </x:right>
      <x:bottom style="thin">
        <x:color rgb="FFB4C6E7"/>
      </x:bottom>
    </x:border>
    <x:border>
      <x:left style="thin">
        <x:color indexed="64"/>
      </x:left>
      <x:right style="thin">
        <x:color indexed="64"/>
      </x:right>
      <x:bottom style="thin">
        <x:color rgb="FFB4C6E7"/>
      </x:bottom>
    </x:border>
  </x:borders>
  <x:cellStyleXfs count="1">
    <x:xf numFmtId="0" fontId="0" fillId="0" borderId="0"/>
  </x:cellStyleXfs>
  <x:cellXfs count="727">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0" fillId="5" borderId="5" xfId="0" applyFill="1" applyBorder="1" applyAlignment="1">
      <x:alignment vertical="top" wrapText="1"/>
    </x:xf>
    <x:xf numFmtId="0" fontId="0" fillId="5" borderId="6" xfId="0" applyFill="1" applyBorder="1" applyAlignment="1">
      <x:alignment vertical="top" wrapText="1"/>
    </x:xf>
    <x:xf numFmtId="0" fontId="0" fillId="5" borderId="0" xfId="0" applyFill="1" applyAlignment="1">
      <x:alignment vertical="top" wrapText="1"/>
    </x:xf>
    <x:xf numFmtId="0" fontId="0" fillId="5" borderId="8" xfId="0" applyFill="1" applyBorder="1" applyAlignment="1">
      <x:alignment vertical="top" wrapText="1"/>
    </x:xf>
    <x:xf numFmtId="0" fontId="0" fillId="5" borderId="10" xfId="0" applyFill="1" applyBorder="1" applyAlignment="1">
      <x:alignment vertical="top"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7" fillId="12" borderId="0" xfId="0" applyFont="1" applyFill="1"/>
    <x:xf numFmtId="0" fontId="4" fillId="13" borderId="0" xfId="0" applyFont="1" applyFill="1" applyAlignment="1">
      <x:alignment wrapText="1"/>
    </x:xf>
    <x:xf numFmtId="0" fontId="6" fillId="11" borderId="21" xfId="0" applyFont="1" applyFill="1" applyBorder="1"/>
    <x:xf numFmtId="0" fontId="6" fillId="11" borderId="22" xfId="0" applyFont="1" applyFill="1" applyBorder="1"/>
    <x:xf numFmtId="0" fontId="6" fillId="11" borderId="23" xfId="0" applyFont="1" applyFill="1" applyBorder="1"/>
    <x:xf numFmtId="0" fontId="7" fillId="12" borderId="24" xfId="0" applyFont="1" applyFill="1" applyBorder="1"/>
    <x:xf numFmtId="0" fontId="7" fillId="12" borderId="25" xfId="0" applyFont="1" applyFill="1" applyBorder="1"/>
    <x:xf numFmtId="0" fontId="0" fillId="0" borderId="24" xfId="0" applyBorder="1"/>
    <x:xf numFmtId="0" fontId="0" fillId="0" borderId="25" xfId="0" applyBorder="1"/>
    <x:xf numFmtId="0" fontId="4" fillId="13" borderId="24" xfId="0" applyFont="1" applyFill="1" applyBorder="1" applyAlignment="1">
      <x:alignment wrapText="1"/>
    </x:xf>
    <x:xf numFmtId="0" fontId="4" fillId="13" borderId="25" xfId="0" applyFont="1" applyFill="1" applyBorder="1" applyAlignment="1">
      <x:alignment wrapText="1"/>
    </x:xf>
    <x:xf numFmtId="0" fontId="0" fillId="0" borderId="24" xfId="0" applyBorder="1" applyAlignment="1">
      <x:alignment wrapText="1"/>
    </x:xf>
    <x:xf numFmtId="0" fontId="0" fillId="0" borderId="25" xfId="0" applyBorder="1" applyAlignment="1">
      <x:alignment wrapText="1"/>
    </x:xf>
    <x:xf numFmtId="0" fontId="0" fillId="0" borderId="26" xfId="0" applyBorder="1" applyAlignment="1">
      <x:alignment wrapText="1"/>
    </x:xf>
    <x:xf numFmtId="0" fontId="0" fillId="0" borderId="27" xfId="0" applyBorder="1" applyAlignment="1">
      <x:alignment wrapText="1"/>
    </x:xf>
    <x:xf numFmtId="0" fontId="0" fillId="0" borderId="28" xfId="0" applyBorder="1" applyAlignment="1">
      <x:alignment wrapText="1"/>
    </x:xf>
    <x:xf numFmtId="0" fontId="3" fillId="4" borderId="4" xfId="0" applyFont="1" applyFill="1" applyBorder="1" applyAlignment="1">
      <x:alignment vertical="top"/>
    </x:xf>
    <x:xf numFmtId="0" fontId="3" fillId="4" borderId="5" xfId="0" applyFont="1" applyFill="1" applyBorder="1" applyAlignment="1">
      <x:alignment vertical="top"/>
    </x:xf>
    <x:xf numFmtId="0" fontId="3" fillId="4" borderId="7" xfId="0" applyFont="1" applyFill="1" applyBorder="1" applyAlignment="1">
      <x:alignment vertical="top"/>
    </x:xf>
    <x:xf numFmtId="0" fontId="3" fillId="4" borderId="0" xfId="0" applyFont="1" applyFill="1" applyAlignment="1">
      <x:alignment vertical="top"/>
    </x:xf>
    <x:xf numFmtId="0" fontId="3" fillId="4" borderId="9" xfId="0" applyFont="1" applyFill="1" applyBorder="1" applyAlignment="1">
      <x:alignment vertical="top"/>
    </x:xf>
    <x:xf numFmtId="0" fontId="3" fillId="4" borderId="10" xfId="0" applyFont="1" applyFill="1" applyBorder="1" applyAlignment="1">
      <x:alignment vertical="top"/>
    </x:xf>
    <x:xf numFmtId="0" fontId="5" fillId="0" borderId="29" xfId="0" applyFont="1" applyBorder="1" applyAlignment="1">
      <x:alignment vertical="top" wrapText="1"/>
    </x:xf>
    <x:xf numFmtId="0" fontId="5" fillId="0" borderId="29" xfId="0" applyFont="1" applyBorder="1" applyAlignment="1">
      <x:alignment horizontal="center" vertical="top" wrapText="1"/>
    </x:xf>
    <x:xf numFmtId="0" fontId="0" fillId="0" borderId="29" xfId="0" applyBorder="1" applyAlignment="1">
      <x:alignment vertical="top" wrapText="1"/>
    </x:xf>
    <x:xf numFmtId="0" fontId="0" fillId="5" borderId="29" xfId="0" applyFill="1" applyBorder="1" applyAlignment="1">
      <x:alignment vertical="top" wrapText="1"/>
    </x:xf>
    <x:xf numFmtId="0" fontId="0" fillId="6" borderId="29" xfId="0" applyFill="1" applyBorder="1" applyAlignment="1">
      <x:alignment vertical="center" wrapText="1"/>
    </x:xf>
    <x:xf numFmtId="0" fontId="3" fillId="4" borderId="29" xfId="0" applyFont="1" applyFill="1" applyBorder="1" applyAlignment="1">
      <x:alignment vertical="center"/>
    </x:xf>
    <x:xf numFmtId="0" fontId="0" fillId="6" borderId="29" xfId="0" applyFill="1" applyBorder="1" applyAlignment="1">
      <x:alignment horizontal="center" vertical="center" wrapText="1"/>
    </x:xf>
    <x:xf numFmtId="0" fontId="0" fillId="0" borderId="0" xfId="0" applyAlignment="1">
      <x:alignment horizontal="center" vertical="top" wrapText="1"/>
    </x:xf>
    <x:xf numFmtId="0" fontId="0" fillId="0" borderId="5" xfId="0" applyBorder="1" applyAlignment="1">
      <x:alignment horizontal="center" vertical="top" wrapText="1"/>
    </x:xf>
    <x:xf numFmtId="0" fontId="3" fillId="4" borderId="29" xfId="0" applyFont="1" applyFill="1" applyBorder="1" applyAlignment="1">
      <x:alignment vertical="center" wrapText="1"/>
    </x:xf>
    <x:xf numFmtId="0" fontId="0" fillId="0" borderId="29" xfId="0" applyBorder="1" applyAlignment="1">
      <x:alignment horizontal="center" vertical="top" wrapText="1"/>
    </x:xf>
    <x:xf numFmtId="0" fontId="3" fillId="0" borderId="0" xfId="0" applyFont="1" applyAlignment="1">
      <x:alignment vertical="center"/>
    </x:xf>
    <x:xf numFmtId="164" fontId="0" fillId="5" borderId="29" xfId="0" applyNumberFormat="1" applyFill="1" applyBorder="1" applyAlignment="1">
      <x:alignment vertical="top" wrapText="1"/>
    </x:xf>
    <x:xf numFmtId="0" fontId="0" fillId="0" borderId="0" xfId="0" applyAlignment="1">
      <x:alignment vertical="top"/>
    </x:xf>
    <x:xf numFmtId="0" fontId="0" fillId="6" borderId="29" xfId="0" applyFill="1" applyBorder="1" applyAlignment="1">
      <x:alignment vertical="top" wrapText="1"/>
    </x:xf>
    <x:xf numFmtId="0" fontId="0" fillId="5" borderId="29" xfId="0" applyFill="1" applyBorder="1" applyAlignment="1">
      <x:alignment horizontal="left" vertical="top" wrapText="1"/>
    </x:xf>
    <x:xf numFmtId="0" fontId="3" fillId="4" borderId="29" xfId="0" applyFont="1" applyFill="1" applyBorder="1" applyAlignment="1">
      <x:alignment vertical="top" wrapText="1"/>
    </x:xf>
    <x:xf numFmtId="0" fontId="3" fillId="4" borderId="29" xfId="0" applyFont="1" applyFill="1" applyBorder="1" applyAlignment="1">
      <x:alignment horizontal="left" vertical="top" wrapText="1"/>
    </x:xf>
    <x:xf numFmtId="0" fontId="0" fillId="0" borderId="20" xfId="0" applyBorder="1" applyAlignment="1">
      <x:alignment horizontal="center"/>
    </x:xf>
    <x:xf numFmtId="0" fontId="3" fillId="0" borderId="29" xfId="0" applyFont="1" applyBorder="1" applyAlignment="1">
      <x:alignment horizontal="center" vertical="center"/>
    </x:xf>
    <x:xf numFmtId="0" fontId="0" fillId="0" borderId="29" xfId="0" applyBorder="1" applyAlignment="1">
      <x:alignment horizontal="center" vertical="top" wrapText="1"/>
    </x:xf>
    <x:xf numFmtId="164" fontId="0" fillId="0" borderId="29" xfId="0" applyNumberFormat="1" applyBorder="1" applyAlignment="1">
      <x:alignment horizontal="center" vertical="top" wrapText="1"/>
    </x:xf>
    <x:xf numFmtId="0" fontId="3" fillId="0" borderId="29" xfId="0" applyFont="1" applyBorder="1" applyAlignment="1">
      <x:alignment vertical="center"/>
    </x:xf>
    <x:xf numFmtId="0" fontId="0" fillId="0" borderId="7" xfId="0" applyBorder="1" applyAlignment="1">
      <x:alignment vertical="top" wrapText="1"/>
    </x:xf>
    <x:xf numFmtId="0" fontId="0" fillId="0" borderId="9" xfId="0" applyBorder="1" applyAlignment="1">
      <x:alignment vertical="top" wrapText="1"/>
    </x:xf>
    <x:xf numFmtId="164" fontId="0" fillId="0" borderId="29" xfId="0" applyNumberFormat="1" applyBorder="1" applyAlignment="1">
      <x:alignment vertical="top" wrapText="1"/>
    </x:xf>
    <x:xf numFmtId="0" fontId="8" fillId="14" borderId="0" xfId="0" applyFont="1" applyFill="1" applyAlignment="1">
      <x:alignment vertical="top" wrapText="1"/>
    </x:xf>
    <x:xf numFmtId="0" fontId="0" fillId="0" borderId="29" xfId="0" applyBorder="1" applyAlignment="1">
      <x:alignment horizontal="center" vertical="top" wrapText="1"/>
    </x:xf>
    <x:xf numFmtId="0" fontId="0" fillId="6" borderId="30" xfId="0" applyFill="1" applyBorder="1" applyAlignment="1">
      <x:alignment horizontal="center" vertical="center" wrapText="1"/>
    </x:xf>
    <x:xf numFmtId="0" fontId="0" fillId="6" borderId="31" xfId="0" applyFill="1" applyBorder="1" applyAlignment="1">
      <x:alignment horizontal="center" vertical="center" wrapText="1"/>
    </x:xf>
    <x:xf numFmtId="0" fontId="0" fillId="6" borderId="29" xfId="0" applyFill="1" applyBorder="1" applyAlignment="1">
      <x:alignment horizontal="center" vertical="center" wrapText="1"/>
    </x:xf>
    <x:xf numFmtId="0" fontId="0" fillId="15" borderId="29" xfId="0" applyFill="1" applyBorder="1" applyAlignment="1">
      <x:alignment horizontal="center" vertical="center" wrapText="1"/>
    </x:xf>
    <x:xf numFmtId="2" fontId="0" fillId="6" borderId="30" xfId="0" applyNumberFormat="1" applyFill="1" applyBorder="1" applyAlignment="1">
      <x:alignment horizontal="center" vertical="center" wrapText="1"/>
    </x:xf>
    <x:xf numFmtId="2" fontId="0" fillId="6" borderId="31" xfId="0" applyNumberFormat="1" applyFill="1" applyBorder="1" applyAlignment="1">
      <x:alignment horizontal="center" vertical="center" wrapText="1"/>
    </x:xf>
    <x:xf numFmtId="2" fontId="0" fillId="15" borderId="30" xfId="0" applyNumberFormat="1" applyFill="1" applyBorder="1" applyAlignment="1">
      <x:alignment horizontal="center" vertical="center" wrapText="1"/>
    </x:xf>
    <x:xf numFmtId="2" fontId="0" fillId="15" borderId="31" xfId="0" applyNumberFormat="1" applyFill="1" applyBorder="1" applyAlignment="1">
      <x:alignment horizontal="center" vertical="center" wrapText="1"/>
    </x:xf>
    <x:xf numFmtId="0" fontId="0" fillId="5" borderId="5" xfId="0" applyFill="1" applyBorder="1" applyAlignment="1">
      <x:alignment horizontal="center" vertical="top" wrapText="1"/>
    </x:xf>
    <x:xf numFmtId="0" fontId="0" fillId="5" borderId="0" xfId="0" applyFill="1" applyAlignment="1">
      <x:alignment horizontal="center" vertical="top" wrapText="1"/>
    </x:xf>
    <x:xf numFmtId="0" fontId="0" fillId="5" borderId="10" xfId="0" applyFill="1" applyBorder="1" applyAlignment="1">
      <x:alignment horizontal="center" vertical="top" wrapText="1"/>
    </x:xf>
    <x:xf numFmtId="0" fontId="0" fillId="5" borderId="29" xfId="0" applyFill="1" applyBorder="1" applyAlignment="1">
      <x:alignment horizontal="left" vertical="top" wrapText="1"/>
    </x:xf>
    <x:xf numFmtId="0" fontId="3" fillId="4" borderId="29" xfId="0" applyFont="1" applyFill="1" applyBorder="1" applyAlignment="1">
      <x:alignment horizontal="left" vertical="top" wrapText="1"/>
    </x:xf>
    <x:xf numFmtId="0" fontId="0" fillId="0" borderId="29" xfId="0" applyBorder="1" applyAlignment="1">
      <x:alignment horizontal="center" vertical="center" wrapText="1"/>
    </x:xf>
    <x:xf numFmtId="0" fontId="3" fillId="4" borderId="32" xfId="0" applyFont="1" applyFill="1" applyBorder="1" applyAlignment="1">
      <x:alignment horizontal="center" vertical="center" wrapText="1"/>
    </x:xf>
    <x:xf numFmtId="0" fontId="3" fillId="4" borderId="33" xfId="0" applyFont="1" applyFill="1" applyBorder="1" applyAlignment="1">
      <x:alignment horizontal="center" vertical="center" wrapText="1"/>
    </x:xf>
    <x:xf numFmtId="0" fontId="2" fillId="3"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2" borderId="0" xfId="0" applyFont="1" applyFill="1" applyAlignment="1">
      <x:alignment horizontal="center" vertical="center"/>
    </x:xf>
    <x:xf numFmtId="0" fontId="5" fillId="0" borderId="4" xfId="0" applyFont="1" applyBorder="1" applyAlignment="1">
      <x:alignment horizontal="center" vertical="top" wrapText="1"/>
    </x:xf>
    <x:xf numFmtId="0" fontId="5" fillId="0" borderId="5" xfId="0" applyFont="1" applyBorder="1" applyAlignment="1">
      <x:alignment horizontal="center" vertical="top" wrapText="1"/>
    </x:xf>
    <x:xf numFmtId="0" fontId="0" fillId="0" borderId="6" xfId="0" applyBorder="1" applyAlignment="1">
      <x:alignment horizontal="center" vertical="top" wrapText="1"/>
    </x:xf>
    <x:xf numFmtId="0" fontId="5" fillId="0" borderId="7" xfId="0" applyFont="1" applyBorder="1" applyAlignment="1">
      <x:alignment horizontal="center" vertical="top" wrapText="1"/>
    </x:xf>
    <x:xf numFmtId="0" fontId="5" fillId="0" borderId="0" xfId="0" applyFont="1" applyAlignment="1">
      <x:alignment horizontal="center" vertical="top" wrapText="1"/>
    </x:xf>
    <x:xf numFmtId="0" fontId="0" fillId="0" borderId="8" xfId="0" applyBorder="1" applyAlignment="1">
      <x:alignment horizontal="center" vertical="top" wrapText="1"/>
    </x:xf>
    <x:xf numFmtId="0" fontId="5" fillId="0" borderId="9" xfId="0" applyFont="1" applyBorder="1" applyAlignment="1">
      <x:alignment horizontal="center" vertical="top" wrapText="1"/>
    </x:xf>
    <x:xf numFmtId="0" fontId="5" fillId="0" borderId="10" xfId="0" applyFont="1" applyBorder="1" applyAlignment="1">
      <x:alignment horizontal="center" vertical="top" wrapText="1"/>
    </x:xf>
    <x:xf numFmtId="0" fontId="0" fillId="0" borderId="10" xfId="0" applyBorder="1" applyAlignment="1">
      <x:alignment horizontal="center" vertical="top" wrapText="1"/>
    </x:xf>
    <x:xf numFmtId="0" fontId="0" fillId="0" borderId="11" xfId="0" applyBorder="1" applyAlignment="1">
      <x:alignment horizontal="center" vertical="top" wrapText="1"/>
    </x:xf>
    <x:xf numFmtId="0" fontId="0" fillId="0" borderId="0" xfId="0" applyAlignment="1">
      <x:alignment horizontal="center"/>
    </x:xf>
    <x:xf numFmtId="0" fontId="0" fillId="0" borderId="20" xfId="0" applyBorder="1"/>
    <x:xf numFmtId="0" fontId="0" fillId="0" borderId="20" xfId="0" applyBorder="1" applyAlignment="1">
      <x:alignment wrapText="1"/>
    </x:xf>
    <x:xf numFmtId="0" fontId="0" fillId="0" borderId="34" xfId="0" applyBorder="1"/>
    <x:xf numFmtId="0" fontId="0" fillId="5" borderId="29" xfId="0" applyFill="1" applyBorder="1" applyAlignment="1">
      <x:alignment horizontal="center" vertical="top" wrapText="1"/>
    </x:xf>
    <x:xf numFmtId="0" fontId="3" fillId="4" borderId="29" xfId="0" applyFont="1" applyFill="1" applyBorder="1" applyAlignment="1">
      <x:alignment horizontal="center" vertical="center"/>
    </x:xf>
    <x:xf numFmtId="0" fontId="3" fillId="4" borderId="32" xfId="0" applyFont="1" applyFill="1" applyBorder="1" applyAlignment="1">
      <x:alignment horizontal="center" vertical="center"/>
    </x:xf>
    <x:xf numFmtId="0" fontId="3" fillId="4" borderId="35" xfId="0" applyFont="1" applyFill="1" applyBorder="1" applyAlignment="1">
      <x:alignment horizontal="center" vertical="center"/>
    </x:xf>
    <x:xf numFmtId="0" fontId="3" fillId="4" borderId="33" xfId="0" applyFont="1" applyFill="1" applyBorder="1" applyAlignment="1">
      <x:alignment horizontal="center" vertical="center"/>
    </x:xf>
    <x:xf numFmtId="2" fontId="0" fillId="6" borderId="29" xfId="0" applyNumberFormat="1" applyFill="1" applyBorder="1" applyAlignment="1">
      <x:alignment horizontal="center" vertical="center" wrapText="1"/>
    </x:xf>
    <x:xf numFmtId="0" fontId="3" fillId="4" borderId="29" xfId="0" applyFont="1" applyFill="1" applyBorder="1" applyAlignment="1">
      <x:alignment vertical="top"/>
    </x:xf>
    <x:xf numFmtId="2" fontId="0" fillId="6" borderId="29" xfId="0" applyNumberFormat="1" applyFill="1" applyBorder="1" applyAlignment="1">
      <x:alignment vertical="top" wrapText="1"/>
    </x:xf>
    <x:xf numFmtId="164" fontId="0" fillId="5" borderId="29" xfId="0" applyNumberFormat="1" applyFill="1" applyBorder="1" applyAlignment="1">
      <x:alignment horizontal="left" vertical="top" wrapText="1"/>
    </x:xf>
    <x:xf numFmtId="0" fontId="3" fillId="4" borderId="32" xfId="0" applyFont="1" applyFill="1" applyBorder="1" applyAlignment="1">
      <x:alignment horizontal="center" vertical="top"/>
    </x:xf>
    <x:xf numFmtId="0" fontId="3" fillId="4" borderId="35" xfId="0" applyFont="1" applyFill="1" applyBorder="1" applyAlignment="1">
      <x:alignment horizontal="center" vertical="top"/>
    </x:xf>
    <x:xf numFmtId="0" fontId="3" fillId="4" borderId="33" xfId="0" applyFont="1" applyFill="1" applyBorder="1" applyAlignment="1">
      <x:alignment horizontal="center" vertical="top"/>
    </x:xf>
    <x:xf numFmtId="0" fontId="3" fillId="0" borderId="29" xfId="0" applyFont="1" applyBorder="1" applyAlignment="1">
      <x:alignment vertical="top"/>
    </x:xf>
    <x:xf numFmtId="0" fontId="3" fillId="0" borderId="29" xfId="0" applyFont="1" applyBorder="1" applyAlignment="1">
      <x:alignment horizontal="left" vertical="top" wrapText="1"/>
    </x:xf>
    <x:xf numFmtId="0" fontId="0" fillId="0" borderId="36" xfId="0" applyNumberFormat="1" applyFont="1" applyFill="1" applyBorder="1"/>
    <x:xf numFmtId="0" fontId="1" fillId="2" borderId="36" xfId="0" applyNumberFormat="1" applyFont="1" applyFill="1" applyBorder="1" applyAlignment="1">
      <x:alignment vertical="center"/>
    </x:xf>
    <x:xf numFmtId="0" fontId="2" fillId="3" borderId="36" xfId="0" applyNumberFormat="1" applyFont="1" applyFill="1" applyBorder="1" applyAlignment="1">
      <x:alignment vertical="center" wrapText="1"/>
    </x:xf>
    <x:xf numFmtId="0" fontId="3" fillId="4" borderId="36" xfId="0" applyNumberFormat="1" applyFont="1" applyFill="1" applyBorder="1" applyAlignment="1">
      <x:alignment vertical="center"/>
    </x:xf>
    <x:xf numFmtId="0" fontId="0" fillId="5" borderId="36" xfId="0" applyNumberFormat="1" applyFont="1" applyFill="1" applyBorder="1"/>
    <x:xf numFmtId="0" fontId="0" fillId="6" borderId="36" xfId="0" applyNumberFormat="1" applyFont="1" applyFill="1" applyBorder="1"/>
    <x:xf numFmtId="0" fontId="3" fillId="7" borderId="36" xfId="0" applyNumberFormat="1" applyFont="1" applyFill="1" applyBorder="1" applyAlignment="1">
      <x:alignment vertical="center"/>
    </x:xf>
    <x:xf numFmtId="0" fontId="0" fillId="5" borderId="36" xfId="0" applyNumberFormat="1" applyFont="1" applyFill="1" applyBorder="1" applyAlignment="1">
      <x:alignment vertical="top" wrapText="1"/>
    </x:xf>
    <x:xf numFmtId="0" fontId="4" fillId="3" borderId="36" xfId="0" applyNumberFormat="1" applyFont="1" applyFill="1" applyBorder="1" applyAlignment="1">
      <x:alignment horizontal="center" vertical="center" wrapText="1"/>
    </x:xf>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3" fillId="6" borderId="36" xfId="0" applyNumberFormat="1" applyFont="1" applyFill="1" applyBorder="1" applyAlignment="1">
      <x:alignment vertical="center"/>
    </x:xf>
    <x:xf numFmtId="0" fontId="3" fillId="4" borderId="36" xfId="0" applyNumberFormat="1" applyFont="1" applyFill="1" applyBorder="1" applyAlignment="1">
      <x:alignment vertical="center" wrapText="1"/>
    </x:xf>
    <x:xf numFmtId="0" fontId="6" fillId="2" borderId="36" xfId="0" applyNumberFormat="1" applyFont="1" applyFill="1" applyBorder="1"/>
    <x:xf numFmtId="0" fontId="4" fillId="3" borderId="36" xfId="0" applyNumberFormat="1" applyFont="1" applyFill="1" applyBorder="1" applyAlignment="1">
      <x:alignment wrapText="1"/>
    </x:xf>
    <x:xf numFmtId="0" fontId="7" fillId="6" borderId="36" xfId="0" applyNumberFormat="1" applyFont="1" applyFill="1" applyBorder="1"/>
    <x:xf numFmtId="0" fontId="4" fillId="13" borderId="36" xfId="0" applyNumberFormat="1" applyFont="1" applyFill="1" applyBorder="1" applyAlignment="1">
      <x:alignment wrapText="1"/>
    </x:xf>
    <x:xf numFmtId="0" fontId="6" fillId="11" borderId="37" xfId="0" applyNumberFormat="1" applyFont="1" applyFill="1" applyBorder="1"/>
    <x:xf numFmtId="0" fontId="6" fillId="11" borderId="38" xfId="0" applyNumberFormat="1" applyFont="1" applyFill="1" applyBorder="1"/>
    <x:xf numFmtId="0" fontId="6" fillId="11" borderId="39" xfId="0" applyNumberFormat="1" applyFont="1" applyFill="1" applyBorder="1"/>
    <x:xf numFmtId="0" fontId="7" fillId="6" borderId="40" xfId="0" applyNumberFormat="1" applyFont="1" applyFill="1" applyBorder="1"/>
    <x:xf numFmtId="0" fontId="7" fillId="6" borderId="41"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3" fillId="4" borderId="36" xfId="0" applyNumberFormat="1" applyFont="1" applyFill="1" applyBorder="1" applyAlignment="1">
      <x:alignment vertical="top"/>
    </x:xf>
    <x:xf numFmtId="0" fontId="5" fillId="0" borderId="45" xfId="0" applyNumberFormat="1" applyFont="1" applyFill="1" applyBorder="1" applyAlignment="1">
      <x:alignment vertical="top" wrapText="1"/>
    </x:xf>
    <x:xf numFmtId="0" fontId="5" fillId="0" borderId="45" xfId="0" applyNumberFormat="1" applyFont="1" applyFill="1" applyBorder="1" applyAlignment="1">
      <x:alignment horizontal="center" vertical="top" wrapText="1"/>
    </x:xf>
    <x:xf numFmtId="0" fontId="0" fillId="0" borderId="45" xfId="0" applyNumberFormat="1" applyFont="1" applyFill="1" applyBorder="1" applyAlignment="1">
      <x:alignment vertical="top" wrapText="1"/>
    </x:xf>
    <x:xf numFmtId="0" fontId="0" fillId="5" borderId="45" xfId="0" applyNumberFormat="1" applyFont="1" applyFill="1" applyBorder="1" applyAlignment="1">
      <x:alignment vertical="top" wrapText="1"/>
    </x:xf>
    <x:xf numFmtId="0" fontId="0" fillId="6" borderId="45" xfId="0" applyNumberFormat="1" applyFont="1" applyFill="1" applyBorder="1" applyAlignment="1">
      <x:alignment vertical="center" wrapText="1"/>
    </x:xf>
    <x:xf numFmtId="0" fontId="3" fillId="4" borderId="45" xfId="0" applyNumberFormat="1" applyFont="1" applyFill="1" applyBorder="1" applyAlignment="1">
      <x:alignment vertical="center"/>
    </x:xf>
    <x:xf numFmtId="0" fontId="0" fillId="6" borderId="45"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top" wrapText="1"/>
    </x:xf>
    <x:xf numFmtId="0" fontId="3" fillId="4" borderId="45" xfId="0" applyNumberFormat="1" applyFont="1" applyFill="1" applyBorder="1" applyAlignment="1">
      <x:alignment vertical="center" wrapText="1"/>
    </x:xf>
    <x:xf numFmtId="0" fontId="0" fillId="0" borderId="45" xfId="0" applyNumberFormat="1" applyFont="1" applyFill="1" applyBorder="1" applyAlignment="1">
      <x:alignment horizontal="center" vertical="top" wrapText="1"/>
    </x:xf>
    <x:xf numFmtId="0" fontId="3" fillId="0" borderId="36" xfId="0" applyNumberFormat="1" applyFont="1" applyFill="1" applyBorder="1" applyAlignment="1">
      <x:alignment vertical="center"/>
    </x:xf>
    <x:xf numFmtId="164" fontId="0" fillId="5" borderId="45" xfId="0" applyNumberFormat="1" applyFont="1" applyFill="1" applyBorder="1" applyAlignment="1">
      <x:alignment vertical="top" wrapText="1"/>
    </x:xf>
    <x:xf numFmtId="0" fontId="0" fillId="0" borderId="36" xfId="0" applyNumberFormat="1" applyFont="1" applyFill="1" applyBorder="1" applyAlignment="1">
      <x:alignment vertical="top"/>
    </x:xf>
    <x:xf numFmtId="0" fontId="0" fillId="6" borderId="45" xfId="0" applyNumberFormat="1" applyFont="1" applyFill="1" applyBorder="1" applyAlignment="1">
      <x:alignment vertical="top" wrapText="1"/>
    </x:xf>
    <x:xf numFmtId="0" fontId="0" fillId="5" borderId="45" xfId="0" applyNumberFormat="1" applyFont="1" applyFill="1" applyBorder="1" applyAlignment="1">
      <x:alignment horizontal="left" vertical="top" wrapText="1"/>
    </x:xf>
    <x:xf numFmtId="0" fontId="3" fillId="4" borderId="45" xfId="0" applyNumberFormat="1" applyFont="1" applyFill="1" applyBorder="1" applyAlignment="1">
      <x:alignment vertical="top" wrapText="1"/>
    </x:xf>
    <x:xf numFmtId="0" fontId="3" fillId="4" borderId="45" xfId="0" applyNumberFormat="1" applyFont="1" applyFill="1" applyBorder="1" applyAlignment="1">
      <x:alignment horizontal="left" vertical="top" wrapText="1"/>
    </x:xf>
    <x:xf numFmtId="0" fontId="0" fillId="0" borderId="36" xfId="0" applyNumberFormat="1" applyFont="1" applyFill="1" applyBorder="1" applyAlignment="1">
      <x:alignment horizontal="center"/>
    </x:xf>
    <x:xf numFmtId="0" fontId="3" fillId="0" borderId="45" xfId="0" applyNumberFormat="1" applyFont="1" applyFill="1" applyBorder="1" applyAlignment="1">
      <x:alignment horizontal="center" vertical="center"/>
    </x:xf>
    <x:xf numFmtId="164" fontId="0" fillId="0" borderId="45" xfId="0" applyNumberFormat="1" applyFont="1" applyFill="1" applyBorder="1" applyAlignment="1">
      <x:alignment horizontal="center" vertical="top" wrapText="1"/>
    </x:xf>
    <x:xf numFmtId="0" fontId="3" fillId="0" borderId="45" xfId="0" applyNumberFormat="1" applyFont="1" applyFill="1" applyBorder="1" applyAlignment="1">
      <x:alignment vertical="center"/>
    </x:xf>
    <x:xf numFmtId="164" fontId="0" fillId="0" borderId="45" xfId="0" applyNumberFormat="1" applyFont="1" applyFill="1" applyBorder="1" applyAlignment="1">
      <x:alignment vertical="top" wrapText="1"/>
    </x:xf>
    <x:xf numFmtId="0" fontId="8" fillId="6" borderId="36" xfId="0" applyNumberFormat="1" applyFont="1" applyFill="1" applyBorder="1" applyAlignment="1">
      <x:alignment vertical="top" wrapText="1"/>
    </x:xf>
    <x:xf numFmtId="0" fontId="0" fillId="6" borderId="46" xfId="0" applyNumberFormat="1" applyFont="1" applyFill="1" applyBorder="1" applyAlignment="1">
      <x:alignment horizontal="center" vertical="center" wrapText="1"/>
    </x:xf>
    <x:xf numFmtId="0" fontId="0" fillId="6" borderId="47" xfId="0" applyNumberFormat="1" applyFont="1" applyFill="1" applyBorder="1" applyAlignment="1">
      <x:alignment horizontal="center" vertical="center" wrapText="1"/>
    </x:xf>
    <x:xf numFmtId="0" fontId="0" fillId="15" borderId="45" xfId="0" applyNumberFormat="1" applyFont="1" applyFill="1" applyBorder="1" applyAlignment="1">
      <x:alignment horizontal="center" vertical="center" wrapText="1"/>
    </x:xf>
    <x:xf numFmtId="2" fontId="0" fillId="6" borderId="46" xfId="0" applyNumberFormat="1" applyFont="1" applyFill="1" applyBorder="1" applyAlignment="1">
      <x:alignment horizontal="center" vertical="center" wrapText="1"/>
    </x:xf>
    <x:xf numFmtId="2" fontId="0" fillId="6" borderId="47" xfId="0" applyNumberFormat="1" applyFont="1" applyFill="1" applyBorder="1" applyAlignment="1">
      <x:alignment horizontal="center" vertical="center" wrapText="1"/>
    </x:xf>
    <x:xf numFmtId="2" fontId="0" fillId="15" borderId="46" xfId="0" applyNumberFormat="1" applyFont="1" applyFill="1" applyBorder="1" applyAlignment="1">
      <x:alignment horizontal="center" vertical="center" wrapText="1"/>
    </x:xf>
    <x:xf numFmtId="2" fontId="0" fillId="15" borderId="47" xfId="0" applyNumberFormat="1" applyFont="1" applyFill="1" applyBorder="1" applyAlignment="1">
      <x:alignment horizontal="center" vertical="center" wrapText="1"/>
    </x:xf>
    <x:xf numFmtId="0" fontId="0" fillId="5" borderId="36"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center" wrapText="1"/>
    </x:xf>
    <x:xf numFmtId="0" fontId="3" fillId="4" borderId="48" xfId="0" applyNumberFormat="1" applyFont="1" applyFill="1" applyBorder="1" applyAlignment="1">
      <x:alignment horizontal="center" vertical="center" wrapText="1"/>
    </x:xf>
    <x:xf numFmtId="0" fontId="3" fillId="4" borderId="49" xfId="0" applyNumberFormat="1" applyFont="1" applyFill="1" applyBorder="1" applyAlignment="1">
      <x:alignment horizontal="center" vertical="center" wrapText="1"/>
    </x:xf>
    <x:xf numFmtId="0" fontId="2" fillId="3" borderId="36" xfId="0" applyNumberFormat="1" applyFont="1" applyFill="1" applyBorder="1" applyAlignment="1">
      <x:alignment horizontal="center" vertical="center" wrapText="1"/>
    </x:xf>
    <x:xf numFmtId="0" fontId="1" fillId="2" borderId="36" xfId="0" applyNumberFormat="1" applyFont="1" applyFill="1" applyBorder="1" applyAlignment="1">
      <x:alignment horizontal="center" vertical="center"/>
    </x:xf>
    <x:xf numFmtId="0" fontId="5" fillId="0" borderId="36" xfId="0" applyNumberFormat="1" applyFont="1" applyFill="1" applyBorder="1" applyAlignment="1">
      <x:alignment horizontal="center" vertical="top" wrapText="1"/>
    </x:xf>
    <x:xf numFmtId="0" fontId="0" fillId="0" borderId="50" xfId="0" applyNumberFormat="1" applyFont="1" applyFill="1" applyBorder="1"/>
    <x:xf numFmtId="0" fontId="0" fillId="5" borderId="45" xfId="0" applyNumberFormat="1" applyFont="1" applyFill="1" applyBorder="1" applyAlignment="1">
      <x:alignment horizontal="center" vertical="top" wrapText="1"/>
    </x:xf>
    <x:xf numFmtId="0" fontId="3" fillId="4" borderId="45" xfId="0" applyNumberFormat="1" applyFont="1" applyFill="1" applyBorder="1" applyAlignment="1">
      <x:alignment horizontal="center" vertical="center"/>
    </x:xf>
    <x:xf numFmtId="0" fontId="3" fillId="4" borderId="48" xfId="0" applyNumberFormat="1" applyFont="1" applyFill="1" applyBorder="1" applyAlignment="1">
      <x:alignment horizontal="center" vertical="center"/>
    </x:xf>
    <x:xf numFmtId="0" fontId="3" fillId="4" borderId="51" xfId="0" applyNumberFormat="1" applyFont="1" applyFill="1" applyBorder="1" applyAlignment="1">
      <x:alignment horizontal="center" vertical="center"/>
    </x:xf>
    <x:xf numFmtId="0" fontId="3" fillId="4" borderId="49" xfId="0" applyNumberFormat="1" applyFont="1" applyFill="1" applyBorder="1" applyAlignment="1">
      <x:alignment horizontal="center" vertical="center"/>
    </x:xf>
    <x:xf numFmtId="2" fontId="0" fillId="6" borderId="45" xfId="0" applyNumberFormat="1" applyFont="1" applyFill="1" applyBorder="1" applyAlignment="1">
      <x:alignment horizontal="center" vertical="center" wrapText="1"/>
    </x:xf>
    <x:xf numFmtId="0" fontId="3" fillId="4" borderId="45" xfId="0" applyNumberFormat="1" applyFont="1" applyFill="1" applyBorder="1" applyAlignment="1">
      <x:alignment vertical="top"/>
    </x:xf>
    <x:xf numFmtId="2" fontId="0" fillId="6" borderId="45" xfId="0" applyNumberFormat="1" applyFont="1" applyFill="1" applyBorder="1" applyAlignment="1">
      <x:alignment vertical="top" wrapText="1"/>
    </x:xf>
    <x:xf numFmtId="164" fontId="0" fillId="5" borderId="45" xfId="0" applyNumberFormat="1" applyFont="1" applyFill="1" applyBorder="1" applyAlignment="1">
      <x:alignment horizontal="left" vertical="top" wrapText="1"/>
    </x:xf>
    <x:xf numFmtId="0" fontId="3" fillId="4" borderId="48" xfId="0" applyNumberFormat="1" applyFont="1" applyFill="1" applyBorder="1" applyAlignment="1">
      <x:alignment horizontal="center" vertical="top"/>
    </x:xf>
    <x:xf numFmtId="0" fontId="3" fillId="4" borderId="51" xfId="0" applyNumberFormat="1" applyFont="1" applyFill="1" applyBorder="1" applyAlignment="1">
      <x:alignment horizontal="center" vertical="top"/>
    </x:xf>
    <x:xf numFmtId="0" fontId="3" fillId="4" borderId="49" xfId="0" applyNumberFormat="1" applyFont="1" applyFill="1" applyBorder="1" applyAlignment="1">
      <x:alignment horizontal="center" vertical="top"/>
    </x:xf>
    <x:xf numFmtId="0" fontId="3" fillId="0" borderId="45" xfId="0" applyNumberFormat="1" applyFont="1" applyFill="1" applyBorder="1" applyAlignment="1">
      <x:alignment vertical="top"/>
    </x:xf>
    <x:xf numFmtId="0" fontId="3" fillId="0" borderId="45" xfId="0" applyNumberFormat="1" applyFont="1" applyFill="1" applyBorder="1" applyAlignment="1">
      <x:alignment horizontal="left" vertical="top" wrapText="1"/>
    </x:xf>
    <x:xf numFmtId="0" fontId="0" fillId="16" borderId="0" xfId="0" applyNumberFormat="1" applyFont="1" applyFill="1" applyBorder="1"/>
    <x:xf numFmtId="0" fontId="0" fillId="16" borderId="36" xfId="0" applyNumberFormat="1" applyFont="1" applyFill="1" applyBorder="1"/>
    <x:xf numFmtId="0" fontId="8" fillId="16" borderId="0" xfId="0" applyNumberFormat="1" applyFont="1" applyFill="1" applyBorder="1"/>
    <x:xf numFmtId="0" fontId="8" fillId="16" borderId="36" xfId="0" applyNumberFormat="1" applyFont="1" applyFill="1" applyBorder="1"/>
    <x:xf numFmtId="0" fontId="0" fillId="17" borderId="0" xfId="0" applyNumberFormat="1" applyFont="1" applyFill="1" applyBorder="1"/>
    <x:xf numFmtId="0" fontId="0" fillId="17" borderId="36" xfId="0" applyNumberFormat="1" applyFont="1" applyFill="1" applyBorder="1"/>
    <x:xf numFmtId="0" fontId="8" fillId="17" borderId="0" xfId="0" applyNumberFormat="1" applyFont="1" applyFill="1" applyBorder="1"/>
    <x:xf numFmtId="0" fontId="8" fillId="17" borderId="36" xfId="0" applyNumberFormat="1" applyFont="1" applyFill="1" applyBorder="1"/>
    <x:xf numFmtId="0" fontId="0" fillId="18" borderId="0" xfId="0" applyNumberFormat="1" applyFont="1" applyFill="1" applyBorder="1"/>
    <x:xf numFmtId="0" fontId="0" fillId="18" borderId="36" xfId="0" applyNumberFormat="1" applyFont="1" applyFill="1" applyBorder="1"/>
    <x:xf numFmtId="0" fontId="8" fillId="18" borderId="0" xfId="0" applyNumberFormat="1" applyFont="1" applyFill="1" applyBorder="1"/>
    <x:xf numFmtId="0" fontId="8" fillId="18" borderId="36" xfId="0" applyNumberFormat="1" applyFont="1" applyFill="1" applyBorder="1"/>
    <x:xf numFmtId="0" fontId="0" fillId="19" borderId="0" xfId="0" applyNumberFormat="1" applyFont="1" applyFill="1" applyBorder="1"/>
    <x:xf numFmtId="0" fontId="0" fillId="19" borderId="36" xfId="0" applyNumberFormat="1" applyFont="1" applyFill="1" applyBorder="1"/>
    <x:xf numFmtId="0" fontId="8" fillId="19" borderId="0" xfId="0" applyNumberFormat="1" applyFont="1" applyFill="1" applyBorder="1"/>
    <x:xf numFmtId="0" fontId="8" fillId="19" borderId="36" xfId="0" applyNumberFormat="1" applyFont="1" applyFill="1" applyBorder="1"/>
    <x:xf numFmtId="0" fontId="0" fillId="20" borderId="0" xfId="0" applyNumberFormat="1" applyFont="1" applyFill="1" applyBorder="1" applyAlignment="1">
      <x:alignment horizontal="center" vertical="top" wrapText="1"/>
    </x:xf>
    <x:xf numFmtId="0" fontId="0" fillId="20" borderId="36" xfId="0" applyNumberFormat="1" applyFont="1" applyFill="1" applyBorder="1" applyAlignment="1">
      <x:alignment horizontal="center" vertical="top" wrapText="1"/>
    </x:xf>
    <x:xf numFmtId="0" fontId="0" fillId="20" borderId="0" xfId="0" applyNumberFormat="1" applyFont="1" applyFill="1" applyBorder="1" applyAlignment="1">
      <x:alignment vertical="top" wrapText="1"/>
    </x:xf>
    <x:xf numFmtId="0" fontId="0" fillId="20" borderId="36" xfId="0" applyNumberFormat="1" applyFont="1" applyFill="1" applyBorder="1" applyAlignment="1">
      <x:alignment vertical="top" wrapText="1"/>
    </x:xf>
    <x:xf numFmtId="0" fontId="0" fillId="16" borderId="0" xfId="0" applyNumberFormat="1" applyFont="1" applyFill="1" applyBorder="1" applyAlignment="1">
      <x:alignment horizontal="center" vertical="top" wrapText="1"/>
    </x:xf>
    <x:xf numFmtId="0" fontId="0" fillId="16" borderId="36"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36" xfId="0" applyNumberFormat="1" applyFont="1" applyFill="1" applyBorder="1" applyAlignment="1">
      <x:alignment vertical="top" wrapText="1"/>
    </x:xf>
    <x:xf numFmtId="0" fontId="0" fillId="17" borderId="29" xfId="0" applyNumberFormat="1" applyFont="1" applyFill="1" applyBorder="1" applyAlignment="1">
      <x:alignment vertical="top" wrapText="1"/>
    </x:xf>
    <x:xf numFmtId="0" fontId="0" fillId="17" borderId="45" xfId="0" applyNumberFormat="1" applyFont="1" applyFill="1" applyBorder="1" applyAlignment="1">
      <x:alignment vertical="top" wrapText="1"/>
    </x:xf>
    <x:xf numFmtId="0" fontId="0" fillId="20" borderId="29" xfId="0" applyNumberFormat="1" applyFont="1" applyFill="1" applyBorder="1" applyAlignment="1">
      <x:alignment vertical="top" wrapText="1"/>
    </x:xf>
    <x:xf numFmtId="0" fontId="0" fillId="20" borderId="45" xfId="0" applyNumberFormat="1" applyFont="1" applyFill="1" applyBorder="1" applyAlignment="1">
      <x:alignment vertical="top" wrapText="1"/>
    </x:xf>
    <x:xf numFmtId="0" fontId="0" fillId="16" borderId="29" xfId="0" applyNumberFormat="1" applyFont="1" applyFill="1" applyBorder="1" applyAlignment="1">
      <x:alignment vertical="top" wrapText="1"/>
    </x:xf>
    <x:xf numFmtId="0" fontId="0" fillId="16" borderId="45" xfId="0" applyNumberFormat="1" applyFont="1" applyFill="1" applyBorder="1" applyAlignment="1">
      <x:alignment vertical="top" wrapText="1"/>
    </x:xf>
    <x:xf numFmtId="0" fontId="0" fillId="17" borderId="29" xfId="0" applyNumberFormat="1" applyFont="1" applyFill="1" applyBorder="1" applyAlignment="1">
      <x:alignment vertical="center" wrapText="1"/>
    </x:xf>
    <x:xf numFmtId="0" fontId="0" fillId="17" borderId="45" xfId="0" applyNumberFormat="1" applyFont="1" applyFill="1" applyBorder="1" applyAlignment="1">
      <x:alignment vertical="center" wrapText="1"/>
    </x:xf>
    <x:xf numFmtId="0" fontId="0" fillId="18" borderId="29" xfId="0" applyNumberFormat="1" applyFont="1" applyFill="1" applyBorder="1" applyAlignment="1">
      <x:alignment vertical="top" wrapText="1"/>
    </x:xf>
    <x:xf numFmtId="0" fontId="0" fillId="18" borderId="45" xfId="0" applyNumberFormat="1" applyFont="1" applyFill="1" applyBorder="1" applyAlignment="1">
      <x:alignment vertical="top" wrapText="1"/>
    </x:xf>
    <x:xf numFmtId="0" fontId="0" fillId="19" borderId="29" xfId="0" applyNumberFormat="1" applyFont="1" applyFill="1" applyBorder="1" applyAlignment="1">
      <x:alignment vertical="top" wrapText="1"/>
    </x:xf>
    <x:xf numFmtId="0" fontId="0" fillId="19" borderId="45" xfId="0" applyNumberFormat="1" applyFont="1" applyFill="1" applyBorder="1" applyAlignment="1">
      <x:alignment vertical="top" wrapText="1"/>
    </x:xf>
    <x:xf numFmtId="0" fontId="0" fillId="19" borderId="29" xfId="0" applyNumberFormat="1" applyFont="1" applyFill="1" applyBorder="1" applyAlignment="1">
      <x:alignment vertical="center" wrapText="1"/>
    </x:xf>
    <x:xf numFmtId="0" fontId="0" fillId="19" borderId="45" xfId="0" applyNumberFormat="1" applyFont="1" applyFill="1" applyBorder="1" applyAlignment="1">
      <x:alignment vertical="center" wrapText="1"/>
    </x:xf>
    <x:xf numFmtId="0" fontId="4" fillId="3" borderId="21" xfId="0" applyNumberFormat="1" applyFont="1" applyFill="1" applyBorder="1" applyAlignment="1">
      <x:alignment horizontal="center" vertical="center" wrapText="1"/>
    </x:xf>
    <x:xf numFmtId="0" fontId="4" fillId="3" borderId="22" xfId="0" applyNumberFormat="1" applyFont="1" applyFill="1" applyBorder="1" applyAlignment="1">
      <x:alignment horizontal="center" vertical="center" wrapText="1"/>
    </x:xf>
    <x:xf numFmtId="0" fontId="4" fillId="3" borderId="23" xfId="0" applyNumberFormat="1" applyFont="1" applyFill="1" applyBorder="1" applyAlignment="1">
      <x:alignment horizontal="center" vertical="center" wrapText="1"/>
    </x:xf>
    <x:xf numFmtId="0" fontId="5" fillId="0" borderId="52" xfId="0" applyNumberFormat="1" applyFont="1" applyFill="1" applyBorder="1" applyAlignment="1">
      <x:alignment vertical="top" wrapText="1"/>
    </x:xf>
    <x:xf numFmtId="0" fontId="5" fillId="0" borderId="29" xfId="0" applyNumberFormat="1" applyFont="1" applyFill="1" applyBorder="1" applyAlignment="1">
      <x:alignment horizontal="center" vertical="top" wrapText="1"/>
    </x:xf>
    <x:xf numFmtId="0" fontId="0" fillId="0" borderId="29" xfId="0" applyNumberFormat="1" applyFont="1" applyFill="1" applyBorder="1" applyAlignment="1">
      <x:alignment vertical="top" wrapText="1"/>
    </x:xf>
    <x:xf numFmtId="0" fontId="0" fillId="16" borderId="53" xfId="0" applyNumberFormat="1" applyFont="1" applyFill="1" applyBorder="1" applyAlignment="1">
      <x:alignment vertical="top" wrapText="1"/>
    </x:xf>
    <x:xf numFmtId="0" fontId="5" fillId="0" borderId="54" xfId="0" applyNumberFormat="1" applyFont="1" applyFill="1" applyBorder="1" applyAlignment="1">
      <x:alignment vertical="top" wrapText="1"/>
    </x:xf>
    <x:xf numFmtId="0" fontId="5" fillId="0" borderId="55"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17" borderId="55" xfId="0" applyNumberFormat="1" applyFont="1" applyFill="1" applyBorder="1" applyAlignment="1">
      <x:alignment vertical="top" wrapText="1"/>
    </x:xf>
    <x:xf numFmtId="0" fontId="0" fillId="20" borderId="55" xfId="0" applyNumberFormat="1" applyFont="1" applyFill="1" applyBorder="1" applyAlignment="1">
      <x:alignment vertical="top" wrapText="1"/>
    </x:xf>
    <x:xf numFmtId="0" fontId="0" fillId="18" borderId="55" xfId="0" applyNumberFormat="1" applyFont="1" applyFill="1" applyBorder="1" applyAlignment="1">
      <x:alignment vertical="top" wrapText="1"/>
    </x:xf>
    <x:xf numFmtId="0" fontId="0" fillId="16" borderId="55" xfId="0" applyNumberFormat="1" applyFont="1" applyFill="1" applyBorder="1" applyAlignment="1">
      <x:alignment vertical="top" wrapText="1"/>
    </x:xf>
    <x:xf numFmtId="0" fontId="0" fillId="17" borderId="55" xfId="0" applyNumberFormat="1" applyFont="1" applyFill="1" applyBorder="1" applyAlignment="1">
      <x:alignment vertical="center" wrapText="1"/>
    </x:xf>
    <x:xf numFmtId="0" fontId="0" fillId="16" borderId="56" xfId="0" applyNumberFormat="1" applyFont="1" applyFill="1" applyBorder="1" applyAlignment="1">
      <x:alignment vertical="top" wrapText="1"/>
    </x:xf>
    <x:xf numFmtId="0" fontId="4" fillId="3" borderId="37" xfId="0" applyNumberFormat="1" applyFont="1" applyFill="1" applyBorder="1" applyAlignment="1">
      <x:alignment horizontal="center" vertical="center" wrapText="1"/>
    </x:xf>
    <x:xf numFmtId="0" fontId="4" fillId="3" borderId="38" xfId="0" applyNumberFormat="1" applyFont="1" applyFill="1" applyBorder="1" applyAlignment="1">
      <x:alignment horizontal="center" vertical="center" wrapText="1"/>
    </x:xf>
    <x:xf numFmtId="0" fontId="4" fillId="3" borderId="39" xfId="0" applyNumberFormat="1" applyFont="1" applyFill="1" applyBorder="1" applyAlignment="1">
      <x:alignment horizontal="center" vertical="center" wrapText="1"/>
    </x:xf>
    <x:xf numFmtId="0" fontId="5" fillId="0" borderId="57" xfId="0" applyNumberFormat="1" applyFont="1" applyFill="1" applyBorder="1" applyAlignment="1">
      <x:alignment vertical="top" wrapText="1"/>
    </x:xf>
    <x:xf numFmtId="0" fontId="0" fillId="16" borderId="58" xfId="0" applyNumberFormat="1" applyFont="1" applyFill="1" applyBorder="1" applyAlignment="1">
      <x:alignment vertical="top" wrapText="1"/>
    </x:xf>
    <x:xf numFmtId="0" fontId="5" fillId="0" borderId="59" xfId="0" applyNumberFormat="1" applyFont="1" applyFill="1" applyBorder="1" applyAlignment="1">
      <x:alignment vertical="top" wrapText="1"/>
    </x:xf>
    <x:xf numFmtId="0" fontId="5" fillId="0" borderId="60" xfId="0" applyNumberFormat="1" applyFont="1" applyFill="1" applyBorder="1" applyAlignment="1">
      <x:alignment horizontal="center" vertical="top" wrapText="1"/>
    </x:xf>
    <x:xf numFmtId="0" fontId="0" fillId="0" borderId="60" xfId="0" applyNumberFormat="1" applyFont="1" applyFill="1" applyBorder="1" applyAlignment="1">
      <x:alignment vertical="top" wrapText="1"/>
    </x:xf>
    <x:xf numFmtId="0" fontId="0" fillId="17" borderId="60" xfId="0" applyNumberFormat="1" applyFont="1" applyFill="1" applyBorder="1" applyAlignment="1">
      <x:alignment vertical="top" wrapText="1"/>
    </x:xf>
    <x:xf numFmtId="0" fontId="0" fillId="20" borderId="60" xfId="0" applyNumberFormat="1" applyFont="1" applyFill="1" applyBorder="1" applyAlignment="1">
      <x:alignment vertical="top" wrapText="1"/>
    </x:xf>
    <x:xf numFmtId="0" fontId="0" fillId="18" borderId="60" xfId="0" applyNumberFormat="1" applyFont="1" applyFill="1" applyBorder="1" applyAlignment="1">
      <x:alignment vertical="top" wrapText="1"/>
    </x:xf>
    <x:xf numFmtId="0" fontId="0" fillId="16" borderId="60" xfId="0" applyNumberFormat="1" applyFont="1" applyFill="1" applyBorder="1" applyAlignment="1">
      <x:alignment vertical="top" wrapText="1"/>
    </x:xf>
    <x:xf numFmtId="0" fontId="0" fillId="17" borderId="60" xfId="0" applyNumberFormat="1" applyFont="1" applyFill="1" applyBorder="1" applyAlignment="1">
      <x:alignment vertical="center" wrapText="1"/>
    </x:xf>
    <x:xf numFmtId="0" fontId="0" fillId="16" borderId="61" xfId="0" applyNumberFormat="1" applyFont="1" applyFill="1" applyBorder="1" applyAlignment="1">
      <x:alignment vertical="top" wrapText="1"/>
    </x:xf>
    <x:xf numFmtId="0" fontId="0" fillId="18" borderId="29" xfId="0" applyNumberFormat="1" applyFont="1" applyFill="1" applyBorder="1" applyAlignment="1">
      <x:alignment horizontal="center" vertical="top" wrapText="1"/>
    </x:xf>
    <x:xf numFmtId="0" fontId="0" fillId="20" borderId="29" xfId="0" applyNumberFormat="1" applyFont="1" applyFill="1" applyBorder="1" applyAlignment="1">
      <x:alignment horizontal="center" vertical="top" wrapText="1"/>
    </x:xf>
    <x:xf numFmtId="0" fontId="0" fillId="16" borderId="29" xfId="0" applyNumberFormat="1" applyFont="1" applyFill="1" applyBorder="1" applyAlignment="1">
      <x:alignment horizontal="center" vertical="top" wrapText="1"/>
    </x:xf>
    <x:xf numFmtId="0" fontId="0" fillId="17" borderId="29" xfId="0" applyNumberFormat="1" applyFont="1" applyFill="1" applyBorder="1" applyAlignment="1">
      <x:alignment horizontal="center" vertical="top" wrapText="1"/>
    </x:xf>
    <x:xf numFmtId="0" fontId="0" fillId="19" borderId="29" xfId="0" applyNumberFormat="1" applyFont="1" applyFill="1" applyBorder="1" applyAlignment="1">
      <x:alignment horizontal="center" vertical="top" wrapText="1"/>
    </x:xf>
    <x:xf numFmtId="0" fontId="0" fillId="18" borderId="55" xfId="0" applyNumberFormat="1" applyFont="1" applyFill="1" applyBorder="1" applyAlignment="1">
      <x:alignment horizontal="center" vertical="top" wrapText="1"/>
    </x:xf>
    <x:xf numFmtId="0" fontId="0" fillId="20" borderId="55" xfId="0" applyNumberFormat="1" applyFont="1" applyFill="1" applyBorder="1" applyAlignment="1">
      <x:alignment horizontal="center" vertical="top" wrapText="1"/>
    </x:xf>
    <x:xf numFmtId="0" fontId="0" fillId="16" borderId="55" xfId="0" applyNumberFormat="1" applyFont="1" applyFill="1" applyBorder="1" applyAlignment="1">
      <x:alignment horizontal="center" vertical="top" wrapText="1"/>
    </x:xf>
    <x:xf numFmtId="0" fontId="0" fillId="17" borderId="55" xfId="0" applyNumberFormat="1" applyFont="1" applyFill="1" applyBorder="1" applyAlignment="1">
      <x:alignment horizontal="center" vertical="top" wrapText="1"/>
    </x:xf>
    <x:xf numFmtId="0" fontId="0" fillId="18" borderId="45" xfId="0" applyNumberFormat="1" applyFont="1" applyFill="1" applyBorder="1" applyAlignment="1">
      <x:alignment horizontal="center" vertical="top" wrapText="1"/>
    </x:xf>
    <x:xf numFmtId="0" fontId="0" fillId="20" borderId="45" xfId="0" applyNumberFormat="1" applyFont="1" applyFill="1" applyBorder="1" applyAlignment="1">
      <x:alignment horizontal="center" vertical="top" wrapText="1"/>
    </x:xf>
    <x:xf numFmtId="0" fontId="0" fillId="16" borderId="45" xfId="0" applyNumberFormat="1" applyFont="1" applyFill="1" applyBorder="1" applyAlignment="1">
      <x:alignment horizontal="center" vertical="top" wrapText="1"/>
    </x:xf>
    <x:xf numFmtId="0" fontId="0" fillId="17" borderId="45" xfId="0" applyNumberFormat="1" applyFont="1" applyFill="1" applyBorder="1" applyAlignment="1">
      <x:alignment horizontal="center" vertical="top" wrapText="1"/>
    </x:xf>
    <x:xf numFmtId="0" fontId="0" fillId="19" borderId="45" xfId="0" applyNumberFormat="1" applyFont="1" applyFill="1" applyBorder="1" applyAlignment="1">
      <x:alignment horizontal="center" vertical="top" wrapText="1"/>
    </x:xf>
    <x:xf numFmtId="0" fontId="0" fillId="18" borderId="60" xfId="0" applyNumberFormat="1" applyFont="1" applyFill="1" applyBorder="1" applyAlignment="1">
      <x:alignment horizontal="center" vertical="top" wrapText="1"/>
    </x:xf>
    <x:xf numFmtId="0" fontId="0" fillId="20" borderId="60" xfId="0" applyNumberFormat="1" applyFont="1" applyFill="1" applyBorder="1" applyAlignment="1">
      <x:alignment horizontal="center" vertical="top" wrapText="1"/>
    </x:xf>
    <x:xf numFmtId="0" fontId="0" fillId="16" borderId="60" xfId="0" applyNumberFormat="1" applyFont="1" applyFill="1" applyBorder="1" applyAlignment="1">
      <x:alignment horizontal="center" vertical="top" wrapText="1"/>
    </x:xf>
    <x:xf numFmtId="0" fontId="0" fillId="17" borderId="60" xfId="0" applyNumberFormat="1" applyFont="1" applyFill="1" applyBorder="1" applyAlignment="1">
      <x:alignment horizontal="center" vertical="top" wrapText="1"/>
    </x:xf>
    <x:xf numFmtId="0" fontId="0" fillId="18" borderId="29" xfId="0" applyNumberFormat="1" applyFont="1" applyFill="1" applyBorder="1" applyAlignment="1">
      <x:alignment horizontal="center" vertical="center" wrapText="1"/>
    </x:xf>
    <x:xf numFmtId="0" fontId="0" fillId="20" borderId="29" xfId="0" applyNumberFormat="1" applyFont="1" applyFill="1" applyBorder="1" applyAlignment="1">
      <x:alignment horizontal="center" vertical="center" wrapText="1"/>
    </x:xf>
    <x:xf numFmtId="0" fontId="0" fillId="16" borderId="29"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9" borderId="29" xfId="0" applyNumberFormat="1" applyFont="1" applyFill="1" applyBorder="1" applyAlignment="1">
      <x:alignment horizontal="center" vertical="center" wrapText="1"/>
    </x:xf>
    <x:xf numFmtId="0" fontId="0" fillId="18" borderId="55" xfId="0" applyNumberFormat="1" applyFont="1" applyFill="1" applyBorder="1" applyAlignment="1">
      <x:alignment horizontal="center" vertical="center" wrapText="1"/>
    </x:xf>
    <x:xf numFmtId="0" fontId="0" fillId="20" borderId="55" xfId="0" applyNumberFormat="1" applyFont="1" applyFill="1" applyBorder="1" applyAlignment="1">
      <x:alignment horizontal="center" vertical="center" wrapText="1"/>
    </x:xf>
    <x:xf numFmtId="0" fontId="0" fillId="16" borderId="55" xfId="0" applyNumberFormat="1" applyFont="1" applyFill="1" applyBorder="1" applyAlignment="1">
      <x:alignment horizontal="center" vertical="center" wrapText="1"/>
    </x:xf>
    <x:xf numFmtId="0" fontId="0" fillId="17" borderId="55" xfId="0" applyNumberFormat="1" applyFont="1" applyFill="1" applyBorder="1" applyAlignment="1">
      <x:alignment horizontal="center" vertical="center" wrapText="1"/>
    </x:xf>
    <x:xf numFmtId="0" fontId="0" fillId="18" borderId="45" xfId="0" applyNumberFormat="1" applyFont="1" applyFill="1" applyBorder="1" applyAlignment="1">
      <x:alignment horizontal="center" vertical="center" wrapText="1"/>
    </x:xf>
    <x:xf numFmtId="0" fontId="0" fillId="20" borderId="45" xfId="0" applyNumberFormat="1" applyFont="1" applyFill="1" applyBorder="1" applyAlignment="1">
      <x:alignment horizontal="center" vertical="center" wrapText="1"/>
    </x:xf>
    <x:xf numFmtId="0" fontId="0" fillId="16" borderId="45" xfId="0" applyNumberFormat="1" applyFont="1" applyFill="1" applyBorder="1" applyAlignment="1">
      <x:alignment horizontal="center" vertical="center" wrapText="1"/>
    </x:xf>
    <x:xf numFmtId="0" fontId="0" fillId="17" borderId="45" xfId="0" applyNumberFormat="1" applyFont="1" applyFill="1" applyBorder="1" applyAlignment="1">
      <x:alignment horizontal="center" vertical="center" wrapText="1"/>
    </x:xf>
    <x:xf numFmtId="0" fontId="0" fillId="19" borderId="45" xfId="0" applyNumberFormat="1" applyFont="1" applyFill="1" applyBorder="1" applyAlignment="1">
      <x:alignment horizontal="center" vertical="center" wrapText="1"/>
    </x:xf>
    <x:xf numFmtId="0" fontId="0" fillId="18" borderId="60" xfId="0" applyNumberFormat="1" applyFont="1" applyFill="1" applyBorder="1" applyAlignment="1">
      <x:alignment horizontal="center" vertical="center" wrapText="1"/>
    </x:xf>
    <x:xf numFmtId="0" fontId="0" fillId="20" borderId="60" xfId="0" applyNumberFormat="1" applyFont="1" applyFill="1" applyBorder="1" applyAlignment="1">
      <x:alignment horizontal="center" vertical="center" wrapText="1"/>
    </x:xf>
    <x:xf numFmtId="0" fontId="0" fillId="16" borderId="60" xfId="0" applyNumberFormat="1" applyFont="1" applyFill="1" applyBorder="1" applyAlignment="1">
      <x:alignment horizontal="center" vertical="center" wrapText="1"/>
    </x:xf>
    <x:xf numFmtId="0" fontId="0" fillId="17" borderId="60"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2" fontId="0" fillId="17" borderId="30" xfId="0" applyNumberFormat="1" applyFont="1" applyFill="1" applyBorder="1" applyAlignment="1">
      <x:alignment horizontal="center" vertical="center" wrapText="1"/>
    </x:xf>
    <x:xf numFmtId="0" fontId="0" fillId="17" borderId="46" xfId="0" applyNumberFormat="1" applyFont="1" applyFill="1" applyBorder="1" applyAlignment="1">
      <x:alignment horizontal="center" vertical="center" wrapText="1"/>
    </x:xf>
    <x:xf numFmtId="2" fontId="0" fillId="17" borderId="46" xfId="0" applyNumberFormat="1" applyFont="1" applyFill="1" applyBorder="1" applyAlignment="1">
      <x:alignment horizontal="center" vertical="center" wrapText="1"/>
    </x:xf>
    <x:xf numFmtId="0" fontId="3" fillId="17" borderId="30" xfId="0" applyNumberFormat="1" applyFont="1" applyFill="1" applyBorder="1" applyAlignment="1">
      <x:alignment horizontal="center" vertical="center" wrapText="1"/>
    </x:xf>
    <x:xf numFmtId="2" fontId="3" fillId="17" borderId="30" xfId="0" applyNumberFormat="1" applyFont="1" applyFill="1" applyBorder="1" applyAlignment="1">
      <x:alignment horizontal="center" vertical="center" wrapText="1"/>
    </x:xf>
    <x:xf numFmtId="0" fontId="3" fillId="17" borderId="29" xfId="0" applyNumberFormat="1" applyFont="1" applyFill="1" applyBorder="1" applyAlignment="1">
      <x:alignment horizontal="center" vertical="center" wrapText="1"/>
    </x:xf>
    <x:xf numFmtId="0" fontId="3" fillId="17" borderId="46" xfId="0" applyNumberFormat="1" applyFont="1" applyFill="1" applyBorder="1" applyAlignment="1">
      <x:alignment horizontal="center" vertical="center" wrapText="1"/>
    </x:xf>
    <x:xf numFmtId="2" fontId="3" fillId="17" borderId="46" xfId="0" applyNumberFormat="1" applyFont="1" applyFill="1" applyBorder="1" applyAlignment="1">
      <x:alignment horizontal="center" vertical="center" wrapText="1"/>
    </x:xf>
    <x:xf numFmtId="0" fontId="3" fillId="17" borderId="45" xfId="0" applyNumberFormat="1" applyFont="1" applyFill="1" applyBorder="1" applyAlignment="1">
      <x:alignment horizontal="center" vertical="center" wrapText="1"/>
    </x:xf>
    <x:xf numFmtId="0" fontId="3" fillId="4" borderId="62" xfId="0" applyNumberFormat="1" applyFont="1" applyFill="1" applyBorder="1" applyAlignment="1">
      <x:alignment vertical="center"/>
    </x:xf>
    <x:xf numFmtId="0" fontId="3" fillId="17" borderId="63" xfId="0" applyNumberFormat="1" applyFont="1" applyFill="1" applyBorder="1" applyAlignment="1">
      <x:alignment horizontal="center" vertical="center" wrapText="1"/>
    </x:xf>
    <x:xf numFmtId="0" fontId="3" fillId="4" borderId="52" xfId="0" applyNumberFormat="1" applyFont="1" applyFill="1" applyBorder="1" applyAlignment="1">
      <x:alignment vertical="center"/>
    </x:xf>
    <x:xf numFmtId="0" fontId="3" fillId="17" borderId="53" xfId="0" applyNumberFormat="1" applyFont="1" applyFill="1" applyBorder="1" applyAlignment="1">
      <x:alignment horizontal="center" vertical="center" wrapText="1"/>
    </x:xf>
    <x:xf numFmtId="2" fontId="3" fillId="17" borderId="53" xfId="0" applyNumberFormat="1" applyFont="1" applyFill="1" applyBorder="1" applyAlignment="1">
      <x:alignment horizontal="center" vertical="center" wrapText="1"/>
    </x:xf>
    <x:xf numFmtId="0" fontId="3" fillId="4" borderId="54" xfId="0" applyNumberFormat="1" applyFont="1" applyFill="1" applyBorder="1" applyAlignment="1">
      <x:alignment vertical="center"/>
    </x:xf>
    <x:xf numFmtId="0" fontId="3" fillId="17" borderId="56" xfId="0" applyNumberFormat="1" applyFont="1" applyFill="1" applyBorder="1" applyAlignment="1">
      <x:alignment horizontal="center" vertical="center" wrapText="1"/>
    </x:xf>
    <x:xf numFmtId="0" fontId="3" fillId="4" borderId="64" xfId="0" applyNumberFormat="1" applyFont="1" applyFill="1" applyBorder="1" applyAlignment="1">
      <x:alignment vertical="center"/>
    </x:xf>
    <x:xf numFmtId="0" fontId="3" fillId="17" borderId="65" xfId="0" applyNumberFormat="1" applyFont="1" applyFill="1" applyBorder="1" applyAlignment="1">
      <x:alignment horizontal="center" vertical="center" wrapText="1"/>
    </x:xf>
    <x:xf numFmtId="0" fontId="3" fillId="4" borderId="57" xfId="0" applyNumberFormat="1" applyFont="1" applyFill="1" applyBorder="1" applyAlignment="1">
      <x:alignment vertical="center"/>
    </x:xf>
    <x:xf numFmtId="0" fontId="3" fillId="17" borderId="58" xfId="0" applyNumberFormat="1" applyFont="1" applyFill="1" applyBorder="1" applyAlignment="1">
      <x:alignment horizontal="center" vertical="center" wrapText="1"/>
    </x:xf>
    <x:xf numFmtId="2" fontId="3" fillId="17" borderId="58" xfId="0" applyNumberFormat="1" applyFont="1" applyFill="1" applyBorder="1" applyAlignment="1">
      <x:alignment horizontal="center" vertical="center" wrapText="1"/>
    </x:xf>
    <x:xf numFmtId="0" fontId="3" fillId="4" borderId="59" xfId="0" applyNumberFormat="1" applyFont="1" applyFill="1" applyBorder="1" applyAlignment="1">
      <x:alignment vertical="center"/>
    </x:xf>
    <x:xf numFmtId="0" fontId="3" fillId="17" borderId="61" xfId="0" applyNumberFormat="1" applyFont="1" applyFill="1" applyBorder="1" applyAlignment="1">
      <x:alignment horizontal="center" vertical="center" wrapText="1"/>
    </x:xf>
    <x:xf numFmtId="2" fontId="0" fillId="17" borderId="29" xfId="0" applyNumberFormat="1" applyFont="1" applyFill="1" applyBorder="1" applyAlignment="1">
      <x:alignment horizontal="center" vertical="center" wrapText="1"/>
    </x:xf>
    <x:xf numFmtId="2" fontId="0" fillId="17" borderId="45" xfId="0" applyNumberFormat="1" applyFont="1" applyFill="1" applyBorder="1" applyAlignment="1">
      <x:alignment horizontal="center" vertical="center" wrapText="1"/>
    </x:xf>
    <x:xf numFmtId="2" fontId="3" fillId="17" borderId="29" xfId="0" applyNumberFormat="1" applyFont="1" applyFill="1" applyBorder="1" applyAlignment="1">
      <x:alignment horizontal="center" vertical="center" wrapText="1"/>
    </x:xf>
    <x:xf numFmtId="2" fontId="3" fillId="17" borderId="45" xfId="0" applyNumberFormat="1" applyFont="1" applyFill="1" applyBorder="1" applyAlignment="1">
      <x:alignment horizontal="center" vertical="center" wrapText="1"/>
    </x:xf>
    <x:xf numFmtId="0" fontId="0" fillId="21" borderId="29" xfId="0" applyNumberFormat="1" applyFont="1" applyFill="1" applyBorder="1" applyAlignment="1">
      <x:alignment vertical="top" wrapText="1"/>
    </x:xf>
    <x:xf numFmtId="164" fontId="0" fillId="21" borderId="29" xfId="0" applyNumberFormat="1" applyFont="1" applyFill="1" applyBorder="1" applyAlignment="1">
      <x:alignment vertical="top" wrapText="1"/>
    </x:xf>
    <x:xf numFmtId="0" fontId="0" fillId="21" borderId="45" xfId="0" applyNumberFormat="1" applyFont="1" applyFill="1" applyBorder="1" applyAlignment="1">
      <x:alignment vertical="top" wrapText="1"/>
    </x:xf>
    <x:xf numFmtId="164" fontId="0" fillId="21" borderId="45" xfId="0" applyNumberFormat="1" applyFont="1" applyFill="1" applyBorder="1" applyAlignment="1">
      <x:alignment vertical="top" wrapText="1"/>
    </x:xf>
    <x:xf numFmtId="0" fontId="3" fillId="20" borderId="29" xfId="0" applyNumberFormat="1" applyFont="1" applyFill="1" applyBorder="1" applyAlignment="1">
      <x:alignment vertical="top" wrapText="1"/>
    </x:xf>
    <x:xf numFmtId="0" fontId="3" fillId="20" borderId="29" xfId="0" applyNumberFormat="1" applyFont="1" applyFill="1" applyBorder="1" applyAlignment="1">
      <x:alignment horizontal="left" vertical="top" wrapText="1"/>
    </x:xf>
    <x:xf numFmtId="0" fontId="0" fillId="20" borderId="29" xfId="0" applyNumberFormat="1" applyFont="1" applyFill="1" applyBorder="1" applyAlignment="1">
      <x:alignment horizontal="left" vertical="top" wrapText="1"/>
    </x:xf>
    <x:xf numFmtId="0" fontId="3" fillId="20" borderId="45" xfId="0" applyNumberFormat="1" applyFont="1" applyFill="1" applyBorder="1" applyAlignment="1">
      <x:alignment vertical="top" wrapText="1"/>
    </x:xf>
    <x:xf numFmtId="0" fontId="3" fillId="20" borderId="45" xfId="0" applyNumberFormat="1" applyFont="1" applyFill="1" applyBorder="1" applyAlignment="1">
      <x:alignment horizontal="left" vertical="top" wrapText="1"/>
    </x:xf>
    <x:xf numFmtId="0" fontId="0" fillId="20" borderId="45" xfId="0" applyNumberFormat="1" applyFont="1" applyFill="1" applyBorder="1" applyAlignment="1">
      <x:alignment horizontal="left" vertical="top" wrapText="1"/>
    </x:xf>
    <x:xf numFmtId="0" fontId="0" fillId="0" borderId="22" xfId="0" applyNumberFormat="1" applyFont="1" applyFill="1" applyBorder="1"/>
    <x:xf numFmtId="0" fontId="3" fillId="4" borderId="22" xfId="0" applyNumberFormat="1" applyFont="1" applyFill="1" applyBorder="1" applyAlignment="1">
      <x:alignment vertical="center"/>
    </x:xf>
    <x:xf numFmtId="0" fontId="0" fillId="0" borderId="23" xfId="0" applyNumberFormat="1" applyFont="1" applyFill="1" applyBorder="1"/>
    <x:xf numFmtId="0" fontId="0" fillId="0" borderId="0" xfId="0" applyNumberFormat="1" applyFont="1" applyFill="1" applyBorder="1"/>
    <x:xf numFmtId="0" fontId="0" fillId="20" borderId="53" xfId="0" applyNumberFormat="1" applyFont="1" applyFill="1" applyBorder="1" applyAlignment="1">
      <x:alignment vertical="top" wrapText="1"/>
    </x:xf>
    <x:xf numFmtId="0" fontId="0" fillId="20" borderId="53" xfId="0" applyNumberFormat="1" applyFont="1" applyFill="1" applyBorder="1" applyAlignment="1">
      <x:alignment horizontal="left" vertical="top" wrapText="1"/>
    </x:xf>
    <x:xf numFmtId="0" fontId="0" fillId="21" borderId="55" xfId="0" applyNumberFormat="1" applyFont="1" applyFill="1" applyBorder="1" applyAlignment="1">
      <x:alignment vertical="top" wrapText="1"/>
    </x:xf>
    <x:xf numFmtId="164" fontId="0" fillId="21" borderId="55" xfId="0" applyNumberFormat="1" applyFont="1" applyFill="1" applyBorder="1" applyAlignment="1">
      <x:alignment vertical="top" wrapText="1"/>
    </x:xf>
    <x:xf numFmtId="0" fontId="0" fillId="0" borderId="27" xfId="0" applyNumberFormat="1" applyFont="1" applyFill="1" applyBorder="1"/>
    <x:xf numFmtId="0" fontId="3" fillId="4" borderId="55" xfId="0" applyNumberFormat="1" applyFont="1" applyFill="1" applyBorder="1" applyAlignment="1">
      <x:alignment horizontal="left" vertical="top" wrapText="1"/>
    </x:xf>
    <x:xf numFmtId="0" fontId="0" fillId="5" borderId="56" xfId="0" applyNumberFormat="1" applyFont="1" applyFill="1" applyBorder="1" applyAlignment="1">
      <x:alignment horizontal="left" vertical="top" wrapText="1"/>
    </x:xf>
    <x:xf numFmtId="0" fontId="0" fillId="0" borderId="38" xfId="0" applyNumberFormat="1" applyFont="1" applyFill="1" applyBorder="1"/>
    <x:xf numFmtId="0" fontId="3" fillId="4" borderId="38" xfId="0" applyNumberFormat="1" applyFont="1" applyFill="1" applyBorder="1" applyAlignment="1">
      <x:alignment vertical="center"/>
    </x:xf>
    <x:xf numFmtId="0" fontId="0" fillId="0" borderId="39" xfId="0" applyNumberFormat="1" applyFont="1" applyFill="1" applyBorder="1"/>
    <x:xf numFmtId="0" fontId="0" fillId="20" borderId="58" xfId="0" applyNumberFormat="1" applyFont="1" applyFill="1" applyBorder="1" applyAlignment="1">
      <x:alignment vertical="top" wrapText="1"/>
    </x:xf>
    <x:xf numFmtId="0" fontId="0" fillId="20" borderId="58" xfId="0" applyNumberFormat="1" applyFont="1" applyFill="1" applyBorder="1" applyAlignment="1">
      <x:alignment horizontal="left" vertical="top" wrapText="1"/>
    </x:xf>
    <x:xf numFmtId="0" fontId="0" fillId="21" borderId="60" xfId="0" applyNumberFormat="1" applyFont="1" applyFill="1" applyBorder="1" applyAlignment="1">
      <x:alignment vertical="top" wrapText="1"/>
    </x:xf>
    <x:xf numFmtId="164" fontId="0" fillId="21" borderId="60" xfId="0" applyNumberFormat="1" applyFont="1" applyFill="1" applyBorder="1" applyAlignment="1">
      <x:alignment vertical="top" wrapText="1"/>
    </x:xf>
    <x:xf numFmtId="0" fontId="0" fillId="0" borderId="43" xfId="0" applyNumberFormat="1" applyFont="1" applyFill="1" applyBorder="1"/>
    <x:xf numFmtId="0" fontId="3" fillId="4" borderId="60" xfId="0" applyNumberFormat="1" applyFont="1" applyFill="1" applyBorder="1" applyAlignment="1">
      <x:alignment horizontal="left" vertical="top" wrapText="1"/>
    </x:xf>
    <x:xf numFmtId="0" fontId="0" fillId="5" borderId="61" xfId="0" applyNumberFormat="1" applyFont="1" applyFill="1" applyBorder="1" applyAlignment="1">
      <x:alignment horizontal="left" vertical="top" wrapText="1"/>
    </x:xf>
    <x:xf numFmtId="0" fontId="0" fillId="0" borderId="22" xfId="0" applyNumberFormat="1" applyFont="1" applyFill="1" applyBorder="1" applyAlignment="1">
      <x:alignment wrapText="1"/>
    </x:xf>
    <x:xf numFmtId="0" fontId="3" fillId="4" borderId="22" xfId="0" applyNumberFormat="1" applyFont="1" applyFill="1" applyBorder="1" applyAlignment="1">
      <x:alignment vertical="center"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38" xfId="0" applyNumberFormat="1" applyFont="1" applyFill="1" applyBorder="1" applyAlignment="1">
      <x:alignment wrapText="1"/>
    </x:xf>
    <x:xf numFmtId="0" fontId="3" fillId="4" borderId="38" xfId="0" applyNumberFormat="1" applyFont="1" applyFill="1" applyBorder="1" applyAlignment="1">
      <x:alignment vertical="center" wrapText="1"/>
    </x:xf>
    <x:xf numFmtId="0" fontId="0" fillId="0" borderId="39" xfId="0" applyNumberFormat="1" applyFont="1" applyFill="1" applyBorder="1" applyAlignment="1">
      <x:alignment wrapText="1"/>
    </x:xf>
    <x:xf numFmtId="0" fontId="4" fillId="3" borderId="21" xfId="0" applyNumberFormat="1" applyFont="1" applyFill="1" applyBorder="1" applyAlignment="1">
      <x:alignment horizontal="center" vertical="top" wrapText="1"/>
    </x:xf>
    <x:xf numFmtId="0" fontId="4" fillId="3" borderId="22" xfId="0" applyNumberFormat="1" applyFont="1" applyFill="1" applyBorder="1" applyAlignment="1">
      <x:alignment horizontal="center" vertical="top" wrapText="1"/>
    </x:xf>
    <x:xf numFmtId="0" fontId="0" fillId="0" borderId="2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4" fillId="3" borderId="37" xfId="0" applyNumberFormat="1" applyFont="1" applyFill="1" applyBorder="1" applyAlignment="1">
      <x:alignment horizontal="center" vertical="top" wrapText="1"/>
    </x:xf>
    <x:xf numFmtId="0" fontId="4" fillId="3"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4"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16" borderId="63" xfId="0" applyNumberFormat="1" applyFont="1" applyFill="1" applyBorder="1" applyAlignment="1">
      <x:alignment vertical="top" wrapText="1"/>
    </x:xf>
    <x:xf numFmtId="0" fontId="0" fillId="16" borderId="65" xfId="0" applyNumberFormat="1" applyFont="1" applyFill="1" applyBorder="1" applyAlignment="1">
      <x:alignment vertical="top" wrapText="1"/>
    </x:xf>
    <x:xf numFmtId="0" fontId="3" fillId="4" borderId="62" xfId="0" applyNumberFormat="1" applyFont="1" applyFill="1" applyBorder="1" applyAlignment="1">
      <x:alignment vertical="center" wrapText="1"/>
    </x:xf>
    <x:xf numFmtId="0" fontId="3" fillId="4" borderId="52"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64"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2" fontId="0" fillId="17" borderId="29" xfId="0" applyNumberFormat="1" applyFont="1" applyFill="1" applyBorder="1" applyAlignment="1">
      <x:alignment vertical="top" wrapText="1"/>
    </x:xf>
    <x:xf numFmtId="2" fontId="0" fillId="17" borderId="45" xfId="0" applyNumberFormat="1" applyFont="1" applyFill="1" applyBorder="1" applyAlignment="1">
      <x:alignment vertical="top" wrapText="1"/>
    </x:xf>
    <x:xf numFmtId="0" fontId="3" fillId="17" borderId="29" xfId="0" applyNumberFormat="1" applyFont="1" applyFill="1" applyBorder="1" applyAlignment="1">
      <x:alignment vertical="top" wrapText="1"/>
    </x:xf>
    <x:xf numFmtId="2" fontId="3" fillId="17" borderId="29" xfId="0" applyNumberFormat="1" applyFont="1" applyFill="1" applyBorder="1" applyAlignment="1">
      <x:alignment vertical="top" wrapText="1"/>
    </x:xf>
    <x:xf numFmtId="0" fontId="3" fillId="17" borderId="45" xfId="0" applyNumberFormat="1" applyFont="1" applyFill="1" applyBorder="1" applyAlignment="1">
      <x:alignment vertical="top" wrapText="1"/>
    </x:xf>
    <x:xf numFmtId="2" fontId="3" fillId="17" borderId="45" xfId="0" applyNumberFormat="1" applyFont="1" applyFill="1" applyBorder="1" applyAlignment="1">
      <x:alignment vertical="top" wrapText="1"/>
    </x:xf>
    <x:xf numFmtId="164" fontId="0" fillId="16" borderId="29" xfId="0" applyNumberFormat="1" applyFont="1" applyFill="1" applyBorder="1" applyAlignment="1">
      <x:alignment horizontal="left" vertical="top" wrapText="1"/>
    </x:xf>
    <x:xf numFmtId="0" fontId="0" fillId="16" borderId="29" xfId="0" applyNumberFormat="1" applyFont="1" applyFill="1" applyBorder="1" applyAlignment="1">
      <x:alignment horizontal="left" vertical="top" wrapText="1"/>
    </x:xf>
    <x:xf numFmtId="164" fontId="0" fillId="16" borderId="45" xfId="0" applyNumberFormat="1" applyFont="1" applyFill="1" applyBorder="1" applyAlignment="1">
      <x:alignment horizontal="left" vertical="top" wrapText="1"/>
    </x:xf>
    <x:xf numFmtId="0" fontId="0" fillId="16" borderId="45" xfId="0" applyNumberFormat="1" applyFont="1" applyFill="1" applyBorder="1" applyAlignment="1">
      <x:alignment horizontal="left" vertical="top" wrapText="1"/>
    </x:xf>
    <x:xf numFmtId="164" fontId="0" fillId="16" borderId="29" xfId="0" applyNumberFormat="1" applyFont="1" applyFill="1" applyBorder="1" applyAlignment="1">
      <x:alignment vertical="top" wrapText="1"/>
    </x:xf>
    <x:xf numFmtId="164" fontId="0" fillId="16" borderId="45" xfId="0" applyNumberFormat="1" applyFont="1" applyFill="1" applyBorder="1" applyAlignment="1">
      <x:alignment vertical="top" wrapText="1"/>
    </x:xf>
    <x:xf numFmtId="164" fontId="0" fillId="16" borderId="29" xfId="0" applyNumberFormat="1" applyFont="1" applyFill="1" applyBorder="1" applyAlignment="1">
      <x:alignment horizontal="center" vertical="top" wrapText="1"/>
    </x:xf>
    <x:xf numFmtId="164" fontId="0" fillId="16" borderId="45" xfId="0" applyNumberFormat="1" applyFont="1" applyFill="1" applyBorder="1" applyAlignment="1">
      <x:alignment horizontal="center" vertical="top" wrapText="1"/>
    </x:xf>
    <x:xf numFmtId="0" fontId="3" fillId="0" borderId="21" xfId="0" applyNumberFormat="1" applyFont="1" applyFill="1" applyBorder="1" applyAlignment="1">
      <x:alignment vertical="center"/>
    </x:xf>
    <x:xf numFmtId="0" fontId="3" fillId="0" borderId="22" xfId="0" applyNumberFormat="1" applyFont="1" applyFill="1" applyBorder="1" applyAlignment="1">
      <x:alignment vertical="center"/>
    </x:xf>
    <x:xf numFmtId="0" fontId="3" fillId="0" borderId="23" xfId="0" applyNumberFormat="1" applyFont="1" applyFill="1" applyBorder="1" applyAlignment="1">
      <x:alignment vertical="center"/>
    </x:xf>
    <x:xf numFmtId="0" fontId="3" fillId="4" borderId="52" xfId="0" applyNumberFormat="1" applyFont="1" applyFill="1" applyBorder="1" applyAlignment="1">
      <x:alignment vertical="top"/>
    </x:xf>
    <x:xf numFmtId="0" fontId="0" fillId="0" borderId="0" xfId="0" applyNumberFormat="1" applyFont="1" applyFill="1" applyBorder="1" applyAlignment="1">
      <x:alignment vertical="top"/>
    </x:xf>
    <x:xf numFmtId="0" fontId="3" fillId="4" borderId="29" xfId="0" applyNumberFormat="1" applyFont="1" applyFill="1" applyBorder="1" applyAlignment="1">
      <x:alignment vertical="top"/>
    </x:xf>
    <x:xf numFmtId="164" fontId="0" fillId="16" borderId="53" xfId="0" applyNumberFormat="1" applyFont="1" applyFill="1" applyBorder="1" applyAlignment="1">
      <x:alignment horizontal="left" vertical="top" wrapText="1"/>
    </x:xf>
    <x:xf numFmtId="0" fontId="3" fillId="4" borderId="32" xfId="0" applyNumberFormat="1" applyFont="1" applyFill="1" applyBorder="1" applyAlignment="1">
      <x:alignment horizontal="center" vertical="top"/>
    </x:xf>
    <x:xf numFmtId="0" fontId="0" fillId="16" borderId="53" xfId="0" applyNumberFormat="1" applyFont="1" applyFill="1" applyBorder="1" applyAlignment="1">
      <x:alignment horizontal="left" vertical="top" wrapText="1"/>
    </x:xf>
    <x:xf numFmtId="0" fontId="3" fillId="4" borderId="35" xfId="0" applyNumberFormat="1" applyFont="1" applyFill="1" applyBorder="1" applyAlignment="1">
      <x:alignment horizontal="center" vertical="top"/>
    </x:xf>
    <x:xf numFmtId="0" fontId="0" fillId="5" borderId="53" xfId="0" applyNumberFormat="1" applyFont="1" applyFill="1" applyBorder="1" applyAlignment="1">
      <x:alignment horizontal="left" vertical="top" wrapText="1"/>
    </x:xf>
    <x:xf numFmtId="0" fontId="3" fillId="4" borderId="54" xfId="0" applyNumberFormat="1" applyFont="1" applyFill="1" applyBorder="1" applyAlignment="1">
      <x:alignment vertical="top"/>
    </x:xf>
    <x:xf numFmtId="2" fontId="3" fillId="17" borderId="55" xfId="0" applyNumberFormat="1" applyFont="1" applyFill="1" applyBorder="1" applyAlignment="1">
      <x:alignment vertical="top" wrapText="1"/>
    </x:xf>
    <x:xf numFmtId="0" fontId="0" fillId="0" borderId="27" xfId="0" applyNumberFormat="1" applyFont="1" applyFill="1" applyBorder="1" applyAlignment="1">
      <x:alignment vertical="top"/>
    </x:xf>
    <x:xf numFmtId="0" fontId="3" fillId="4" borderId="66" xfId="0" applyNumberFormat="1" applyFont="1" applyFill="1" applyBorder="1" applyAlignment="1">
      <x:alignment horizontal="center" vertical="top"/>
    </x:xf>
    <x:xf numFmtId="0" fontId="3" fillId="0" borderId="37" xfId="0" applyNumberFormat="1" applyFont="1" applyFill="1" applyBorder="1" applyAlignment="1">
      <x:alignment vertical="center"/>
    </x:xf>
    <x:xf numFmtId="0" fontId="3" fillId="0" borderId="38" xfId="0" applyNumberFormat="1" applyFont="1" applyFill="1" applyBorder="1" applyAlignment="1">
      <x:alignment vertical="center"/>
    </x:xf>
    <x:xf numFmtId="0" fontId="3" fillId="0" borderId="39" xfId="0" applyNumberFormat="1" applyFont="1" applyFill="1" applyBorder="1" applyAlignment="1">
      <x:alignment vertical="center"/>
    </x:xf>
    <x:xf numFmtId="0" fontId="3" fillId="4" borderId="57" xfId="0" applyNumberFormat="1" applyFont="1" applyFill="1" applyBorder="1" applyAlignment="1">
      <x:alignment vertical="top"/>
    </x:xf>
    <x:xf numFmtId="164" fontId="0" fillId="16" borderId="58" xfId="0" applyNumberFormat="1" applyFont="1" applyFill="1" applyBorder="1" applyAlignment="1">
      <x:alignment horizontal="left" vertical="top" wrapText="1"/>
    </x:xf>
    <x:xf numFmtId="0" fontId="0" fillId="16" borderId="58" xfId="0" applyNumberFormat="1" applyFont="1" applyFill="1" applyBorder="1" applyAlignment="1">
      <x:alignment horizontal="left" vertical="top" wrapText="1"/>
    </x:xf>
    <x:xf numFmtId="0" fontId="0" fillId="5" borderId="58" xfId="0" applyNumberFormat="1" applyFont="1" applyFill="1" applyBorder="1" applyAlignment="1">
      <x:alignment horizontal="left" vertical="top" wrapText="1"/>
    </x:xf>
    <x:xf numFmtId="0" fontId="3" fillId="4" borderId="59" xfId="0" applyNumberFormat="1" applyFont="1" applyFill="1" applyBorder="1" applyAlignment="1">
      <x:alignment vertical="top"/>
    </x:xf>
    <x:xf numFmtId="2" fontId="3" fillId="17" borderId="60" xfId="0" applyNumberFormat="1" applyFont="1" applyFill="1" applyBorder="1" applyAlignment="1">
      <x:alignment vertical="top" wrapText="1"/>
    </x:xf>
    <x:xf numFmtId="0" fontId="0" fillId="0" borderId="43" xfId="0" applyNumberFormat="1" applyFont="1" applyFill="1" applyBorder="1" applyAlignment="1">
      <x:alignment vertical="top"/>
    </x:xf>
    <x:xf numFmtId="0" fontId="3" fillId="4" borderId="67" xfId="0" applyNumberFormat="1" applyFont="1" applyFill="1" applyBorder="1" applyAlignment="1">
      <x:alignment horizontal="center" vertical="top"/>
    </x:xf>
    <x:xf numFmtId="0" fontId="3" fillId="0" borderId="52" xfId="0" applyNumberFormat="1" applyFont="1" applyFill="1" applyBorder="1" applyAlignment="1">
      <x:alignment vertical="top"/>
    </x:xf>
    <x:xf numFmtId="0" fontId="3" fillId="0" borderId="29" xfId="0" applyNumberFormat="1" applyFont="1" applyFill="1" applyBorder="1" applyAlignment="1">
      <x:alignment horizontal="left" vertical="top" wrapText="1"/>
    </x:xf>
    <x:xf numFmtId="0" fontId="0" fillId="0" borderId="53"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0" borderId="54" xfId="0" applyNumberFormat="1" applyFont="1" applyFill="1" applyBorder="1" applyAlignment="1">
      <x:alignment vertical="center"/>
    </x:xf>
    <x:xf numFmtId="164" fontId="0" fillId="16" borderId="55"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3" fillId="0" borderId="57" xfId="0" applyNumberFormat="1" applyFont="1" applyFill="1" applyBorder="1" applyAlignment="1">
      <x:alignment vertical="top"/>
    </x:xf>
    <x:xf numFmtId="0" fontId="0" fillId="0" borderId="58"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3" fillId="0" borderId="59" xfId="0" applyNumberFormat="1" applyFont="1" applyFill="1" applyBorder="1" applyAlignment="1">
      <x:alignment vertical="center"/>
    </x:xf>
    <x:xf numFmtId="164" fontId="0" fillId="16" borderId="60"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3" fillId="0" borderId="52" xfId="0" applyNumberFormat="1" applyFont="1" applyFill="1" applyBorder="1" applyAlignment="1">
      <x:alignment horizontal="center" vertical="center"/>
    </x:xf>
    <x:xf numFmtId="0" fontId="0" fillId="16" borderId="53" xfId="0" applyNumberFormat="1" applyFont="1" applyFill="1" applyBorder="1" applyAlignment="1">
      <x:alignment horizontal="center" vertical="top" wrapText="1"/>
    </x:xf>
    <x:xf numFmtId="164" fontId="0" fillId="16" borderId="53"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center"/>
    </x:xf>
    <x:xf numFmtId="164" fontId="0" fillId="16" borderId="56" xfId="0" applyNumberFormat="1" applyFont="1" applyFill="1" applyBorder="1" applyAlignment="1">
      <x:alignment horizontal="center" vertical="top" wrapText="1"/>
    </x:xf>
    <x:xf numFmtId="0" fontId="3" fillId="0" borderId="57" xfId="0" applyNumberFormat="1" applyFont="1" applyFill="1" applyBorder="1" applyAlignment="1">
      <x:alignment horizontal="center" vertical="center"/>
    </x:xf>
    <x:xf numFmtId="0" fontId="0" fillId="16" borderId="58" xfId="0" applyNumberFormat="1" applyFont="1" applyFill="1" applyBorder="1" applyAlignment="1">
      <x:alignment horizontal="center" vertical="top" wrapText="1"/>
    </x:xf>
    <x:xf numFmtId="164" fontId="0" fillId="16" borderId="58"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center"/>
    </x:xf>
    <x:xf numFmtId="164" fontId="0" fillId="16" borderId="61" xfId="0" applyNumberFormat="1" applyFont="1" applyFill="1" applyBorder="1" applyAlignment="1">
      <x:alignment horizontal="center" vertical="top" wrapText="1"/>
    </x:xf>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3" fillId="4" borderId="52"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3" fillId="4" borderId="32" xfId="0" applyNumberFormat="1" applyFont="1" applyFill="1" applyBorder="1" applyAlignment="1">
      <x:alignment horizontal="center" vertical="top" wrapText="1"/>
    </x:xf>
    <x:xf numFmtId="0" fontId="3" fillId="4" borderId="35" xfId="0" applyNumberFormat="1" applyFont="1" applyFill="1" applyBorder="1" applyAlignment="1">
      <x:alignment horizontal="center" vertical="top" wrapText="1"/>
    </x:xf>
    <x:xf numFmtId="0" fontId="3" fillId="4" borderId="54" xfId="0" applyNumberFormat="1" applyFont="1" applyFill="1" applyBorder="1" applyAlignment="1">
      <x:alignment vertical="top" wrapText="1"/>
    </x:xf>
    <x:xf numFmtId="0" fontId="3" fillId="4" borderId="66" xfId="0" applyNumberFormat="1" applyFont="1" applyFill="1" applyBorder="1" applyAlignment="1">
      <x:alignment horizontal="center" vertical="top" wrapText="1"/>
    </x:xf>
    <x:xf numFmtId="0" fontId="3" fillId="0" borderId="52" xfId="0" applyNumberFormat="1" applyFont="1" applyFill="1" applyBorder="1" applyAlignment="1">
      <x:alignment vertical="top" wrapText="1"/>
    </x:xf>
    <x:xf numFmtId="0" fontId="3" fillId="0" borderId="54"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52" xfId="0" applyNumberFormat="1" applyFont="1" applyFill="1" applyBorder="1" applyAlignment="1">
      <x:alignment horizontal="center" vertical="center" wrapText="1"/>
    </x:xf>
    <x:xf numFmtId="0" fontId="3" fillId="0" borderId="54"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0" fontId="3" fillId="0" borderId="38" xfId="0" applyNumberFormat="1" applyFont="1" applyFill="1" applyBorder="1" applyAlignment="1">
      <x:alignment vertical="center" wrapText="1"/>
    </x:xf>
    <x:xf numFmtId="0" fontId="3" fillId="0" borderId="39" xfId="0" applyNumberFormat="1" applyFont="1" applyFill="1" applyBorder="1" applyAlignment="1">
      <x:alignment vertical="center" wrapText="1"/>
    </x:xf>
    <x:xf numFmtId="0" fontId="3" fillId="4" borderId="57" xfId="0" applyNumberFormat="1" applyFont="1" applyFill="1" applyBorder="1" applyAlignment="1">
      <x:alignment vertical="top" wrapText="1"/>
    </x:xf>
    <x:xf numFmtId="0" fontId="3" fillId="4" borderId="48" xfId="0" applyNumberFormat="1" applyFont="1" applyFill="1" applyBorder="1" applyAlignment="1">
      <x:alignment horizontal="center" vertical="top" wrapText="1"/>
    </x:xf>
    <x:xf numFmtId="0" fontId="3" fillId="4" borderId="51" xfId="0" applyNumberFormat="1" applyFont="1" applyFill="1" applyBorder="1" applyAlignment="1">
      <x:alignment horizontal="center" vertical="top" wrapText="1"/>
    </x:xf>
    <x:xf numFmtId="0" fontId="3" fillId="4" borderId="59" xfId="0" applyNumberFormat="1" applyFont="1" applyFill="1" applyBorder="1" applyAlignment="1">
      <x:alignment vertical="top" wrapText="1"/>
    </x:xf>
    <x:xf numFmtId="0" fontId="3" fillId="4" borderId="67" xfId="0" applyNumberFormat="1" applyFont="1" applyFill="1" applyBorder="1" applyAlignment="1">
      <x:alignment horizontal="center" vertical="top" wrapText="1"/>
    </x:xf>
    <x:xf numFmtId="0" fontId="3" fillId="0" borderId="57" xfId="0" applyNumberFormat="1" applyFont="1" applyFill="1" applyBorder="1" applyAlignment="1">
      <x:alignment vertical="top" wrapText="1"/>
    </x:xf>
    <x:xf numFmtId="0" fontId="3" fillId="0" borderId="59" xfId="0" applyNumberFormat="1" applyFont="1" applyFill="1" applyBorder="1" applyAlignment="1">
      <x:alignment vertical="center" wrapText="1"/>
    </x:xf>
    <x:xf numFmtId="0" fontId="3" fillId="0" borderId="36" xfId="0" applyNumberFormat="1" applyFont="1" applyFill="1" applyBorder="1" applyAlignment="1">
      <x:alignment vertical="center" wrapText="1"/>
    </x:xf>
    <x:xf numFmtId="0" fontId="3" fillId="0" borderId="57"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0" borderId="21"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5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2"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top" wrapText="1"/>
    </x:xf>
    <x:xf numFmtId="0" fontId="3" fillId="0" borderId="37"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3" fillId="0" borderId="57"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top" wrapText="1"/>
    </x:xf>
    <x:xf numFmtId="0" fontId="0" fillId="20" borderId="0" xfId="0" applyNumberFormat="1" applyFont="1" applyFill="1" applyBorder="1"/>
    <x:xf numFmtId="0" fontId="0" fillId="20" borderId="36" xfId="0" applyNumberFormat="1" applyFont="1" applyFill="1" applyBorder="1"/>
    <x:xf numFmtId="0" fontId="8" fillId="20" borderId="0" xfId="0" applyNumberFormat="1" applyFont="1" applyFill="1" applyBorder="1"/>
    <x:xf numFmtId="0" fontId="8" fillId="20" borderId="36" xfId="0" applyNumberFormat="1" applyFont="1" applyFill="1" applyBorder="1"/>
    <x:xf numFmtId="0" fontId="8" fillId="20" borderId="0" xfId="0" applyNumberFormat="1" applyFont="1" applyFill="1" applyBorder="1" applyAlignment="1">
      <x:alignment wrapText="1"/>
    </x:xf>
    <x:xf numFmtId="0" fontId="8" fillId="20" borderId="36" xfId="0" applyNumberFormat="1" applyFont="1" applyFill="1" applyBorder="1" applyAlignment="1">
      <x:alignment wrapText="1"/>
    </x:xf>
    <x:xf numFmtId="0" fontId="8" fillId="16" borderId="0" xfId="0" applyNumberFormat="1" applyFont="1" applyFill="1" applyBorder="1" applyAlignment="1">
      <x:alignment horizontal="center"/>
    </x:xf>
    <x:xf numFmtId="0" fontId="8" fillId="16" borderId="36"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8" fillId="16" borderId="36" xfId="0" applyNumberFormat="1" applyFont="1" applyFill="1" applyBorder="1" applyAlignment="1">
      <x:alignment horizontal="center" vertical="center"/>
    </x:xf>
    <x:xf numFmtId="0" fontId="8" fillId="17" borderId="0" xfId="0" applyNumberFormat="1" applyFont="1" applyFill="1" applyBorder="1" applyAlignment="1">
      <x:alignment horizontal="center"/>
    </x:xf>
    <x:xf numFmtId="0" fontId="8" fillId="17" borderId="36" xfId="0" applyNumberFormat="1" applyFont="1" applyFill="1" applyBorder="1" applyAlignment="1">
      <x:alignment horizontal="center"/>
    </x:xf>
    <x:xf numFmtId="0" fontId="8" fillId="17" borderId="0" xfId="0" applyNumberFormat="1" applyFont="1" applyFill="1" applyBorder="1" applyAlignment="1">
      <x:alignment horizontal="center" vertical="center"/>
    </x:xf>
    <x:xf numFmtId="0" fontId="8" fillId="17" borderId="36" xfId="0" applyNumberFormat="1" applyFont="1" applyFill="1" applyBorder="1" applyAlignment="1">
      <x:alignment horizontal="center" vertical="center"/>
    </x:xf>
    <x:xf numFmtId="0" fontId="8" fillId="18" borderId="0" xfId="0" applyNumberFormat="1" applyFont="1" applyFill="1" applyBorder="1" applyAlignment="1">
      <x:alignment horizontal="center"/>
    </x:xf>
    <x:xf numFmtId="0" fontId="8" fillId="18" borderId="36" xfId="0" applyNumberFormat="1" applyFont="1" applyFill="1" applyBorder="1" applyAlignment="1">
      <x:alignment horizontal="center"/>
    </x:xf>
    <x:xf numFmtId="0" fontId="8" fillId="18" borderId="0" xfId="0" applyNumberFormat="1" applyFont="1" applyFill="1" applyBorder="1" applyAlignment="1">
      <x:alignment horizontal="center" vertical="center"/>
    </x:xf>
    <x:xf numFmtId="0" fontId="8" fillId="18" borderId="36" xfId="0" applyNumberFormat="1" applyFont="1" applyFill="1" applyBorder="1" applyAlignment="1">
      <x:alignment horizontal="center" vertical="center"/>
    </x:xf>
    <x:xf numFmtId="0" fontId="8" fillId="19" borderId="0" xfId="0" applyNumberFormat="1" applyFont="1" applyFill="1" applyBorder="1" applyAlignment="1">
      <x:alignment horizontal="center"/>
    </x:xf>
    <x:xf numFmtId="0" fontId="8" fillId="19" borderId="36" xfId="0" applyNumberFormat="1" applyFont="1" applyFill="1" applyBorder="1" applyAlignment="1">
      <x:alignment horizontal="center"/>
    </x:xf>
    <x:xf numFmtId="0" fontId="8" fillId="19" borderId="0" xfId="0" applyNumberFormat="1" applyFont="1" applyFill="1" applyBorder="1" applyAlignment="1">
      <x:alignment horizontal="center" vertical="center"/>
    </x:xf>
    <x:xf numFmtId="0" fontId="8" fillId="19" borderId="36" xfId="0" applyNumberFormat="1" applyFont="1" applyFill="1" applyBorder="1" applyAlignment="1">
      <x:alignment horizontal="center" vertical="center"/>
    </x:xf>
    <x:xf numFmtId="0" fontId="8"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16" borderId="36" xfId="0" applyNumberFormat="1" applyFont="1" applyFill="1" applyBorder="1" applyAlignment="1">
      <x:alignment horizontal="center" vertical="center" wrapText="1"/>
    </x:xf>
    <x:xf numFmtId="0" fontId="8" fillId="17" borderId="36" xfId="0" applyNumberFormat="1" applyFont="1" applyFill="1" applyBorder="1" applyAlignment="1">
      <x:alignment horizontal="center" vertical="center" wrapText="1"/>
    </x:xf>
    <x:xf numFmtId="0" fontId="8" fillId="18" borderId="36" xfId="0" applyNumberFormat="1" applyFont="1" applyFill="1" applyBorder="1" applyAlignment="1">
      <x:alignment horizontal="center" vertical="center" wrapText="1"/>
    </x:xf>
    <x:xf numFmtId="0" fontId="8" fillId="19" borderId="36" xfId="0" applyNumberFormat="1" applyFont="1" applyFill="1" applyBorder="1" applyAlignment="1">
      <x:alignment horizontal="center" vertical="center" wrapText="1"/>
    </x:xf>
    <x:xf numFmtId="0" fontId="3" fillId="21" borderId="0" xfId="0" applyNumberFormat="1" applyFont="1" applyFill="1" applyBorder="1" applyAlignment="1">
      <x:alignment vertical="center"/>
    </x:xf>
    <x:xf numFmtId="0" fontId="0" fillId="21" borderId="0" xfId="0" applyNumberFormat="1" applyFont="1" applyFill="1" applyBorder="1" applyAlignment="1">
      <x:alignment vertical="top" wrapText="1"/>
    </x:xf>
    <x:xf numFmtId="0" fontId="3" fillId="21" borderId="36" xfId="0" applyNumberFormat="1" applyFont="1" applyFill="1" applyBorder="1" applyAlignment="1">
      <x:alignment vertical="center"/>
    </x:xf>
    <x:xf numFmtId="0" fontId="0" fillId="21" borderId="36" xfId="0" applyNumberFormat="1" applyFont="1" applyFill="1" applyBorder="1" applyAlignment="1">
      <x:alignment vertical="top" wrapText="1"/>
    </x:xf>
    <x:xf numFmtId="0" fontId="9" fillId="18" borderId="29" xfId="0" applyNumberFormat="1" applyFont="1" applyFill="1" applyBorder="1" applyAlignment="1">
      <x:alignment horizontal="center" vertical="center" wrapText="1"/>
    </x:xf>
    <x:xf numFmtId="0" fontId="9" fillId="20" borderId="29" xfId="0" applyNumberFormat="1" applyFont="1" applyFill="1" applyBorder="1" applyAlignment="1">
      <x:alignment horizontal="center" vertical="center" wrapText="1"/>
    </x:xf>
    <x:xf numFmtId="0" fontId="9" fillId="16" borderId="29" xfId="0" applyNumberFormat="1" applyFont="1" applyFill="1" applyBorder="1" applyAlignment="1">
      <x:alignment horizontal="center" vertical="center" wrapText="1"/>
    </x:xf>
    <x:xf numFmtId="0" fontId="9" fillId="17" borderId="29" xfId="0" applyNumberFormat="1" applyFont="1" applyFill="1" applyBorder="1" applyAlignment="1">
      <x:alignment horizontal="center" vertical="center" wrapText="1"/>
    </x:xf>
    <x:xf numFmtId="0" fontId="9" fillId="19" borderId="29" xfId="0" applyNumberFormat="1" applyFont="1" applyFill="1" applyBorder="1" applyAlignment="1">
      <x:alignment horizontal="center" vertical="center" wrapText="1"/>
    </x:xf>
    <x:xf numFmtId="0" fontId="9" fillId="18" borderId="55" xfId="0" applyNumberFormat="1" applyFont="1" applyFill="1" applyBorder="1" applyAlignment="1">
      <x:alignment horizontal="center" vertical="center" wrapText="1"/>
    </x:xf>
    <x:xf numFmtId="0" fontId="9" fillId="20" borderId="55" xfId="0" applyNumberFormat="1" applyFont="1" applyFill="1" applyBorder="1" applyAlignment="1">
      <x:alignment horizontal="center" vertical="center" wrapText="1"/>
    </x:xf>
    <x:xf numFmtId="0" fontId="9" fillId="16" borderId="55" xfId="0" applyNumberFormat="1" applyFont="1" applyFill="1" applyBorder="1" applyAlignment="1">
      <x:alignment horizontal="center" vertical="center" wrapText="1"/>
    </x:xf>
    <x:xf numFmtId="0" fontId="9" fillId="17" borderId="55" xfId="0" applyNumberFormat="1" applyFont="1" applyFill="1" applyBorder="1" applyAlignment="1">
      <x:alignment horizontal="center" vertical="center" wrapText="1"/>
    </x:xf>
    <x:xf numFmtId="0" fontId="9" fillId="18" borderId="45" xfId="0" applyNumberFormat="1" applyFont="1" applyFill="1" applyBorder="1" applyAlignment="1">
      <x:alignment horizontal="center" vertical="center" wrapText="1"/>
    </x:xf>
    <x:xf numFmtId="0" fontId="9" fillId="20" borderId="45" xfId="0" applyNumberFormat="1" applyFont="1" applyFill="1" applyBorder="1" applyAlignment="1">
      <x:alignment horizontal="center" vertical="center" wrapText="1"/>
    </x:xf>
    <x:xf numFmtId="0" fontId="9" fillId="16" borderId="45" xfId="0" applyNumberFormat="1" applyFont="1" applyFill="1" applyBorder="1" applyAlignment="1">
      <x:alignment horizontal="center" vertical="center" wrapText="1"/>
    </x:xf>
    <x:xf numFmtId="0" fontId="9" fillId="17" borderId="45" xfId="0" applyNumberFormat="1" applyFont="1" applyFill="1" applyBorder="1" applyAlignment="1">
      <x:alignment horizontal="center" vertical="center" wrapText="1"/>
    </x:xf>
    <x:xf numFmtId="0" fontId="9" fillId="19" borderId="45" xfId="0" applyNumberFormat="1" applyFont="1" applyFill="1" applyBorder="1" applyAlignment="1">
      <x:alignment horizontal="center" vertical="center" wrapText="1"/>
    </x:xf>
    <x:xf numFmtId="0" fontId="9" fillId="18" borderId="60" xfId="0" applyNumberFormat="1" applyFont="1" applyFill="1" applyBorder="1" applyAlignment="1">
      <x:alignment horizontal="center" vertical="center" wrapText="1"/>
    </x:xf>
    <x:xf numFmtId="0" fontId="9" fillId="20" borderId="60" xfId="0" applyNumberFormat="1" applyFont="1" applyFill="1" applyBorder="1" applyAlignment="1">
      <x:alignment horizontal="center" vertical="center" wrapText="1"/>
    </x:xf>
    <x:xf numFmtId="0" fontId="9" fillId="16" borderId="60" xfId="0" applyNumberFormat="1" applyFont="1" applyFill="1" applyBorder="1" applyAlignment="1">
      <x:alignment horizontal="center" vertical="center" wrapText="1"/>
    </x:xf>
    <x:xf numFmtId="0" fontId="9" fillId="17" borderId="60" xfId="0" applyNumberFormat="1" applyFont="1" applyFill="1" applyBorder="1" applyAlignment="1">
      <x:alignment horizontal="center" vertical="center" wrapText="1"/>
    </x:xf>
    <x:xf numFmtId="0" fontId="3" fillId="16" borderId="63" xfId="0" applyNumberFormat="1" applyFont="1" applyFill="1" applyBorder="1" applyAlignment="1">
      <x:alignment vertical="top" wrapText="1"/>
    </x:xf>
    <x:xf numFmtId="0" fontId="3" fillId="16" borderId="65" xfId="0" applyNumberFormat="1" applyFont="1" applyFill="1" applyBorder="1" applyAlignment="1">
      <x:alignment vertical="top" wrapText="1"/>
    </x:xf>
    <x:xf numFmtId="0" fontId="3" fillId="16" borderId="63" xfId="0" applyNumberFormat="1" applyFont="1" applyFill="1" applyBorder="1" applyAlignment="1">
      <x:alignment horizontal="center" vertical="top" wrapText="1"/>
    </x:xf>
    <x:xf numFmtId="0" fontId="3" fillId="16" borderId="65" xfId="0" applyNumberFormat="1" applyFont="1" applyFill="1" applyBorder="1" applyAlignment="1">
      <x:alignment horizontal="center" vertical="top" wrapText="1"/>
    </x:xf>
    <x:xf numFmtId="0" fontId="3" fillId="16" borderId="63" xfId="0" applyNumberFormat="1" applyFont="1" applyFill="1" applyBorder="1" applyAlignment="1">
      <x:alignment horizontal="center" vertical="center" wrapText="1"/>
    </x:xf>
    <x:xf numFmtId="0" fontId="0" fillId="16" borderId="53" xfId="0" applyNumberFormat="1" applyFont="1" applyFill="1" applyBorder="1" applyAlignment="1">
      <x:alignment vertical="center" wrapText="1"/>
    </x:xf>
    <x:xf numFmtId="0" fontId="0" fillId="16" borderId="56" xfId="0" applyNumberFormat="1" applyFont="1" applyFill="1" applyBorder="1" applyAlignment="1">
      <x:alignment vertical="center" wrapText="1"/>
    </x:xf>
    <x:xf numFmtId="0" fontId="3" fillId="16" borderId="65" xfId="0" applyNumberFormat="1" applyFont="1" applyFill="1" applyBorder="1" applyAlignment="1">
      <x:alignment horizontal="center" vertical="center" wrapText="1"/>
    </x:xf>
    <x:xf numFmtId="0" fontId="0" fillId="16" borderId="58" xfId="0" applyNumberFormat="1" applyFont="1" applyFill="1" applyBorder="1" applyAlignment="1">
      <x:alignment vertical="center" wrapText="1"/>
    </x:xf>
    <x:xf numFmtId="0" fontId="0" fillId="16" borderId="6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4" fillId="13" borderId="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8" xfId="0" applyNumberFormat="1" applyFont="1" applyFill="1" applyBorder="1" applyAlignment="1">
      <x:alignment wrapText="1"/>
    </x:xf>
    <x:xf numFmtId="0" fontId="3" fillId="4" borderId="0" xfId="0" applyNumberFormat="1" applyFont="1" applyFill="1" applyBorder="1" applyAlignment="1">
      <x:alignment vertical="top"/>
    </x:xf>
    <x:xf numFmtId="0" fontId="5" fillId="0" borderId="29"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6" borderId="29" xfId="0" applyNumberFormat="1" applyFont="1" applyFill="1" applyBorder="1" applyAlignment="1">
      <x:alignment vertical="center" wrapText="1"/>
    </x:xf>
    <x:xf numFmtId="0" fontId="3" fillId="4" borderId="29" xfId="0" applyNumberFormat="1" applyFont="1" applyFill="1" applyBorder="1" applyAlignment="1">
      <x:alignment vertical="center"/>
    </x:xf>
    <x:xf numFmtId="0" fontId="0" fillId="6" borderId="2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3" fillId="4" borderId="29" xfId="0" applyNumberFormat="1" applyFont="1" applyFill="1" applyBorder="1" applyAlignment="1">
      <x:alignment vertical="center" wrapText="1"/>
    </x:xf>
    <x:xf numFmtId="0" fontId="0" fillId="0" borderId="29" xfId="0" applyNumberFormat="1" applyFont="1" applyFill="1" applyBorder="1" applyAlignment="1">
      <x:alignment horizontal="center" vertical="top" wrapText="1"/>
    </x:xf>
    <x:xf numFmtId="0" fontId="3" fillId="0" borderId="0" xfId="0" applyNumberFormat="1" applyFont="1" applyFill="1" applyBorder="1" applyAlignment="1">
      <x:alignment vertical="center"/>
    </x:xf>
    <x:xf numFmtId="164" fontId="0" fillId="5" borderId="29"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0" fillId="5" borderId="29" xfId="0" applyNumberFormat="1" applyFont="1" applyFill="1" applyBorder="1" applyAlignment="1">
      <x:alignment horizontal="left" vertical="top" wrapText="1"/>
    </x:xf>
    <x:xf numFmtId="0" fontId="3" fillId="4" borderId="29" xfId="0" applyNumberFormat="1" applyFont="1" applyFill="1" applyBorder="1" applyAlignment="1">
      <x:alignment horizontal="left" vertical="top" wrapText="1"/>
    </x:xf>
    <x:xf numFmtId="0" fontId="0" fillId="0" borderId="0" xfId="0" applyNumberFormat="1" applyFont="1" applyFill="1" applyBorder="1" applyAlignment="1">
      <x:alignment horizontal="center"/>
    </x:xf>
    <x:xf numFmtId="0" fontId="3" fillId="0" borderId="29" xfId="0" applyNumberFormat="1" applyFont="1" applyFill="1" applyBorder="1" applyAlignment="1">
      <x:alignment horizontal="center" vertical="center"/>
    </x:xf>
    <x:xf numFmtId="164" fontId="0" fillId="0" borderId="29" xfId="0" applyNumberFormat="1" applyFont="1" applyFill="1" applyBorder="1" applyAlignment="1">
      <x:alignment horizontal="center" vertical="top" wrapText="1"/>
    </x:xf>
    <x:xf numFmtId="0" fontId="3" fillId="0" borderId="29" xfId="0" applyNumberFormat="1" applyFont="1" applyFill="1" applyBorder="1" applyAlignment="1">
      <x:alignment vertical="center"/>
    </x:xf>
    <x:xf numFmtId="164" fontId="0" fillId="0" borderId="2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30" xfId="0" applyNumberFormat="1" applyFont="1" applyFill="1" applyBorder="1" applyAlignment="1">
      <x:alignment horizontal="center" vertical="center" wrapText="1"/>
    </x:xf>
    <x:xf numFmtId="0" fontId="0" fillId="6" borderId="31" xfId="0" applyNumberFormat="1" applyFont="1" applyFill="1" applyBorder="1" applyAlignment="1">
      <x:alignment horizontal="center" vertical="center" wrapText="1"/>
    </x:xf>
    <x:xf numFmtId="0" fontId="0" fillId="15" borderId="29" xfId="0" applyNumberFormat="1" applyFont="1" applyFill="1" applyBorder="1" applyAlignment="1">
      <x:alignment horizontal="center" vertical="center" wrapText="1"/>
    </x:xf>
    <x:xf numFmtId="2" fontId="0" fillId="6" borderId="30" xfId="0" applyNumberFormat="1" applyFont="1" applyFill="1" applyBorder="1" applyAlignment="1">
      <x:alignment horizontal="center" vertical="center" wrapText="1"/>
    </x:xf>
    <x:xf numFmtId="2" fontId="0" fillId="6" borderId="31" xfId="0" applyNumberFormat="1" applyFont="1" applyFill="1" applyBorder="1" applyAlignment="1">
      <x:alignment horizontal="center" vertical="center" wrapText="1"/>
    </x:xf>
    <x:xf numFmtId="2" fontId="0" fillId="15" borderId="30" xfId="0" applyNumberFormat="1" applyFont="1" applyFill="1" applyBorder="1" applyAlignment="1">
      <x:alignment horizontal="center" vertical="center" wrapText="1"/>
    </x:xf>
    <x:xf numFmtId="2" fontId="0" fillId="15" borderId="31"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center" wrapText="1"/>
    </x:xf>
    <x:xf numFmtId="0" fontId="3" fillId="4" borderId="32" xfId="0" applyNumberFormat="1" applyFont="1" applyFill="1" applyBorder="1" applyAlignment="1">
      <x:alignment horizontal="center" vertical="center" wrapText="1"/>
    </x:xf>
    <x:xf numFmtId="0" fontId="3" fillId="4" borderId="33"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top" wrapText="1"/>
    </x:xf>
    <x:xf numFmtId="0" fontId="0" fillId="0" borderId="34" xfId="0" applyNumberFormat="1" applyFont="1" applyFill="1" applyBorder="1"/>
    <x:xf numFmtId="0" fontId="0" fillId="5" borderId="2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center"/>
    </x:xf>
    <x:xf numFmtId="0" fontId="3" fillId="4" borderId="32" xfId="0" applyNumberFormat="1" applyFont="1" applyFill="1" applyBorder="1" applyAlignment="1">
      <x:alignment horizontal="center" vertical="center"/>
    </x:xf>
    <x:xf numFmtId="0" fontId="3" fillId="4" borderId="35" xfId="0" applyNumberFormat="1" applyFont="1" applyFill="1" applyBorder="1" applyAlignment="1">
      <x:alignment horizontal="center" vertical="center"/>
    </x:xf>
    <x:xf numFmtId="0" fontId="3" fillId="4" borderId="33" xfId="0" applyNumberFormat="1" applyFont="1" applyFill="1" applyBorder="1" applyAlignment="1">
      <x:alignment horizontal="center" vertical="center"/>
    </x:xf>
    <x:xf numFmtId="2" fontId="0" fillId="6" borderId="29" xfId="0" applyNumberFormat="1" applyFont="1" applyFill="1" applyBorder="1" applyAlignment="1">
      <x:alignment horizontal="center" vertical="center" wrapText="1"/>
    </x:xf>
    <x:xf numFmtId="2" fontId="0" fillId="6" borderId="29" xfId="0" applyNumberFormat="1" applyFont="1" applyFill="1" applyBorder="1" applyAlignment="1">
      <x:alignment vertical="top" wrapText="1"/>
    </x:xf>
    <x:xf numFmtId="164" fontId="0" fillId="5" borderId="29" xfId="0" applyNumberFormat="1" applyFont="1" applyFill="1" applyBorder="1" applyAlignment="1">
      <x:alignment horizontal="left" vertical="top" wrapText="1"/>
    </x:xf>
    <x:xf numFmtId="0" fontId="3" fillId="4" borderId="33" xfId="0" applyNumberFormat="1" applyFont="1" applyFill="1" applyBorder="1" applyAlignment="1">
      <x:alignment horizontal="center" vertical="top"/>
    </x:xf>
    <x:xf numFmtId="0" fontId="3" fillId="0" borderId="29" xfId="0" applyNumberFormat="1" applyFont="1" applyFill="1" applyBorder="1" applyAlignment="1">
      <x:alignment vertical="top"/>
    </x:xf>
    <x:xf numFmtId="0" fontId="8" fillId="5" borderId="0" xfId="0" applyNumberFormat="1" applyFont="1" applyFill="1" applyBorder="1"/>
    <x:xf numFmtId="0" fontId="8" fillId="6" borderId="0" xfId="0" applyNumberFormat="1" applyFont="1" applyFill="1" applyBorder="1"/>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4" borderId="29" xfId="0" applyNumberFormat="1" applyFont="1" applyFill="1" applyBorder="1" applyAlignment="1">
      <x:alignment vertical="top" wrapText="1"/>
    </x:xf>
    <x:xf numFmtId="0" fontId="0" fillId="5" borderId="53" xfId="0" applyNumberFormat="1" applyFont="1" applyFill="1" applyBorder="1" applyAlignment="1">
      <x:alignment vertical="top" wrapText="1"/>
    </x:xf>
    <x:xf numFmtId="0" fontId="0" fillId="6" borderId="55" xfId="0" applyNumberFormat="1" applyFont="1" applyFill="1" applyBorder="1" applyAlignment="1">
      <x:alignment vertical="top" wrapText="1"/>
    </x:xf>
    <x:xf numFmtId="0" fontId="0" fillId="4" borderId="55" xfId="0" applyNumberFormat="1" applyFont="1" applyFill="1" applyBorder="1" applyAlignment="1">
      <x:alignment vertical="top" wrapText="1"/>
    </x:xf>
    <x:xf numFmtId="0" fontId="0" fillId="5" borderId="55" xfId="0" applyNumberFormat="1" applyFont="1" applyFill="1" applyBorder="1" applyAlignment="1">
      <x:alignment vertical="top" wrapText="1"/>
    </x:xf>
    <x:xf numFmtId="0" fontId="0" fillId="6" borderId="55" xfId="0" applyNumberFormat="1" applyFont="1" applyFill="1" applyBorder="1" applyAlignment="1">
      <x:alignment vertical="center" wrapText="1"/>
    </x:xf>
    <x:xf numFmtId="0" fontId="0" fillId="5" borderId="56" xfId="0" applyNumberFormat="1" applyFont="1" applyFill="1" applyBorder="1" applyAlignment="1">
      <x:alignment vertical="top" wrapText="1"/>
    </x:xf>
    <x:xf numFmtId="0" fontId="0" fillId="4" borderId="29" xfId="0" applyNumberFormat="1" applyFont="1" applyFill="1" applyBorder="1" applyAlignment="1">
      <x:alignment horizontal="center" vertical="top" wrapText="1"/>
    </x:xf>
    <x:xf numFmtId="0" fontId="0" fillId="6" borderId="29" xfId="0" applyNumberFormat="1" applyFont="1" applyFill="1" applyBorder="1" applyAlignment="1">
      <x:alignment horizontal="center" vertical="top" wrapText="1"/>
    </x:xf>
    <x:xf numFmtId="0" fontId="0" fillId="4" borderId="55" xfId="0" applyNumberFormat="1" applyFont="1" applyFill="1" applyBorder="1" applyAlignment="1">
      <x:alignment horizontal="center" vertical="top" wrapText="1"/>
    </x:xf>
    <x:xf numFmtId="0" fontId="0" fillId="5" borderId="55" xfId="0" applyNumberFormat="1" applyFont="1" applyFill="1" applyBorder="1" applyAlignment="1">
      <x:alignment horizontal="center" vertical="top" wrapText="1"/>
    </x:xf>
    <x:xf numFmtId="0" fontId="0" fillId="6" borderId="55" xfId="0" applyNumberFormat="1" applyFont="1" applyFill="1" applyBorder="1" applyAlignment="1">
      <x:alignment horizontal="center" vertical="top" wrapText="1"/>
    </x:xf>
    <x:xf numFmtId="0" fontId="0" fillId="4" borderId="29" xfId="0" applyNumberFormat="1" applyFont="1" applyFill="1" applyBorder="1" applyAlignment="1">
      <x:alignment horizontal="center" vertical="center" wrapText="1"/>
    </x:xf>
    <x:xf numFmtId="0" fontId="0" fillId="5" borderId="29" xfId="0" applyNumberFormat="1" applyFont="1" applyFill="1" applyBorder="1" applyAlignment="1">
      <x:alignment horizontal="center" vertical="center" wrapText="1"/>
    </x:xf>
    <x:xf numFmtId="0" fontId="0" fillId="4" borderId="55" xfId="0" applyNumberFormat="1" applyFont="1" applyFill="1" applyBorder="1" applyAlignment="1">
      <x:alignment horizontal="center" vertical="center" wrapText="1"/>
    </x:xf>
    <x:xf numFmtId="0" fontId="0" fillId="5" borderId="55" xfId="0" applyNumberFormat="1" applyFont="1" applyFill="1" applyBorder="1" applyAlignment="1">
      <x:alignment horizontal="center" vertical="center" wrapText="1"/>
    </x:xf>
    <x:xf numFmtId="0" fontId="0" fillId="6" borderId="55" xfId="0" applyNumberFormat="1" applyFont="1" applyFill="1" applyBorder="1" applyAlignment="1">
      <x:alignment horizontal="center" vertical="center" wrapText="1"/>
    </x:xf>
    <x:xf numFmtId="0" fontId="3" fillId="6" borderId="30" xfId="0" applyNumberFormat="1" applyFont="1" applyFill="1" applyBorder="1" applyAlignment="1">
      <x:alignment horizontal="center" vertical="center" wrapText="1"/>
    </x:xf>
    <x:xf numFmtId="2" fontId="3" fillId="6" borderId="30" xfId="0" applyNumberFormat="1" applyFont="1" applyFill="1" applyBorder="1" applyAlignment="1">
      <x:alignment horizontal="center" vertical="center" wrapText="1"/>
    </x:xf>
    <x:xf numFmtId="0" fontId="3" fillId="6" borderId="29" xfId="0" applyNumberFormat="1" applyFont="1" applyFill="1" applyBorder="1" applyAlignment="1">
      <x:alignment horizontal="center" vertical="center" wrapText="1"/>
    </x:xf>
    <x:xf numFmtId="0" fontId="3" fillId="6" borderId="63" xfId="0" applyNumberFormat="1" applyFont="1" applyFill="1" applyBorder="1" applyAlignment="1">
      <x:alignment horizontal="center" vertical="center" wrapText="1"/>
    </x:xf>
    <x:xf numFmtId="0" fontId="3" fillId="6" borderId="53" xfId="0" applyNumberFormat="1" applyFont="1" applyFill="1" applyBorder="1" applyAlignment="1">
      <x:alignment horizontal="center" vertical="center" wrapText="1"/>
    </x:xf>
    <x:xf numFmtId="2" fontId="3" fillId="6" borderId="53" xfId="0" applyNumberFormat="1" applyFont="1" applyFill="1" applyBorder="1" applyAlignment="1">
      <x:alignment horizontal="center" vertical="center" wrapText="1"/>
    </x:xf>
    <x:xf numFmtId="0" fontId="3" fillId="6" borderId="56" xfId="0" applyNumberFormat="1" applyFont="1" applyFill="1" applyBorder="1" applyAlignment="1">
      <x:alignment horizontal="center" vertical="center" wrapText="1"/>
    </x:xf>
    <x:xf numFmtId="2" fontId="3" fillId="6" borderId="29" xfId="0" applyNumberFormat="1" applyFont="1" applyFill="1" applyBorder="1" applyAlignment="1">
      <x:alignment horizontal="center" vertical="center" wrapText="1"/>
    </x:xf>
    <x:xf numFmtId="0" fontId="0" fillId="4" borderId="29" xfId="0" applyNumberFormat="1" applyFont="1" applyFill="1" applyBorder="1" applyAlignment="1">
      <x:alignment horizontal="left" vertical="top" wrapText="1"/>
    </x:xf>
    <x:xf numFmtId="0" fontId="0" fillId="4" borderId="53" xfId="0" applyNumberFormat="1" applyFont="1" applyFill="1" applyBorder="1" applyAlignment="1">
      <x:alignment vertical="top" wrapText="1"/>
    </x:xf>
    <x:xf numFmtId="0" fontId="0" fillId="4" borderId="53" xfId="0" applyNumberFormat="1" applyFont="1" applyFill="1" applyBorder="1" applyAlignment="1">
      <x:alignment horizontal="left" vertical="top" wrapText="1"/>
    </x:xf>
    <x:xf numFmtId="0" fontId="0" fillId="5" borderId="63" xfId="0" applyNumberFormat="1" applyFont="1" applyFill="1" applyBorder="1" applyAlignment="1">
      <x:alignment vertical="top" wrapText="1"/>
    </x:xf>
    <x:xf numFmtId="0" fontId="3" fillId="6" borderId="29" xfId="0" applyNumberFormat="1" applyFont="1" applyFill="1" applyBorder="1" applyAlignment="1">
      <x:alignment vertical="top" wrapText="1"/>
    </x:xf>
    <x:xf numFmtId="2" fontId="3" fillId="6" borderId="29" xfId="0" applyNumberFormat="1" applyFont="1" applyFill="1" applyBorder="1" applyAlignment="1">
      <x:alignment vertical="top" wrapText="1"/>
    </x:xf>
    <x:xf numFmtId="164" fontId="0" fillId="5" borderId="29" xfId="0" applyNumberFormat="1" applyFont="1" applyFill="1" applyBorder="1" applyAlignment="1">
      <x:alignment horizontal="center" vertical="top" wrapText="1"/>
    </x:xf>
    <x:xf numFmtId="164" fontId="0" fillId="5" borderId="53" xfId="0" applyNumberFormat="1" applyFont="1" applyFill="1" applyBorder="1" applyAlignment="1">
      <x:alignment horizontal="left" vertical="top" wrapText="1"/>
    </x:xf>
    <x:xf numFmtId="2" fontId="3" fillId="6" borderId="55" xfId="0" applyNumberFormat="1" applyFont="1" applyFill="1" applyBorder="1" applyAlignment="1">
      <x:alignment vertical="top" wrapText="1"/>
    </x:xf>
    <x:xf numFmtId="164" fontId="0" fillId="5" borderId="55" xfId="0" applyNumberFormat="1" applyFont="1" applyFill="1" applyBorder="1" applyAlignment="1">
      <x:alignment vertical="top" wrapText="1"/>
    </x:xf>
    <x:xf numFmtId="0" fontId="0" fillId="5" borderId="53" xfId="0" applyNumberFormat="1" applyFont="1" applyFill="1" applyBorder="1" applyAlignment="1">
      <x:alignment horizontal="center" vertical="top" wrapText="1"/>
    </x:xf>
    <x:xf numFmtId="164" fontId="0" fillId="5" borderId="53" xfId="0" applyNumberFormat="1" applyFont="1" applyFill="1" applyBorder="1" applyAlignment="1">
      <x:alignment horizontal="center" vertical="top" wrapText="1"/>
    </x:xf>
    <x:xf numFmtId="164" fontId="0" fillId="5" borderId="56" xfId="0" applyNumberFormat="1" applyFont="1" applyFill="1" applyBorder="1" applyAlignment="1">
      <x:alignment horizontal="center"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9" fillId="4" borderId="29" xfId="0" applyNumberFormat="1" applyFont="1" applyFill="1" applyBorder="1" applyAlignment="1">
      <x:alignment horizontal="center" vertical="center" wrapText="1"/>
    </x:xf>
    <x:xf numFmtId="0" fontId="9" fillId="5" borderId="29" xfId="0" applyNumberFormat="1" applyFont="1" applyFill="1" applyBorder="1" applyAlignment="1">
      <x:alignment horizontal="center" vertical="center" wrapText="1"/>
    </x:xf>
    <x:xf numFmtId="0" fontId="9" fillId="6" borderId="29" xfId="0" applyNumberFormat="1" applyFont="1" applyFill="1" applyBorder="1" applyAlignment="1">
      <x:alignment horizontal="center" vertical="center" wrapText="1"/>
    </x:xf>
    <x:xf numFmtId="0" fontId="9" fillId="4" borderId="55" xfId="0" applyNumberFormat="1" applyFont="1" applyFill="1" applyBorder="1" applyAlignment="1">
      <x:alignment horizontal="center" vertical="center" wrapText="1"/>
    </x:xf>
    <x:xf numFmtId="0" fontId="9" fillId="5" borderId="55" xfId="0" applyNumberFormat="1" applyFont="1" applyFill="1" applyBorder="1" applyAlignment="1">
      <x:alignment horizontal="center" vertical="center" wrapText="1"/>
    </x:xf>
    <x:xf numFmtId="0" fontId="9" fillId="6" borderId="55" xfId="0" applyNumberFormat="1" applyFont="1" applyFill="1" applyBorder="1" applyAlignment="1">
      <x:alignment horizontal="center" vertical="center" wrapText="1"/>
    </x:xf>
    <x:xf numFmtId="0" fontId="3" fillId="5" borderId="63" xfId="0" applyNumberFormat="1" applyFont="1" applyFill="1" applyBorder="1" applyAlignment="1">
      <x:alignment vertical="top" wrapText="1"/>
    </x:xf>
    <x:xf numFmtId="0" fontId="3" fillId="5" borderId="63" xfId="0" applyNumberFormat="1" applyFont="1" applyFill="1" applyBorder="1" applyAlignment="1">
      <x:alignment horizontal="center" vertical="top" wrapText="1"/>
    </x:xf>
    <x:xf numFmtId="0" fontId="3" fillId="5" borderId="63" xfId="0" applyNumberFormat="1" applyFont="1" applyFill="1" applyBorder="1" applyAlignment="1">
      <x:alignment horizontal="center" vertical="center" wrapText="1"/>
    </x:xf>
    <x:xf numFmtId="0" fontId="0" fillId="5" borderId="53" xfId="0" applyNumberFormat="1" applyFont="1" applyFill="1" applyBorder="1" applyAlignment="1">
      <x:alignment vertical="center" wrapText="1"/>
    </x:xf>
    <x:xf numFmtId="0" fontId="0" fillId="5" borderId="56" xfId="0" applyNumberFormat="1" applyFont="1" applyFill="1" applyBorder="1" applyAlignment="1">
      <x:alignment vertical="center" wrapText="1"/>
    </x:xf>
    <x:xf numFmtId="0" fontId="6" fillId="11" borderId="21" xfId="0" applyNumberFormat="1" applyFont="1" applyFill="1" applyBorder="1" applyAlignment="1">
      <x:alignment wrapText="1"/>
    </x:xf>
    <x:xf numFmtId="0" fontId="6" fillId="11" borderId="22" xfId="0" applyNumberFormat="1" applyFont="1" applyFill="1" applyBorder="1" applyAlignment="1">
      <x:alignment wrapText="1"/>
    </x:xf>
    <x:xf numFmtId="0" fontId="6" fillId="11" borderId="23" xfId="0" applyNumberFormat="1" applyFont="1" applyFill="1" applyBorder="1" applyAlignment="1">
      <x:alignment wrapText="1"/>
    </x:xf>
    <x:xf numFmtId="0" fontId="7" fillId="6" borderId="2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25" xfId="0" applyNumberFormat="1" applyFont="1" applyFill="1" applyBorder="1" applyAlignment="1">
      <x:alignment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5584736082412d" /><Relationship Type="http://schemas.openxmlformats.org/officeDocument/2006/relationships/theme" Target="/xl/theme/theme1.xml" Id="R7e3e2d83e2904ed4" /><Relationship Type="http://schemas.openxmlformats.org/officeDocument/2006/relationships/sharedStrings" Target="/xl/sharedStrings.xml" Id="R64fa67fe12df43b1" /><Relationship Type="http://schemas.openxmlformats.org/officeDocument/2006/relationships/worksheet" Target="/xl/worksheets/sheet1.xml" Id="R648b73d42ef64694" /><Relationship Type="http://schemas.openxmlformats.org/officeDocument/2006/relationships/worksheet" Target="/xl/worksheets/sheet2.xml" Id="R2e6ce1e6d0e74d84" /><Relationship Type="http://schemas.openxmlformats.org/officeDocument/2006/relationships/worksheet" Target="/xl/worksheets/sheet3.xml" Id="Rc52826802ad34e22" /><Relationship Type="http://schemas.openxmlformats.org/officeDocument/2006/relationships/worksheet" Target="/xl/worksheets/sheet4.xml" Id="Rc7365b3f7dd04a03" /><Relationship Type="http://schemas.openxmlformats.org/officeDocument/2006/relationships/worksheet" Target="/xl/worksheets/sheet5.xml" Id="R8175618694f443be" /><Relationship Type="http://schemas.openxmlformats.org/officeDocument/2006/relationships/worksheet" Target="/xl/worksheets/sheet6.xml" Id="Rd371b8127d054c0d" /><Relationship Type="http://schemas.openxmlformats.org/officeDocument/2006/relationships/worksheet" Target="/xl/worksheets/sheet7.xml" Id="R2ce2bb28bf1b454d" /><Relationship Type="http://schemas.openxmlformats.org/officeDocument/2006/relationships/worksheet" Target="/xl/worksheets/sheet8.xml" Id="Re4a74d8aa44643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24" customHeight="1">
      <x:c r="A3" s="3" t="s">
        <x:v>2</x:v>
      </x:c>
      <x:c r="B3" s="547" t="str">
        <x:v>KUNING = input/reviewer</x:v>
      </x:c>
      <x:c r="C3" s="547" t="s">
        <x:v>3</x:v>
      </x:c>
      <x:c r="D3" s="548" t="str">
        <x:v>BIRU = data/hasil otomatis</x:v>
      </x:c>
      <x:c r="E3" s="548" t="str">
        <x:v>ABU = belum dapat dinilai</x:v>
      </x:c>
      <x:c r="F3" s="549" t="str">
        <x:v>HIJAU = dapat dinilai</x:v>
      </x:c>
      <x:c r="G3" s="549"/>
      <x:c r="H3" s="550" t="str">
        <x:v>ABU = belum dapat dinilai</x:v>
      </x:c>
      <x:c r="I3" s="550"/>
    </x:row>
    <x:row r="5" ht="15">
      <x:c r="A5" s="6" t="s">
        <x:v>4</x:v>
      </x:c>
      <x:c r="B5" s="6"/>
      <x:c r="C5" s="6"/>
      <x:c r="D5" s="6"/>
      <x:c r="E5" s="6"/>
      <x:c r="F5" s="555"/>
      <x:c r="G5" s="555"/>
      <x:c r="H5" s="555"/>
      <x:c r="I5" s="555"/>
      <x:c r="J5" s="555"/>
      <x:c r="K5" s="555"/>
    </x:row>
    <x:row r="6" ht="99.75" customHeight="1">
      <x:c r="A6" s="64" t="s">
        <x:v>5</x:v>
      </x:c>
      <x:c r="B6" s="245" t="str">
        <x:v>Politeknik Negeri Batam</x:v>
      </x:c>
      <x:c r="C6" s="106"/>
      <x:c r="D6" s="65" t="s">
        <x:v>6</x:v>
      </x:c>
      <x:c r="E6" s="247" t="str">
        <x:v>MoU 118/MOU.PL29/XI/2025 — 18 November 2025</x:v>
      </x:c>
      <x:c r="F6" s="556"/>
      <x:c r="G6" s="556"/>
      <x:c r="H6" s="556"/>
      <x:c r="I6" s="556"/>
      <x:c r="J6" s="556"/>
      <x:c r="K6" s="556"/>
    </x:row>
    <x:row r="7" ht="117" customHeight="1">
      <x:c r="A7" s="66" t="s">
        <x:v>7</x:v>
      </x:c>
      <x:c r="B7" s="245" t="str">
        <x:v>Pelayanan Hukum dan Fasilitasi Tri Dharma Perguruan Tinggi: pendidikan/pengajaran; penelitian dan pengembangan hukum; pengabdian kepada masyarakat; MBKM; fasilitasi pendaftaran KI dan penguatan Sentra KI; pengembangan kompetensi SDM; asistensi JDIH; serta kegiatan lain yang disepakati.</x:v>
      </x:c>
      <x:c r="C7" s="107"/>
      <x:c r="D7" s="67" t="s">
        <x:v>8</x:v>
      </x:c>
      <x:c r="E7" s="247" t="str">
        <x:v>Update pasca-baseline s.d. 27 September 2026</x:v>
      </x:c>
      <x:c r="F7" s="556"/>
      <x:c r="G7" s="556"/>
      <x:c r="H7" s="556"/>
      <x:c r="I7" s="556"/>
      <x:c r="J7" s="556"/>
      <x:c r="K7" s="556"/>
    </x:row>
    <x:row r="8" ht="99.75" customHeight="1">
      <x:c r="A8" s="66" t="s">
        <x:v>9</x:v>
      </x:c>
      <x:c r="B8" s="249" t="str">
        <x:v>Pokja Data / Reviewer</x:v>
      </x:c>
      <x:c r="C8" s="107"/>
      <x:c r="D8" s="67" t="s">
        <x:v>10</x:v>
      </x:c>
      <x:c r="E8" s="251" t="str">
        <x:v>27 September 2026</x:v>
      </x:c>
      <x:c r="F8" s="556"/>
      <x:c r="G8" s="556"/>
      <x:c r="H8" s="556"/>
      <x:c r="I8" s="556"/>
      <x:c r="J8" s="556"/>
      <x:c r="K8" s="556"/>
    </x:row>
    <x:row r="9" ht="120.75" customHeight="1">
      <x:c r="A9" s="68" t="s">
        <x:v>11</x:v>
      </x:c>
      <x:c r="B9" s="245" t="str">
        <x:v>Mitra: Ridwan Purwanto, S.Sos., M.I.Kom. (utama) dan Fitriyanti Nakul, S.Pd., M.Si (cadangan/Sentra HKI). PIC internal individual belum tercantum dalam evidence terbaru.</x:v>
      </x:c>
      <x:c r="C9" s="108"/>
      <x:c r="D9" s="69" t="s">
        <x:v>12</x:v>
      </x:c>
      <x:c r="E9" s="247" t="str">
        <x:v>18 November 2025 s.d. 17 November 2030 — usia perjanjian 313 hari (&gt;6 bulan)</x:v>
      </x:c>
      <x:c r="F9" s="556"/>
      <x:c r="G9" s="556"/>
      <x:c r="H9" s="556"/>
      <x:c r="I9" s="556"/>
      <x:c r="J9" s="556"/>
      <x:c r="K9" s="556"/>
    </x:row>
    <x:row r="11" ht="15">
      <x:c r="A11" s="6" t="s">
        <x:v>13</x:v>
      </x:c>
      <x:c r="B11" s="6"/>
      <x:c r="C11" s="6"/>
      <x:c r="D11" s="6"/>
      <x:c r="E11" s="6"/>
      <x:c r="F11" s="6"/>
      <x:c r="G11" s="6"/>
      <x:c r="H11" s="6"/>
      <x:c r="I11" s="6"/>
      <x:c r="J11" s="6"/>
      <x:c r="K11" s="6"/>
    </x:row>
    <x:row r="12" ht="15">
      <x:c r="A12" s="267" t="s">
        <x:v>14</x:v>
      </x:c>
      <x:c r="B12" s="268" t="s">
        <x:v>15</x:v>
      </x:c>
      <x:c r="C12" s="268" t="s">
        <x:v>16</x:v>
      </x:c>
      <x:c r="D12" s="268" t="s">
        <x:v>17</x:v>
      </x:c>
      <x:c r="E12" s="268" t="s">
        <x:v>18</x:v>
      </x:c>
      <x:c r="F12" s="268" t="s">
        <x:v>19</x:v>
      </x:c>
      <x:c r="G12" s="268" t="s">
        <x:v>20</x:v>
      </x:c>
      <x:c r="H12" s="268" t="s">
        <x:v>21</x:v>
      </x:c>
      <x:c r="I12" s="268" t="s">
        <x:v>22</x:v>
      </x:c>
      <x:c r="J12" s="268" t="s">
        <x:v>23</x:v>
      </x:c>
      <x:c r="K12" s="269" t="s">
        <x:v>24</x:v>
      </x:c>
    </x:row>
    <x:row r="13" ht="81.94999694824219" customHeight="1">
      <x:c r="A13" s="270" t="s">
        <x:v>25</x:v>
      </x:c>
      <x:c r="B13" s="271">
        <x:v>10</x:v>
      </x:c>
      <x:c r="C13" s="272" t="s">
        <x:v>26</x:v>
      </x:c>
      <x:c r="D13" s="253" t="str">
        <x:v>Unit pengampu, PIC internal, PIC mitra, dan rencana tindak lanjut: BELUM TERSEDIA pada final baseline.</x:v>
      </x:c>
      <x:c r="E13" s="255" t="str">
        <x:v>PIC mitra utama/cadangan sudah jelas. Terdapat 4 usulan tindak lanjut yang rinci, masing-masing memuat target waktu, hasil yang diharapkan, bantuan yang dibutuhkan, dan pihak yang dilibatkan. PIC internal belum terdokumentasi.</x:v>
      </x:c>
      <x:c r="F13" s="559" t="str">
        <x:v>DAPAT DINILAI</x:v>
      </x:c>
      <x:c r="G13" s="560" t="str">
        <x:v>polibatam.xlsx — IDENTITAS &amp; PIC; USULAN TINDAK LANJUT.</x:v>
      </x:c>
      <x:c r="H13" s="561" t="n">
        <x:v>2</x:v>
      </x:c>
      <x:c r="I13" s="562" t="n">
        <x:f t="shared" ref="I13:I19" si="0">IF(F13="DAPAT DINILAI",IF(ISNUMBER(H13),H13/4*B13,""),"")</x:f>
        <x:v>5</x:v>
      </x:c>
      <x:c r="J13" s="257" t="str">
        <x:v>Penanggung jawab mitra dan sebagian tindak lanjut sudah jelas, tetapi koordinasi internal dan pembagian peran belum konsisten. Rubrik I1 skor 2.</x:v>
      </x:c>
      <x:c r="K13" s="273" t="str">
        <x:v>Tetapkan PIC internal/focal point Kanwil dan satukan empat usulan menjadi rencana aksi bersama dengan mekanisme koordinasi.</x:v>
      </x:c>
    </x:row>
    <x:row r="14" ht="81.94999694824219" customHeight="1">
      <x:c r="A14" s="270" t="s">
        <x:v>27</x:v>
      </x:c>
      <x:c r="B14" s="271">
        <x:v>15</x:v>
      </x:c>
      <x:c r="C14" s="272" t="s">
        <x:v>28</x:v>
      </x:c>
      <x:c r="D14" s="253" t="str">
        <x:v>Pelaksanaan dan hasil: BELUM TERSEDIA pada final baseline.</x:v>
      </x:c>
      <x:c r="E14" s="255" t="str">
        <x:v>Satu kegiatan telah dilaksanakan: Sosialisasi Perlindungan Hak Cipta di Era AI pada 7 Mei 2026, dengan bukti publikasi. Dibanding cakupan MoU yang luas, implementasi masih sangat terbatas dan berfokus pada KI.</x:v>
      </x:c>
      <x:c r="F14" s="559" t="str">
        <x:v>DAPAT DINILAI</x:v>
      </x:c>
      <x:c r="G14" s="560" t="str">
        <x:v>polibatam.xlsx — PELAKSANAAN KEGIATAN; tautan publikasi Polibatam.</x:v>
      </x:c>
      <x:c r="H14" s="561" t="n">
        <x:v>1</x:v>
      </x:c>
      <x:c r="I14" s="562" t="n">
        <x:f t="shared" si="0">IF(F14="DAPAT DINILAI",IF(ISNUMBER(H14),H14/4*B14,""),"")</x:f>
        <x:v>3.75</x:v>
      </x:c>
      <x:c r="J14" s="257" t="str">
        <x:v>Ada tindak lanjut nyata tetapi masih sangat terbatas/insidental dibanding ruang lingkup kerja sama. Rubrik I2 skor 1.</x:v>
      </x:c>
      <x:c r="K14" s="273" t="str">
        <x:v>Realisasikan tindak lanjut KI yang sudah direncanakan dan mulai aktivasi ruang lingkup Tri Dharma/kompetensi lainnya.</x:v>
      </x:c>
    </x:row>
    <x:row r="15" ht="81.94999694824219" customHeight="1">
      <x:c r="A15" s="270" t="s">
        <x:v>29</x:v>
      </x:c>
      <x:c r="B15" s="271">
        <x:v>15</x:v>
      </x:c>
      <x:c r="C15" s="272" t="s">
        <x:v>30</x:v>
      </x:c>
      <x:c r="D15" s="253" t="str">
        <x:v>Pelaksanaan dan eviden implementasi: BELUM TERSEDIA pada final baseline.</x:v>
      </x:c>
      <x:c r="E15" s="255" t="str">
        <x:v>Output yang dapat dibuktikan saat ini terutama berupa pelaksanaan satu kegiatan sosialisasi hak cipta; output ruang lingkup lain belum terlihat.</x:v>
      </x:c>
      <x:c r="F15" s="559" t="str">
        <x:v>DAPAT DINILAI</x:v>
      </x:c>
      <x:c r="G15" s="560" t="str">
        <x:v>polibatam.xlsx — kegiatan sosialisasi 7 Mei 2026 dan bukti publikasi.</x:v>
      </x:c>
      <x:c r="H15" s="561" t="n">
        <x:v>1</x:v>
      </x:c>
      <x:c r="I15" s="562" t="n">
        <x:f t="shared" si="0">IF(F15="DAPAT DINILAI",IF(ISNUMBER(H15),H15/4*B15,""),"")</x:f>
        <x:v>3.75</x:v>
      </x:c>
      <x:c r="J15" s="257" t="str">
        <x:v>Output sangat terbatas dan belum mewakili keluaran utama kerja sama. Rubrik I3 skor 1.</x:v>
      </x:c>
      <x:c r="K15" s="273" t="str">
        <x:v>Tetapkan output per ruang lingkup, termasuk pendampingan KI, lisensi, percepatan paten, pendidikan, penelitian, dan pengabdian.</x:v>
      </x:c>
    </x:row>
    <x:row r="16" ht="81.94999694824219" customHeight="1">
      <x:c r="A16" s="270" t="s">
        <x:v>31</x:v>
      </x:c>
      <x:c r="B16" s="271">
        <x:v>20</x:v>
      </x:c>
      <x:c r="C16" s="272" t="s">
        <x:v>32</x:v>
      </x:c>
      <x:c r="D16" s="253" t="str">
        <x:v>Final baseline belum memiliki data outcome/manfaat terukur.</x:v>
      </x:c>
      <x:c r="E16" s="255" t="str">
        <x:v>Manfaat awal terkait peningkatan pemahaman perlindungan hak cipta dapat diasosiasikan dengan kegiatan sosialisasi, namun belum tersedia data peserta, perubahan pemahaman, atau pemanfaatan layanan setelah kegiatan.</x:v>
      </x:c>
      <x:c r="F16" s="563" t="str">
        <x:v>DAPAT DINILAI</x:v>
      </x:c>
      <x:c r="G16" s="560" t="str">
        <x:v>polibatam.xlsx — hasil/manfaat singkat dan tautan publikasi kegiatan.</x:v>
      </x:c>
      <x:c r="H16" s="563" t="n">
        <x:v>1</x:v>
      </x:c>
      <x:c r="I16" s="563" t="n">
        <x:f t="shared" si="0">IF(F16="DAPAT DINILAI",IF(ISNUMBER(H16),H16/4*B16,""),"")</x:f>
        <x:v>5</x:v>
      </x:c>
      <x:c r="J16" s="257" t="str">
        <x:v>Manfaat awal sangat terbatas dan belum terukur. Rubrik I4 skor 1.</x:v>
      </x:c>
      <x:c r="K16" s="273" t="str">
        <x:v>Ukur peserta, perubahan pemahaman, konsultasi lanjutan, pengajuan KI, dan tindak lanjut pascakegiatan.</x:v>
      </x:c>
    </x:row>
    <x:row r="17" ht="81.94999694824219" customHeight="1">
      <x:c r="A17" s="270" t="s">
        <x:v>33</x:v>
      </x:c>
      <x:c r="B17" s="271">
        <x:v>20</x:v>
      </x:c>
      <x:c r="C17" s="272" t="s">
        <x:v>34</x:v>
      </x:c>
      <x:c r="D17" s="253" t="str">
        <x:v>Final baseline belum memiliki data kontribusi/dampak terhadap kinerja atau pelayanan.</x:v>
      </x:c>
      <x:c r="E17" s="255" t="str">
        <x:v>Hubungan dengan pelayanan KI mulai terlihat melalui edukasi hak cipta dan rencana pendampingan KI, namun kontribusi terhadap sasaran kinerja kampus/Kanwil belum dapat dibuktikan secara kuat.</x:v>
      </x:c>
      <x:c r="F17" s="563" t="str">
        <x:v>DAPAT DINILAI</x:v>
      </x:c>
      <x:c r="G17" s="560" t="str">
        <x:v>polibatam.xlsx — kegiatan sosialisasi dan 4 usulan tindak lanjut KI.</x:v>
      </x:c>
      <x:c r="H17" s="563" t="n">
        <x:v>1</x:v>
      </x:c>
      <x:c r="I17" s="563" t="n">
        <x:f t="shared" si="0">IF(F17="DAPAT DINILAI",IF(ISNUMBER(H17),H17/4*B17,""),"")</x:f>
        <x:v>5</x:v>
      </x:c>
      <x:c r="J17" s="257" t="str">
        <x:v>Hubungan dengan kinerja/pelayanan masih sangat terbatas dan belum terukur. Rubrik I5 skor 1.</x:v>
      </x:c>
      <x:c r="K17" s="273" t="str">
        <x:v>Hubungkan outcome dengan jumlah KI yang diajukan/granted, lisensi, komersialisasi, dan indikator layanan KI.</x:v>
      </x:c>
    </x:row>
    <x:row r="18" ht="81.94999694824219" customHeight="1">
      <x:c r="A18" s="270" t="s">
        <x:v>35</x:v>
      </x:c>
      <x:c r="B18" s="271">
        <x:v>10</x:v>
      </x:c>
      <x:c r="C18" s="272" t="s">
        <x:v>36</x:v>
      </x:c>
      <x:c r="D18" s="253" t="str">
        <x:v>Arsip dan P2MA: TERVERIFIKASI; eviden implementasi: BELUM TERSEDIA.</x:v>
      </x:c>
      <x:c r="E18" s="255" t="str">
        <x:v>Evidence utama tersedia untuk satu kegiatan melalui tautan publikasi; identitas/PIC dan rencana tindak lanjut juga terdokumentasi. Namun evidence implementasi keseluruhan portofolio masih belum lengkap.</x:v>
      </x:c>
      <x:c r="F18" s="559" t="str">
        <x:v>DAPAT DINILAI</x:v>
      </x:c>
      <x:c r="G18" s="560" t="str">
        <x:v>Final baseline; polibatam.xlsx; tautan publikasi kegiatan.</x:v>
      </x:c>
      <x:c r="H18" s="561" t="n">
        <x:v>2</x:v>
      </x:c>
      <x:c r="I18" s="562" t="n">
        <x:f t="shared" si="0">IF(F18="DAPAT DINILAI",IF(ISNUMBER(H18),H18/4*B18,""),"")</x:f>
        <x:v>5</x:v>
      </x:c>
      <x:c r="J18" s="257" t="str">
        <x:v>Evidence utama dapat ditelusuri, tetapi belum konsisten dalam kelengkapan untuk seluruh ruang lingkup. Rubrik I6 skor 2.</x:v>
      </x:c>
      <x:c r="K18" s="273" t="str">
        <x:v>Bangun repository P08 dan indeks bukti untuk setiap kegiatan, pengajuan KI, hasil pemeriksaan, lisensi, dan output lainnya.</x:v>
      </x:c>
    </x:row>
    <x:row r="19" ht="81.94999694824219" customHeight="1">
      <x:c r="A19" s="274" t="s">
        <x:v>37</x:v>
      </x:c>
      <x:c r="B19" s="275">
        <x:v>10</x:v>
      </x:c>
      <x:c r="C19" s="276" t="s">
        <x:v>38</x:v>
      </x:c>
      <x:c r="D19" s="277" t="str">
        <x:v>Masa berlaku: TERVERIFIKASI; hambatan/gap operasional: BELUM TERSEDIA.</x:v>
      </x:c>
      <x:c r="E19" s="278" t="str">
        <x:v>Risiko sudah teridentifikasi secara konkret: penolakan pengajuan KI, biaya perubahan data inventor/klaim, kebutuhan lisensi atas KI granted, dan keterlambatan pemeriksaan substantif paten. Empat usulan tindak lanjut diarahkan untuk menangani masalah tersebut.</x:v>
      </x:c>
      <x:c r="F19" s="564" t="str">
        <x:v>DAPAT DINILAI</x:v>
      </x:c>
      <x:c r="G19" s="565" t="str">
        <x:v>polibatam.xlsx — pertanyaan/kebutuhan awal dan 4 usulan tindak lanjut.</x:v>
      </x:c>
      <x:c r="H19" s="566" t="n">
        <x:v>2</x:v>
      </x:c>
      <x:c r="I19" s="567" t="n">
        <x:f t="shared" si="0">IF(F19="DAPAT DINILAI",IF(ISNUMBER(H19),H19/4*B19,""),"")</x:f>
        <x:v>5</x:v>
      </x:c>
      <x:c r="J19" s="280" t="str">
        <x:v>Risiko utama mulai ditangani melalui rencana tindak lanjut, tetapi realisasi mitigasi belum terbukti. Rubrik I7 skor 2.</x:v>
      </x:c>
      <x:c r="K19" s="282" t="str">
        <x:v>Tetapkan owner dan progres mitigasi untuk tiap isu KI, termasuk eskalasi ke DJKI bila diperlukan.</x:v>
      </x:c>
    </x:row>
    <x:row r="21" ht="39" customHeight="1">
      <x:c r="A21" s="6" t="s">
        <x:v>39</x:v>
      </x:c>
      <x:c r="B21" s="6"/>
      <x:c r="C21" s="6"/>
      <x:c r="D21" s="6"/>
      <x:c r="E21" s="6"/>
      <x:c r="F21" s="6"/>
      <x:c r="G21" s="6"/>
      <x:c r="H21" s="6"/>
      <x:c r="I21" s="6"/>
      <x:c r="J21" s="6"/>
      <x:c r="K21" s="6"/>
    </x:row>
    <x:row r="22" ht="28.5" customHeight="1">
      <x:c r="A22" s="343" t="s">
        <x:v>40</x:v>
      </x:c>
      <x:c r="B22" s="344" t="n">
        <x:f>COUNTIF($F$13:$F$19,"DAPAT DINILAI")</x:f>
        <x:v>7</x:v>
      </x:c>
      <x:c r="C22" s="99"/>
      <x:c r="E22" s="81"/>
      <x:c r="F22" s="81"/>
      <x:c r="H22" s="31" t="s">
        <x:v>41</x:v>
      </x:c>
      <x:c r="I22" s="31"/>
      <x:c r="J22" s="31"/>
      <x:c r="K22" s="31"/>
    </x:row>
    <x:row r="23" ht="33.95000076293945" customHeight="1">
      <x:c r="A23" s="345" t="s">
        <x:v>42</x:v>
      </x:c>
      <x:c r="B23" s="346" t="n">
        <x:f>COUNTIF($F$13:$F$19,"BELUM DAPAT DINILAI")</x:f>
        <x:v>0</x:v>
      </x:c>
      <x:c r="C23" s="99"/>
      <x:c r="H23" s="79" t="s">
        <x:v>43</x:v>
      </x:c>
      <x:c r="I23" s="97" t="s">
        <x:v>44</x:v>
      </x:c>
      <x:c r="J23" s="97"/>
      <x:c r="K23" s="78"/>
    </x:row>
    <x:row r="24" ht="33.95000076293945" customHeight="1">
      <x:c r="A24" s="345" t="s">
        <x:v>45</x:v>
      </x:c>
      <x:c r="B24" s="346" t="n">
        <x:f>COUNTIF($F$13:$F$19,"BUKTI BELUM MEMADAI")</x:f>
        <x:v>0</x:v>
      </x:c>
      <x:c r="C24" s="99"/>
      <x:c r="H24" s="79" t="s">
        <x:v>46</x:v>
      </x:c>
      <x:c r="I24" s="97" t="s">
        <x:v>47</x:v>
      </x:c>
      <x:c r="J24" s="97"/>
      <x:c r="K24" s="77"/>
    </x:row>
    <x:row r="25" ht="33.95000076293945" customHeight="1">
      <x:c r="A25" s="345" t="s">
        <x:v>48</x:v>
      </x:c>
      <x:c r="B25" s="347" t="n">
        <x:f>SUMIF($F$13:$F$19,"DAPAT DINILAI",$B$13:$B$19)</x:f>
        <x:v>100</x:v>
      </x:c>
      <x:c r="C25" s="103"/>
      <x:c r="H25" s="79" t="s">
        <x:v>49</x:v>
      </x:c>
      <x:c r="I25" s="97" t="s">
        <x:v>50</x:v>
      </x:c>
      <x:c r="J25" s="97"/>
      <x:c r="K25" s="27"/>
    </x:row>
    <x:row r="26" ht="33.95000076293945" customHeight="1">
      <x:c r="A26" s="345" t="s">
        <x:v>51</x:v>
      </x:c>
      <x:c r="B26" s="347" t="n">
        <x:f>IF(B22=7,SUM($I$13:$I$19),"")</x:f>
        <x:v>32.5</x:v>
      </x:c>
      <x:c r="C26" s="105"/>
      <x:c r="H26" s="79" t="s">
        <x:v>52</x:v>
      </x:c>
      <x:c r="I26" s="97" t="s">
        <x:v>53</x:v>
      </x:c>
      <x:c r="J26" s="97"/>
      <x:c r="K26" s="20"/>
    </x:row>
    <x:row r="27" ht="33.95000076293945" customHeight="1">
      <x:c r="A27" s="345" t="s">
        <x:v>54</x:v>
      </x:c>
      <x:c r="B27" s="346" t="str">
        <x:f>IF(B24&gt;0,"BUKTI BELUM MEMADAI",IF(B22=7,"SIAP DIVALIDASI",IF(B23&gt;0,"MASA IMPLEMENTASI AWAL",IF(B22=0,"BELUM DINILAI","DALAM PENILAIAN"))))</x:f>
        <x:v>SIAP DIVALIDASI</x:v>
      </x:c>
      <x:c r="C27" s="100"/>
      <x:c r="H27" s="79" t="s">
        <x:v>55</x:v>
      </x:c>
      <x:c r="I27" s="97" t="s">
        <x:v>56</x:v>
      </x:c>
      <x:c r="J27" s="97"/>
      <x:c r="K27" s="23"/>
    </x:row>
    <x:row r="28" ht="31.5" customHeight="1">
      <x:c r="A28" s="348" t="s">
        <x:v>57</x:v>
      </x:c>
      <x:c r="B28" s="349" t="str">
        <x:f>IF(B26="","",IF(B26&gt;=80,"KUAT",IF(B26&gt;=60,"CUKUP / PERLU PENGUATAN",IF(B26&gt;=40,"PERLU PERBAIKAN","KRITIS"))))</x:f>
        <x:v>KRITIS</x:v>
      </x:c>
      <x:c r="C28" s="101"/>
    </x:row>
  </x:sheetData>
  <x:mergeCells>
    <x:mergeCell ref="B6:C6"/>
    <x:mergeCell ref="B7:C7"/>
    <x:mergeCell ref="B8:C8"/>
    <x:mergeCell ref="B9:C9"/>
    <x:mergeCell ref="B22:C22"/>
    <x:mergeCell ref="B27:C27"/>
    <x:mergeCell ref="B28:C28"/>
    <x:mergeCell ref="B23:C23"/>
    <x:mergeCell ref="B24:C24"/>
    <x:mergeCell ref="B25:C25"/>
    <x:mergeCell ref="B26:C26"/>
    <x:mergeCell ref="I23:J23"/>
    <x:mergeCell ref="I24:J24"/>
    <x:mergeCell ref="I25:J25"/>
    <x:mergeCell ref="I26:J26"/>
    <x:mergeCell ref="I27:J27"/>
    <x:mergeCell ref="B3:C3"/>
    <x:mergeCell ref="D3:E3"/>
    <x:mergeCell ref="F3:G3"/>
    <x:mergeCell ref="H3:I3"/>
  </x:mergeCells>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0.25" customWidth="1"/>
    <x:col min="2" max="2" width="16.875" customWidth="1"/>
    <x:col min="3" max="3" width="28.5" customWidth="1"/>
    <x:col min="4" max="4" width="26" customWidth="1"/>
    <x:col min="5" max="5" width="23.5" customWidth="1"/>
    <x:col min="6" max="6" width="14.125" customWidth="1"/>
    <x:col min="7" max="7" width="14.375" customWidth="1"/>
    <x:col min="8" max="8" width="3" customWidth="1"/>
    <x:col min="9" max="9" width="13.875" customWidth="1"/>
    <x:col min="10" max="10" width="23.375" customWidth="1"/>
    <x:col min="11" max="11" width="20" customWidth="1"/>
  </x:cols>
  <x:sheetData>
    <x:row r="1" ht="19.5">
      <x:c r="A1" s="1" t="s">
        <x:v>58</x:v>
      </x:c>
      <x:c r="B1" s="1"/>
      <x:c r="C1" s="1"/>
      <x:c r="D1" s="1"/>
      <x:c r="E1" s="1"/>
      <x:c r="F1" s="1"/>
      <x:c r="G1" s="1"/>
      <x:c r="H1" s="1"/>
      <x:c r="I1" s="1"/>
      <x:c r="J1" s="1"/>
      <x:c r="K1" s="1"/>
    </x:row>
    <x:row r="2" ht="76.5">
      <x:c r="A2" s="2" t="s">
        <x:v>59</x:v>
      </x:c>
      <x:c r="B2" s="2"/>
      <x:c r="C2" s="2"/>
      <x:c r="D2" s="2"/>
      <x:c r="E2" s="2"/>
      <x:c r="F2" s="2"/>
      <x:c r="G2" s="2"/>
      <x:c r="H2" s="2"/>
      <x:c r="I2" s="2"/>
      <x:c r="J2" s="2"/>
      <x:c r="K2" s="2"/>
    </x:row>
    <x:row r="3" ht="24" customHeight="1">
      <x:c r="A3" s="3" t="s">
        <x:v>2</x:v>
      </x:c>
      <x:c r="B3" s="533" t="str">
        <x:v>KUNING = input/keputusan</x:v>
      </x:c>
      <x:c r="C3" s="533" t="s">
        <x:v>3</x:v>
      </x:c>
      <x:c r="D3" s="537" t="str">
        <x:v>BIRU = hasil otomatis/ringkasan</x:v>
      </x:c>
      <x:c r="E3" s="537" t="str">
        <x:v>KUNING = perhatian</x:v>
      </x:c>
    </x:row>
    <x:row r="5" ht="15">
      <x:c r="A5" s="6" t="s">
        <x:v>60</x:v>
      </x:c>
      <x:c r="B5" s="6"/>
      <x:c r="C5" s="6"/>
      <x:c r="D5" s="6" t="s">
        <x:v>61</x:v>
      </x:c>
      <x:c r="E5" s="6"/>
      <x:c r="F5" s="6"/>
      <x:c r="G5" s="6"/>
      <x:c r="H5" s="6"/>
      <x:c r="I5" s="6"/>
      <x:c r="J5" s="6"/>
      <x:c r="K5" s="6"/>
    </x:row>
    <x:row r="6" s="128" customFormat="1" ht="42.75">
      <x:c r="A6" s="75" t="s">
        <x:v>54</x:v>
      </x:c>
      <x:c r="B6" s="339" t="str">
        <x:f>PENILAIAN!B27</x:f>
        <x:v>SIAP DIVALIDASI</x:v>
      </x:c>
      <x:c r="D6" s="132" t="s">
        <x:v>62</x:v>
      </x:c>
      <x:c r="E6" s="299" t="str">
        <x:v>IMPLEMENTASI TERBATAS / RENCANA TINDAK LANJUT KUAT</x:v>
      </x:c>
      <x:c r="F6" s="131"/>
      <x:c r="G6" s="131"/>
      <x:c r="H6" s="129"/>
      <x:c r="I6" s="129"/>
      <x:c r="J6" s="129"/>
      <x:c r="K6" s="129"/>
    </x:row>
    <x:row r="7" s="128" customFormat="1" ht="21.75" customHeight="1">
      <x:c r="A7" s="75" t="s">
        <x:v>63</x:v>
      </x:c>
      <x:c r="B7" s="359" t="n">
        <x:f>IF(PENILAIAN!B26="","",PENILAIAN!B26)</x:f>
        <x:v>32.5</x:v>
      </x:c>
      <x:c r="D7" s="133" t="s">
        <x:v>64</x:v>
      </x:c>
      <x:c r="E7" s="299" t="str">
        <x:v>MoU telah berjalan lebih dari 6 bulan. PIC dan rencana tindak lanjut sudah cukup jelas, tetapi realisasi baru tampak pada satu kegiatan dan belum menjangkau keseluruhan ruang lingkup.</x:v>
      </x:c>
      <x:c r="F7" s="131"/>
      <x:c r="G7" s="131"/>
    </x:row>
    <x:row r="8" s="128" customFormat="1" ht="21" customHeight="1">
      <x:c r="A8" s="75" t="s">
        <x:v>57</x:v>
      </x:c>
      <x:c r="B8" s="359" t="str">
        <x:f>IF(PENILAIAN!B28="","",PENILAIAN!B28)</x:f>
        <x:v>KRITIS</x:v>
      </x:c>
      <x:c r="D8" s="134"/>
      <x:c r="E8" s="131"/>
      <x:c r="F8" s="131"/>
      <x:c r="G8" s="131"/>
    </x:row>
    <x:row r="9" s="128" customFormat="1" ht="15">
      <x:c r="A9" s="75" t="s">
        <x:v>65</x:v>
      </x:c>
      <x:c r="B9" s="359" t="n">
        <x:f>PENILAIAN!B22</x:f>
        <x:v>7</x:v>
      </x:c>
      <x:c r="D9" s="135"/>
      <x:c r="E9" s="131"/>
      <x:c r="F9" s="131"/>
      <x:c r="G9" s="131"/>
    </x:row>
    <x:row r="10" s="128" customFormat="1" ht="15">
      <x:c r="A10" s="75" t="s">
        <x:v>66</x:v>
      </x:c>
      <x:c r="B10" s="359" t="n">
        <x:f>PENILAIAN!B23</x:f>
        <x:v>0</x:v>
      </x:c>
    </x:row>
    <x:row r="11" s="128" customFormat="1" ht="15">
      <x:c r="A11" s="75" t="s">
        <x:v>67</x:v>
      </x:c>
      <x:c r="B11" s="359" t="n">
        <x:f>PENILAIAN!B24</x:f>
        <x:v>0</x:v>
      </x:c>
    </x:row>
    <x:row r="12" s="130" customFormat="1" ht="15">
      <x:c r="A12" s="75" t="s">
        <x:v>68</x:v>
      </x:c>
      <x:c r="B12" s="359" t="n">
        <x:f>PENILAIAN!B25</x:f>
        <x:v>100</x:v>
      </x:c>
    </x:row>
    <x:row r="14" ht="15">
      <x:c r="A14" s="6" t="s">
        <x:v>69</x:v>
      </x:c>
      <x:c r="B14" s="6"/>
      <x:c r="C14" s="6"/>
      <x:c r="D14" s="6"/>
      <x:c r="E14" s="6"/>
      <x:c r="F14" s="6"/>
      <x:c r="G14" s="6"/>
      <x:c r="H14" s="6"/>
      <x:c r="I14" s="6"/>
      <x:c r="J14" s="6"/>
      <x:c r="K14" s="6"/>
    </x:row>
    <x:row r="15" ht="15">
      <x:c r="A15" s="400" t="s">
        <x:v>70</x:v>
      </x:c>
      <x:c r="B15" s="401" t="s">
        <x:v>71</x:v>
      </x:c>
      <x:c r="C15" s="401" t="s">
        <x:v>72</x:v>
      </x:c>
      <x:c r="D15" s="401" t="s">
        <x:v>73</x:v>
      </x:c>
      <x:c r="E15" s="401" t="s">
        <x:v>74</x:v>
      </x:c>
      <x:c r="F15" s="401" t="s">
        <x:v>75</x:v>
      </x:c>
      <x:c r="G15" s="401" t="s">
        <x:v>76</x:v>
      </x:c>
      <x:c r="H15" s="402"/>
      <x:c r="I15" s="403" t="s">
        <x:v>77</x:v>
      </x:c>
      <x:c r="J15" s="404"/>
    </x:row>
    <x:row r="16" s="83" customFormat="1" ht="73.5" customHeight="1">
      <x:c r="A16" s="270" t="str">
        <x:v>Masa berlaku</x:v>
      </x:c>
      <x:c r="B16" s="297" t="str">
        <x:v>E0 - Normal</x:v>
      </x:c>
      <x:c r="C16" s="361" t="str">
        <x:v>MoU berlaku 18 November 2025 s.d. 17 November 2030.</x:v>
      </x:c>
      <x:c r="D16" s="361" t="str">
        <x:v>Pertahankan monitoring masa berlaku.</x:v>
      </x:c>
      <x:c r="E16" s="361" t="str">
        <x:v>Pengelola kerja sama</x:v>
      </x:c>
      <x:c r="F16" s="362" t="str">
        <x:v>Review berkala</x:v>
      </x:c>
      <x:c r="G16" s="361" t="str">
        <x:v>BERJALAN</x:v>
      </x:c>
      <x:c r="H16" s="405"/>
      <x:c r="I16" s="365" t="s">
        <x:v>78</x:v>
      </x:c>
      <x:c r="J16" s="375" t="str">
        <x:f>IF(COUNTIF($B$16:$B$19,"E3 - Kritis")&gt;0,"E3 - Kritis",IF(COUNTIF($B$16:$B$19,"E2 - Perlu Tindakan")&gt;0,"E2 - Perlu Tindakan",IF(COUNTIF($B$16:$B$19,"E1 - Perhatian")&gt;0,"E1 - Perhatian",IF(COUNTIF($B$16:$B$19,"E0 - Normal")&gt;0,"E0 - Normal","V0 - Data belum cukup"))))</x:f>
        <x:v>E2 - Perlu Tindakan</x:v>
      </x:c>
    </x:row>
    <x:row r="17" s="83" customFormat="1" ht="73.5" customHeight="1">
      <x:c r="A17" s="270" t="str">
        <x:v>Pelaksanaan / tenggat</x:v>
      </x:c>
      <x:c r="B17" s="299" t="str">
        <x:v>E2 - Perlu Tindakan</x:v>
      </x:c>
      <x:c r="C17" s="361" t="str">
        <x:v>Baru satu kegiatan terbukti terlaksana; ruang lingkup lain belum aktif.</x:v>
      </x:c>
      <x:c r="D17" s="361" t="str">
        <x:v>Jadwalkan implementasi prioritas dari 4 usulan tindak lanjut.</x:v>
      </x:c>
      <x:c r="E17" s="361" t="str">
        <x:v>PIC internal + PIC Polibatam</x:v>
      </x:c>
      <x:c r="F17" s="362" t="str">
        <x:v>Triwulan IV 2026</x:v>
      </x:c>
      <x:c r="G17" s="361" t="str">
        <x:v>PERLU TINDAKAN</x:v>
      </x:c>
      <x:c r="H17" s="405"/>
      <x:c r="I17" s="366" t="s">
        <x:v>79</x:v>
      </x:c>
      <x:c r="J17" s="376" t="s">
        <x:v>80</x:v>
      </x:c>
    </x:row>
    <x:row r="18" s="83" customFormat="1" ht="73.5" customHeight="1">
      <x:c r="A18" s="270" t="str">
        <x:v>Data / evidence</x:v>
      </x:c>
      <x:c r="B18" s="299" t="str">
        <x:v>E1 - Perhatian</x:v>
      </x:c>
      <x:c r="C18" s="361" t="str">
        <x:v>Evidence satu kegiatan dapat ditelusuri, tetapi repository keseluruhan belum lengkap.</x:v>
      </x:c>
      <x:c r="D18" s="361" t="str">
        <x:v>Konsolidasikan repository evidence P08.</x:v>
      </x:c>
      <x:c r="E18" s="361" t="str">
        <x:v>Pengelola + PIC</x:v>
      </x:c>
      <x:c r="F18" s="362" t="str">
        <x:v>Oktober 2026</x:v>
      </x:c>
      <x:c r="G18" s="361" t="str">
        <x:v>DALAM TINDAK LANJUT</x:v>
      </x:c>
      <x:c r="H18" s="405"/>
      <x:c r="I18" s="366" t="s">
        <x:v>81</x:v>
      </x:c>
      <x:c r="J18" s="376" t="str">
        <x:v>Fokus pengendalian pada percepatan implementasi dan realisasi empat tindak lanjut KI yang sudah teridentifikasi.</x:v>
      </x:c>
    </x:row>
    <x:row r="19" s="83" customFormat="1" ht="104.25" customHeight="1">
      <x:c r="A19" s="274" t="str">
        <x:v>Penanggung jawab / koordinasi</x:v>
      </x:c>
      <x:c r="B19" s="304" t="str">
        <x:v>E1 - Perhatian</x:v>
      </x:c>
      <x:c r="C19" s="377" t="str">
        <x:v>PIC mitra jelas dan usulan rinci; PIC internal belum terdokumentasi.</x:v>
      </x:c>
      <x:c r="D19" s="377" t="str">
        <x:v>Tetapkan PIC internal/focal point dan alur koordinasi dengan Sentra HKI.</x:v>
      </x:c>
      <x:c r="E19" s="377" t="str">
        <x:v>Pengelola kerja sama</x:v>
      </x:c>
      <x:c r="F19" s="378" t="str">
        <x:v>Oktober 2026</x:v>
      </x:c>
      <x:c r="G19" s="377" t="str">
        <x:v>DALAM TINDAK LANJUT</x:v>
      </x:c>
      <x:c r="H19" s="406"/>
      <x:c r="I19" s="380"/>
      <x:c r="J19" s="381"/>
    </x:row>
    <x:row r="21" ht="15">
      <x:c r="A21" s="6" t="s">
        <x:v>82</x:v>
      </x:c>
      <x:c r="B21" s="6"/>
      <x:c r="C21" s="6"/>
      <x:c r="D21" s="6"/>
      <x:c r="E21" s="6"/>
      <x:c r="F21" s="6"/>
      <x:c r="G21" s="6"/>
      <x:c r="H21" s="6"/>
      <x:c r="I21" s="6"/>
      <x:c r="J21" s="6"/>
      <x:c r="K21" s="6"/>
    </x:row>
    <x:row r="22" ht="44" customHeight="1">
      <x:c r="A22" s="415" t="s">
        <x:v>83</x:v>
      </x:c>
      <x:c r="B22" s="718" t="str">
        <x:v>TIDAK</x:v>
      </x:c>
      <x:c r="D22" s="112" t="s">
        <x:v>84</x:v>
      </x:c>
      <x:c r="E22" s="111" t="s">
        <x:v>85</x:v>
      </x:c>
      <x:c r="F22" s="111"/>
      <x:c r="G22" s="17"/>
      <x:c r="H22" s="17"/>
      <x:c r="I22" s="17"/>
      <x:c r="J22" s="17"/>
      <x:c r="K22" s="18"/>
    </x:row>
    <x:row r="23" ht="50" customHeight="1">
      <x:c r="A23" s="416" t="s">
        <x:v>86</x:v>
      </x:c>
      <x:c r="B23" s="719" t="str">
        <x:v>Masih dapat diselesaikan pada level pengelola/PIC dengan koordinasi DJKI sesuai kebutuhan</x:v>
      </x:c>
      <x:c r="D23" s="113"/>
      <x:c r="E23" s="111"/>
      <x:c r="F23" s="111"/>
      <x:c r="G23" s="20"/>
      <x:c r="H23" s="20"/>
      <x:c r="I23" s="20"/>
      <x:c r="J23" s="20"/>
      <x:c r="K23" s="21"/>
    </x:row>
    <x:row r="24" ht="105" customHeight="1">
      <x:c r="A24" s="417" t="s">
        <x:v>87</x:v>
      </x:c>
      <x:c r="B24" s="720" t="str">
        <x:v>Belum ada kebutuhan keputusan pimpinan; prioritas saat ini adalah eksekusi rencana tindak lanjut dan penataan evidence.</x:v>
      </x:c>
      <x:c r="D24" s="22"/>
      <x:c r="E24" s="23"/>
      <x:c r="F24" s="23"/>
      <x:c r="G24" s="23"/>
      <x:c r="H24" s="23"/>
      <x:c r="I24" s="23"/>
      <x:c r="J24" s="23"/>
      <x:c r="K24" s="24"/>
    </x:row>
  </x:sheetData>
  <x:mergeCells>
    <x:mergeCell ref="E6:G6"/>
    <x:mergeCell ref="E7:G9"/>
    <x:mergeCell ref="D7:D9"/>
    <x:mergeCell ref="J18:J19"/>
    <x:mergeCell ref="I18:I19"/>
    <x:mergeCell ref="E22:F23"/>
    <x:mergeCell ref="D22:D23"/>
    <x:mergeCell ref="B3:C3"/>
    <x:mergeCell ref="D3:E3"/>
  </x:mergeCells>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15.5"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24" customHeight="1">
      <x:c r="A3" s="3" t="s">
        <x:v>2</x:v>
      </x:c>
      <x:c r="B3" s="533" t="str">
        <x:v>KUNING = input/validasi/keputusan</x:v>
      </x:c>
      <x:c r="C3" s="533" t="s">
        <x:v>3</x:v>
      </x:c>
      <x:c r="D3" s="537" t="str">
        <x:v>BIRU = ringkasan/hasil otomatis</x:v>
      </x:c>
      <x:c r="E3" s="537" t="str">
        <x:v>BIRU = ringkasan otomatis</x:v>
      </x:c>
    </x:row>
    <x:row r="5" ht="15">
      <x:c r="A5" s="511" t="s">
        <x:v>90</x:v>
      </x:c>
      <x:c r="B5" s="512"/>
      <x:c r="C5" s="512"/>
      <x:c r="D5" s="512" t="s">
        <x:v>91</x:v>
      </x:c>
      <x:c r="E5" s="513"/>
      <x:c r="F5" s="81"/>
      <x:c r="G5" s="81"/>
      <x:c r="H5" s="81"/>
      <x:c r="I5" s="81"/>
      <x:c r="J5" s="81"/>
      <x:c r="K5" s="81"/>
    </x:row>
    <x:row r="6" ht="28.5">
      <x:c r="A6" s="487" t="s">
        <x:v>54</x:v>
      </x:c>
      <x:c r="B6" s="423" t="str">
        <x:f>PENILAIAN!B27</x:f>
        <x:v>SIAP DIVALIDASI</x:v>
      </x:c>
      <x:c r="C6" s="405"/>
      <x:c r="D6" s="488" t="s">
        <x:v>92</x:v>
      </x:c>
      <x:c r="E6" s="273" t="str">
        <x:v>DRAFT — BELUM DIVALIDASI</x:v>
      </x:c>
    </x:row>
    <x:row r="7" ht="15">
      <x:c r="A7" s="487" t="s">
        <x:v>63</x:v>
      </x:c>
      <x:c r="B7" s="424" t="n">
        <x:f>IF(PENILAIAN!B26="","",PENILAIAN!B26)</x:f>
        <x:v>32.5</x:v>
      </x:c>
      <x:c r="C7" s="405"/>
      <x:c r="D7" s="488" t="s">
        <x:v>93</x:v>
      </x:c>
      <x:c r="E7" s="273"/>
    </x:row>
    <x:row r="8" ht="15">
      <x:c r="A8" s="487" t="s">
        <x:v>57</x:v>
      </x:c>
      <x:c r="B8" s="424" t="str">
        <x:f>IF(PENILAIAN!B28="","",PENILAIAN!B28)</x:f>
        <x:v>KRITIS</x:v>
      </x:c>
      <x:c r="C8" s="405"/>
      <x:c r="D8" s="488" t="s">
        <x:v>94</x:v>
      </x:c>
      <x:c r="E8" s="441"/>
    </x:row>
    <x:row r="9" ht="33" customHeight="1">
      <x:c r="A9" s="487" t="s">
        <x:v>62</x:v>
      </x:c>
      <x:c r="B9" s="424" t="str">
        <x:f>IF(KENDALI!E6="","",KENDALI!E6)</x:f>
        <x:v>IMPLEMENTASI TERBATAS / RENCANA TINDAK LANJUT KUAT</x:v>
      </x:c>
      <x:c r="C9" s="405"/>
      <x:c r="D9" s="489" t="s">
        <x:v>95</x:v>
      </x:c>
      <x:c r="E9" s="443" t="str">
        <x:v>Penilaian menggunakan Final Baseline P08 dan polibatam.xlsx sebagai evidence terbaru. MoU sudah &gt;6 bulan sehingga seluruh I1–I7 dinilai.</x:v>
      </x:c>
    </x:row>
    <x:row r="10" ht="33" customHeight="1">
      <x:c r="A10" s="487" t="s">
        <x:v>78</x:v>
      </x:c>
      <x:c r="B10" s="424" t="str">
        <x:f>IF(KENDALI!J16="","",KENDALI!J16)</x:f>
        <x:v>E2 - Perlu Tindakan</x:v>
      </x:c>
      <x:c r="C10" s="405"/>
      <x:c r="D10" s="490"/>
      <x:c r="E10" s="445"/>
    </x:row>
    <x:row r="11" ht="15">
      <x:c r="A11" s="487" t="s">
        <x:v>96</x:v>
      </x:c>
      <x:c r="B11" s="424" t="str">
        <x:f>IF(KENDALI!B22="","",KENDALI!B22)</x:f>
        <x:v>TIDAK</x:v>
      </x:c>
      <x:c r="C11" s="405"/>
      <x:c r="D11" s="490"/>
      <x:c r="E11" s="445"/>
    </x:row>
    <x:row r="12" ht="15">
      <x:c r="A12" s="487" t="s">
        <x:v>66</x:v>
      </x:c>
      <x:c r="B12" s="424" t="n">
        <x:f>PENILAIAN!B23</x:f>
        <x:v>0</x:v>
      </x:c>
      <x:c r="C12" s="405"/>
      <x:c r="D12" s="490"/>
      <x:c r="E12" s="445"/>
    </x:row>
    <x:row r="13" ht="15">
      <x:c r="A13" s="491" t="s">
        <x:v>67</x:v>
      </x:c>
      <x:c r="B13" s="447" t="n">
        <x:f>PENILAIAN!B24</x:f>
        <x:v>0</x:v>
      </x:c>
      <x:c r="C13" s="406"/>
      <x:c r="D13" s="492"/>
      <x:c r="E13" s="381"/>
    </x:row>
    <x:row r="14">
      <x:c r="A14" s="405"/>
      <x:c r="B14" s="405"/>
      <x:c r="C14" s="405"/>
      <x:c r="D14" s="405"/>
      <x:c r="E14" s="405"/>
    </x:row>
    <x:row r="15" ht="15">
      <x:c r="A15" s="511" t="s">
        <x:v>97</x:v>
      </x:c>
      <x:c r="B15" s="512"/>
      <x:c r="C15" s="512"/>
      <x:c r="D15" s="512"/>
      <x:c r="E15" s="513"/>
      <x:c r="F15" s="81"/>
      <x:c r="G15" s="81"/>
      <x:c r="H15" s="81"/>
      <x:c r="I15" s="81"/>
      <x:c r="J15" s="81"/>
      <x:c r="K15" s="81"/>
    </x:row>
    <x:row r="16" ht="180" customHeight="1">
      <x:c r="A16" s="493" t="s">
        <x:v>98</x:v>
      </x:c>
      <x:c r="B16" s="255" t="str">
        <x:v>Dibanding baseline, kini telah tersedia PIC mitra, satu kegiatan dengan bukti, dan empat usulan tindak lanjut yang sangat spesifik pada isu KI. Namun implementasi aktual masih terbatas dibanding luasnya ruang lingkup MoU.</x:v>
      </x:c>
      <x:c r="C16" s="405"/>
      <x:c r="D16" s="462" t="s">
        <x:v>84</x:v>
      </x:c>
      <x:c r="E16" s="463" t="s">
        <x:v>99</x:v>
      </x:c>
      <x:c r="F16" s="25"/>
      <x:c r="G16" s="25"/>
      <x:c r="H16" s="25"/>
      <x:c r="I16" s="25"/>
      <x:c r="J16" s="25"/>
      <x:c r="K16" s="26"/>
    </x:row>
    <x:row r="17" ht="87.75" customHeight="1">
      <x:c r="A17" s="493" t="s">
        <x:v>100</x:v>
      </x:c>
      <x:c r="B17" s="257" t="str">
        <x:v>PERCEPAT IMPLEMENTASI DAN TUNTASKAN TINDAK LANJUT PRIORITAS KI</x:v>
      </x:c>
      <x:c r="C17" s="405"/>
      <x:c r="D17" s="405"/>
      <x:c r="E17" s="464"/>
      <x:c r="F17" s="27"/>
      <x:c r="G17" s="27"/>
      <x:c r="H17" s="27"/>
      <x:c r="I17" s="27"/>
      <x:c r="J17" s="27"/>
      <x:c r="K17" s="28"/>
    </x:row>
    <x:row r="18" ht="167.25" customHeight="1">
      <x:c r="A18" s="493" t="s">
        <x:v>86</x:v>
      </x:c>
      <x:c r="B18" s="257" t="str">
        <x:v>Rencana kerja sudah cukup konkret, tetapi manfaat kerja sama belum akan kuat tanpa realisasi kegiatan dan output yang lebih luas.</x:v>
      </x:c>
      <x:c r="C18" s="405"/>
      <x:c r="D18" s="405"/>
      <x:c r="E18" s="464"/>
      <x:c r="F18" s="29"/>
      <x:c r="G18" s="29"/>
      <x:c r="H18" s="29"/>
      <x:c r="I18" s="29"/>
      <x:c r="J18" s="29"/>
      <x:c r="K18" s="30"/>
    </x:row>
    <x:row r="19" ht="215.25" customHeight="1">
      <x:c r="A19" s="493" t="s">
        <x:v>101</x:v>
      </x:c>
      <x:c r="B19" s="257" t="str">
        <x:v>1) Tetapkan PIC internal; 2) jadwalkan empat tindak lanjut KI; 3) pendampingan dokumen/pemeriksaan awal KI; 4) koordinasi isu tarif/prosedur dengan DJKI; 5) fasilitasi lisensi dan percepatan pemeriksaan paten; 6) mulai aktivasi ruang lingkup Tri Dharma lainnya; 7) ukur hasil dan konsolidasikan evidence.</x:v>
      </x:c>
      <x:c r="C19" s="405"/>
      <x:c r="D19" s="405"/>
      <x:c r="E19" s="464"/>
      <x:c r="F19" s="27"/>
      <x:c r="G19" s="27"/>
      <x:c r="H19" s="27"/>
      <x:c r="I19" s="27"/>
      <x:c r="J19" s="27"/>
      <x:c r="K19" s="28"/>
    </x:row>
    <x:row r="20" ht="81.75" customHeight="1">
      <x:c r="A20" s="493" t="s">
        <x:v>74</x:v>
      </x:c>
      <x:c r="B20" s="257" t="str">
        <x:v>Pengelola kerja sama dan unit pengampu KI Kanwil bersama PIC Politeknik Negeri Batam</x:v>
      </x:c>
      <x:c r="C20" s="405"/>
      <x:c r="D20" s="405"/>
      <x:c r="E20" s="464"/>
      <x:c r="F20" s="27"/>
      <x:c r="G20" s="27"/>
      <x:c r="H20" s="27"/>
      <x:c r="I20" s="27"/>
      <x:c r="J20" s="27"/>
      <x:c r="K20" s="28"/>
    </x:row>
    <x:row r="21" ht="69" customHeight="1">
      <x:c r="A21" s="514" t="s">
        <x:v>102</x:v>
      </x:c>
      <x:c r="B21" s="466" t="str">
        <x:v>Triwulan IV 2026 untuk implementasi prioritas; review hasil pada akhir Triwulan IV 2026</x:v>
      </x:c>
      <x:c r="C21" s="406"/>
      <x:c r="D21" s="406"/>
      <x:c r="E21" s="467"/>
      <x:c r="F21" s="29"/>
      <x:c r="G21" s="29"/>
      <x:c r="H21" s="29"/>
      <x:c r="I21" s="29"/>
      <x:c r="J21" s="29"/>
      <x:c r="K21" s="30"/>
    </x:row>
    <x:row r="22">
      <x:c r="A22" s="405"/>
      <x:c r="B22" s="405"/>
      <x:c r="C22" s="405"/>
      <x:c r="D22" s="405"/>
      <x:c r="E22" s="405"/>
    </x:row>
    <x:row r="23" ht="15">
      <x:c r="A23" s="511" t="s">
        <x:v>103</x:v>
      </x:c>
      <x:c r="B23" s="513"/>
      <x:c r="C23" s="515"/>
      <x:c r="D23" s="515"/>
      <x:c r="E23" s="515"/>
      <x:c r="F23" s="81"/>
      <x:c r="G23" s="81"/>
      <x:c r="H23" s="81"/>
      <x:c r="I23" s="81"/>
      <x:c r="J23" s="81"/>
      <x:c r="K23" s="81"/>
    </x:row>
    <x:row r="24" ht="15">
      <x:c r="A24" s="516" t="s">
        <x:v>104</x:v>
      </x:c>
      <x:c r="B24" s="475" t="str">
        <x:v>BELUM DIPUTUSKAN</x:v>
      </x:c>
      <x:c r="C24" s="405"/>
      <x:c r="D24" s="405"/>
      <x:c r="E24" s="405"/>
      <x:c r="F24" s="25"/>
      <x:c r="G24" s="25"/>
      <x:c r="H24" s="25"/>
      <x:c r="I24" s="25"/>
      <x:c r="J24" s="25"/>
      <x:c r="K24" s="26"/>
    </x:row>
    <x:row r="25" ht="15">
      <x:c r="A25" s="516" t="s">
        <x:v>105</x:v>
      </x:c>
      <x:c r="B25" s="475" t="str">
        <x:v>-</x:v>
      </x:c>
      <x:c r="C25" s="405"/>
      <x:c r="D25" s="405"/>
      <x:c r="E25" s="405"/>
      <x:c r="F25" s="27"/>
      <x:c r="G25" s="27"/>
      <x:c r="H25" s="27"/>
      <x:c r="I25" s="27"/>
      <x:c r="J25" s="27"/>
      <x:c r="K25" s="28"/>
    </x:row>
    <x:row r="26" ht="15">
      <x:c r="A26" s="516" t="s">
        <x:v>106</x:v>
      </x:c>
      <x:c r="B26" s="476" t="str">
        <x:v>-</x:v>
      </x:c>
      <x:c r="C26" s="405"/>
      <x:c r="D26" s="405"/>
      <x:c r="E26" s="405"/>
      <x:c r="F26" s="27"/>
      <x:c r="G26" s="27"/>
      <x:c r="H26" s="27"/>
      <x:c r="I26" s="27"/>
      <x:c r="J26" s="27"/>
      <x:c r="K26" s="28"/>
    </x:row>
    <x:row r="27" ht="15">
      <x:c r="A27" s="516" t="s">
        <x:v>107</x:v>
      </x:c>
      <x:c r="B27" s="475" t="str">
        <x:v>-</x:v>
      </x:c>
      <x:c r="C27" s="405"/>
      <x:c r="D27" s="405"/>
      <x:c r="E27" s="405"/>
      <x:c r="F27" s="27"/>
      <x:c r="G27" s="27"/>
      <x:c r="H27" s="27"/>
      <x:c r="I27" s="27"/>
      <x:c r="J27" s="27"/>
      <x:c r="K27" s="28"/>
    </x:row>
    <x:row r="28" ht="15">
      <x:c r="A28" s="517" t="s">
        <x:v>108</x:v>
      </x:c>
      <x:c r="B28" s="478" t="str">
        <x:v>-</x:v>
      </x:c>
      <x:c r="C28" s="405"/>
      <x:c r="D28" s="405"/>
      <x:c r="E28" s="405"/>
      <x:c r="F28" s="29"/>
      <x:c r="G28" s="29"/>
      <x:c r="H28" s="29"/>
      <x:c r="I28" s="29"/>
      <x:c r="J28" s="29"/>
      <x:c r="K28" s="30"/>
    </x:row>
    <x:row r="29">
      <x:c r="A29" s="88"/>
      <x:c r="B29" s="88" t="str">
        <x:v>-</x:v>
      </x:c>
    </x:row>
  </x:sheetData>
  <x:mergeCells>
    <x:mergeCell ref="E9:E13"/>
    <x:mergeCell ref="D9:D13"/>
    <x:mergeCell ref="B3:C3"/>
    <x:mergeCell ref="D3:E3"/>
  </x:mergeCells>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21.375" style="127" customWidth="1"/>
    <x:col min="2" max="2" width="7.375" style="127" customWidth="1"/>
    <x:col min="3" max="3" width="22.5" style="127" customWidth="1"/>
    <x:col min="4" max="4" width="18.75" style="127" customWidth="1"/>
    <x:col min="5" max="5" width="18.125" style="127" customWidth="1"/>
    <x:col min="6" max="6" width="22.25" style="127" customWidth="1"/>
    <x:col min="7" max="7" width="21.875" style="127" customWidth="1"/>
    <x:col min="8" max="8" width="19.875" style="127" customWidth="1"/>
    <x:col min="9" max="9" width="18" style="127" customWidth="1"/>
  </x:cols>
  <x:sheetData>
    <x:row r="1" ht="19.5">
      <x:c r="A1" s="116" t="s">
        <x:v>109</x:v>
      </x:c>
      <x:c r="B1" s="116"/>
      <x:c r="C1" s="116"/>
      <x:c r="D1" s="116"/>
      <x:c r="E1" s="116"/>
      <x:c r="F1" s="116"/>
      <x:c r="G1" s="116"/>
      <x:c r="H1" s="116"/>
      <x:c r="I1" s="116"/>
    </x:row>
    <x:row r="2" ht="51" customHeight="1">
      <x:c r="A2" s="115" t="s">
        <x:v>110</x:v>
      </x:c>
      <x:c r="B2" s="115"/>
      <x:c r="C2" s="115"/>
      <x:c r="D2" s="115"/>
      <x:c r="E2" s="115"/>
      <x:c r="F2" s="114"/>
      <x:c r="G2" s="114"/>
      <x:c r="H2" s="114"/>
      <x:c r="I2" s="114"/>
    </x:row>
    <x:row r="4" ht="15">
      <x:c r="A4" s="15" t="s">
        <x:v>14</x:v>
      </x:c>
      <x:c r="B4" s="15" t="s">
        <x:v>15</x:v>
      </x:c>
      <x:c r="C4" s="15" t="s">
        <x:v>111</x:v>
      </x:c>
      <x:c r="D4" s="15" t="s">
        <x:v>112</x:v>
      </x:c>
      <x:c r="E4" s="15" t="s">
        <x:v>113</x:v>
      </x:c>
      <x:c r="F4" s="15" t="s">
        <x:v>114</x:v>
      </x:c>
      <x:c r="G4" s="15" t="s">
        <x:v>115</x:v>
      </x:c>
      <x:c r="H4" s="15" t="s">
        <x:v>116</x:v>
      </x:c>
      <x:c r="I4" s="15" t="s">
        <x:v>81</x:v>
      </x:c>
    </x:row>
    <x:row r="5" ht="110.0999984741211" customHeight="1">
      <x:c r="A5" s="117" t="s">
        <x:v>25</x:v>
      </x:c>
      <x:c r="B5" s="118">
        <x:v>10</x:v>
      </x:c>
      <x:c r="C5" s="78" t="s">
        <x:v>117</x:v>
      </x:c>
      <x:c r="D5" s="78" t="s">
        <x:v>118</x:v>
      </x:c>
      <x:c r="E5" s="78" t="s">
        <x:v>119</x:v>
      </x:c>
      <x:c r="F5" s="78" t="s">
        <x:v>120</x:v>
      </x:c>
      <x:c r="G5" s="78" t="s">
        <x:v>121</x:v>
      </x:c>
      <x:c r="H5" s="78" t="s">
        <x:v>122</x:v>
      </x:c>
      <x:c r="I5" s="119" t="s">
        <x:v>123</x:v>
      </x:c>
    </x:row>
    <x:row r="6" ht="110.0999984741211" customHeight="1">
      <x:c r="A6" s="120" t="s">
        <x:v>27</x:v>
      </x:c>
      <x:c r="B6" s="121">
        <x:v>15</x:v>
      </x:c>
      <x:c r="C6" s="77" t="s">
        <x:v>124</x:v>
      </x:c>
      <x:c r="D6" s="77" t="s">
        <x:v>125</x:v>
      </x:c>
      <x:c r="E6" s="77" t="s">
        <x:v>126</x:v>
      </x:c>
      <x:c r="F6" s="77" t="s">
        <x:v>127</x:v>
      </x:c>
      <x:c r="G6" s="77" t="s">
        <x:v>128</x:v>
      </x:c>
      <x:c r="H6" s="77" t="s">
        <x:v>129</x:v>
      </x:c>
      <x:c r="I6" s="122"/>
    </x:row>
    <x:row r="7" ht="110.0999984741211" customHeight="1">
      <x:c r="A7" s="120" t="s">
        <x:v>29</x:v>
      </x:c>
      <x:c r="B7" s="121">
        <x:v>15</x:v>
      </x:c>
      <x:c r="C7" s="77" t="s">
        <x:v>130</x:v>
      </x:c>
      <x:c r="D7" s="77" t="s">
        <x:v>131</x:v>
      </x:c>
      <x:c r="E7" s="77" t="s">
        <x:v>132</x:v>
      </x:c>
      <x:c r="F7" s="77" t="s">
        <x:v>133</x:v>
      </x:c>
      <x:c r="G7" s="77" t="s">
        <x:v>134</x:v>
      </x:c>
      <x:c r="H7" s="77" t="s">
        <x:v>135</x:v>
      </x:c>
      <x:c r="I7" s="122"/>
    </x:row>
    <x:row r="8" ht="110.0999984741211" customHeight="1">
      <x:c r="A8" s="120" t="s">
        <x:v>31</x:v>
      </x:c>
      <x:c r="B8" s="121">
        <x:v>20</x:v>
      </x:c>
      <x:c r="C8" s="77" t="s">
        <x:v>136</x:v>
      </x:c>
      <x:c r="D8" s="77" t="s">
        <x:v>137</x:v>
      </x:c>
      <x:c r="E8" s="77" t="s">
        <x:v>138</x:v>
      </x:c>
      <x:c r="F8" s="77" t="s">
        <x:v>139</x:v>
      </x:c>
      <x:c r="G8" s="77" t="s">
        <x:v>140</x:v>
      </x:c>
      <x:c r="H8" s="77" t="s">
        <x:v>141</x:v>
      </x:c>
      <x:c r="I8" s="122" t="s">
        <x:v>142</x:v>
      </x:c>
    </x:row>
    <x:row r="9" ht="110.0999984741211" customHeight="1">
      <x:c r="A9" s="120" t="s">
        <x:v>33</x:v>
      </x:c>
      <x:c r="B9" s="121">
        <x:v>20</x:v>
      </x:c>
      <x:c r="C9" s="77" t="s">
        <x:v>143</x:v>
      </x:c>
      <x:c r="D9" s="77" t="s">
        <x:v>144</x:v>
      </x:c>
      <x:c r="E9" s="77" t="s">
        <x:v>145</x:v>
      </x:c>
      <x:c r="F9" s="77" t="s">
        <x:v>146</x:v>
      </x:c>
      <x:c r="G9" s="77" t="s">
        <x:v>147</x:v>
      </x:c>
      <x:c r="H9" s="77" t="s">
        <x:v>148</x:v>
      </x:c>
      <x:c r="I9" s="122" t="s">
        <x:v>149</x:v>
      </x:c>
    </x:row>
    <x:row r="10" ht="110.0999984741211" customHeight="1">
      <x:c r="A10" s="120" t="s">
        <x:v>35</x:v>
      </x:c>
      <x:c r="B10" s="121">
        <x:v>10</x:v>
      </x:c>
      <x:c r="C10" s="77" t="s">
        <x:v>150</x:v>
      </x:c>
      <x:c r="D10" s="77" t="s">
        <x:v>151</x:v>
      </x:c>
      <x:c r="E10" s="77" t="s">
        <x:v>152</x:v>
      </x:c>
      <x:c r="F10" s="77" t="s">
        <x:v>153</x:v>
      </x:c>
      <x:c r="G10" s="77" t="s">
        <x:v>154</x:v>
      </x:c>
      <x:c r="H10" s="77" t="s">
        <x:v>155</x:v>
      </x:c>
      <x:c r="I10" s="122" t="s">
        <x:v>156</x:v>
      </x:c>
    </x:row>
    <x:row r="11" ht="110.0999984741211" customHeight="1">
      <x:c r="A11" s="123" t="s">
        <x:v>37</x:v>
      </x:c>
      <x:c r="B11" s="124">
        <x:v>10</x:v>
      </x:c>
      <x:c r="C11" s="125" t="s">
        <x:v>157</x:v>
      </x:c>
      <x:c r="D11" s="125" t="s">
        <x:v>158</x:v>
      </x:c>
      <x:c r="E11" s="125" t="s">
        <x:v>159</x:v>
      </x:c>
      <x:c r="F11" s="125" t="s">
        <x:v>160</x:v>
      </x:c>
      <x:c r="G11" s="125" t="s">
        <x:v>161</x:v>
      </x:c>
      <x:c r="H11" s="125" t="s">
        <x:v>162</x:v>
      </x:c>
      <x:c r="I11" s="126" t="s">
        <x:v>163</x:v>
      </x:c>
    </x:row>
  </x:sheetData>
  <x:mergeCells>
    <x:mergeCell ref="A2:E2"/>
  </x:mergeCells>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3">
      <x:c r="A3" s="529" t="str">
        <x:v>Legenda warna</x:v>
      </x:c>
      <x:c r="B3" s="529" t="str">
        <x:v>KUNING #FFF2CC = input/keputusan pengguna</x:v>
      </x:c>
      <x:c r="C3" s="529" t="str">
        <x:v>BIRU = data sumber/hasil otomatis; HIJAU = DAPAT DINILAI; ABU = BELUM DAPAT DINILAI</x:v>
      </x:c>
    </x:row>
    <x:row r="4" ht="15">
      <x:c r="A4" s="6" t="s">
        <x:v>166</x:v>
      </x:c>
      <x:c r="B4" s="6"/>
      <x:c r="C4" s="6"/>
      <x:c r="D4" s="6"/>
      <x:c r="E4" s="6"/>
      <x:c r="F4" s="6"/>
    </x:row>
    <x:row r="5" ht="15">
      <x:c r="A5" s="35" t="s">
        <x:v>167</x:v>
      </x:c>
      <x:c r="B5" s="36" t="s">
        <x:v>168</x:v>
      </x:c>
    </x:row>
    <x:row r="6" ht="28.5">
      <x:c r="A6" s="19" t="s">
        <x:v>169</x:v>
      </x:c>
      <x:c r="B6" s="21" t="s">
        <x:v>170</x:v>
      </x:c>
    </x:row>
    <x:row r="7" ht="42.75">
      <x:c r="A7" s="19" t="s">
        <x:v>171</x:v>
      </x:c>
      <x:c r="B7" s="21" t="s">
        <x:v>172</x:v>
      </x:c>
    </x:row>
    <x:row r="8">
      <x:c r="A8" s="19" t="s">
        <x:v>93</x:v>
      </x:c>
      <x:c r="B8" s="21" t="s">
        <x:v>173</x:v>
      </x:c>
    </x:row>
    <x:row r="9" ht="28.5">
      <x:c r="A9" s="22" t="s">
        <x:v>174</x:v>
      </x:c>
      <x:c r="B9" s="24" t="s">
        <x:v>175</x:v>
      </x:c>
    </x:row>
    <x:row r="11" ht="15">
      <x:c r="A11" s="6" t="s">
        <x:v>176</x:v>
      </x:c>
      <x:c r="B11" s="6"/>
      <x:c r="C11" s="6"/>
      <x:c r="D11" s="6"/>
      <x:c r="E11" s="6"/>
      <x:c r="F11" s="6"/>
    </x:row>
    <x:row r="12" ht="28.5">
      <x:c r="A12" s="32" t="s">
        <x:v>43</x:v>
      </x:c>
      <x:c r="B12" s="17" t="s">
        <x:v>177</x:v>
      </x:c>
      <x:c r="C12" s="18" t="s">
        <x:v>178</x:v>
      </x:c>
    </x:row>
    <x:row r="13" ht="28.5">
      <x:c r="A13" s="33" t="s">
        <x:v>46</x:v>
      </x:c>
      <x:c r="B13" s="20" t="s">
        <x:v>179</x:v>
      </x:c>
      <x:c r="C13" s="21" t="s">
        <x:v>180</x:v>
      </x:c>
    </x:row>
    <x:row r="14" ht="28.5">
      <x:c r="A14" s="33" t="s">
        <x:v>49</x:v>
      </x:c>
      <x:c r="B14" s="20" t="s">
        <x:v>181</x:v>
      </x:c>
      <x:c r="C14" s="21" t="s">
        <x:v>182</x:v>
      </x:c>
    </x:row>
    <x:row r="15" ht="15">
      <x:c r="A15" s="33" t="s">
        <x:v>52</x:v>
      </x:c>
      <x:c r="B15" s="20" t="s">
        <x:v>183</x:v>
      </x:c>
      <x:c r="C15" s="21" t="s">
        <x:v>184</x:v>
      </x:c>
    </x:row>
    <x:row r="16" ht="28.5">
      <x:c r="A16" s="34" t="s">
        <x:v>55</x:v>
      </x:c>
      <x:c r="B16" s="23" t="s">
        <x:v>185</x:v>
      </x:c>
      <x:c r="C16" s="24" t="s">
        <x:v>186</x:v>
      </x:c>
    </x:row>
    <x:row r="20" ht="15">
      <x:c r="A20" s="6" t="s">
        <x:v>187</x:v>
      </x:c>
      <x:c r="B20" s="6"/>
      <x:c r="C20" s="6"/>
      <x:c r="D20" s="6"/>
      <x:c r="E20" s="6"/>
      <x:c r="F20" s="6"/>
    </x:row>
    <x:row r="21" ht="15">
      <x:c r="A21" s="35" t="s">
        <x:v>71</x:v>
      </x:c>
      <x:c r="B21" s="37" t="s">
        <x:v>188</x:v>
      </x:c>
      <x:c r="C21" s="36" t="s">
        <x:v>189</x:v>
      </x:c>
    </x:row>
    <x:row r="22">
      <x:c r="A22" s="19" t="s">
        <x:v>190</x:v>
      </x:c>
      <x:c r="B22" s="20" t="s">
        <x:v>191</x:v>
      </x:c>
      <x:c r="C22" s="21" t="s">
        <x:v>192</x:v>
      </x:c>
    </x:row>
    <x:row r="23" ht="28.5">
      <x:c r="A23" s="19" t="s">
        <x:v>193</x:v>
      </x:c>
      <x:c r="B23" s="20" t="s">
        <x:v>194</x:v>
      </x:c>
      <x:c r="C23" s="21" t="s">
        <x:v>195</x:v>
      </x:c>
    </x:row>
    <x:row r="24" ht="57">
      <x:c r="A24" s="22" t="s">
        <x:v>196</x:v>
      </x:c>
      <x:c r="B24" s="23" t="s">
        <x:v>197</x:v>
      </x:c>
      <x:c r="C24" s="24" t="s">
        <x:v>195</x:v>
      </x:c>
    </x:row>
    <x:row r="27" ht="15">
      <x:c r="A27" s="6" t="s">
        <x:v>198</x:v>
      </x:c>
      <x:c r="B27" s="6"/>
      <x:c r="C27" s="6"/>
      <x:c r="D27" s="6"/>
      <x:c r="E27" s="6"/>
      <x:c r="F27" s="6"/>
    </x:row>
    <x:row r="28" ht="28.5">
      <x:c r="A28" s="32" t="s">
        <x:v>112</x:v>
      </x:c>
      <x:c r="B28" s="18" t="s">
        <x:v>199</x:v>
      </x:c>
    </x:row>
    <x:row r="29" ht="28.5">
      <x:c r="A29" s="33" t="s">
        <x:v>66</x:v>
      </x:c>
      <x:c r="B29" s="21" t="s">
        <x:v>200</x:v>
      </x:c>
    </x:row>
    <x:row r="30" ht="28.5">
      <x:c r="A30" s="33" t="s">
        <x:v>45</x:v>
      </x:c>
      <x:c r="B30" s="21" t="s">
        <x:v>201</x:v>
      </x:c>
    </x:row>
    <x:row r="31" ht="15">
      <x:c r="A31" s="33" t="s">
        <x:v>51</x:v>
      </x:c>
      <x:c r="B31" s="21" t="s">
        <x:v>202</x:v>
      </x:c>
    </x:row>
    <x:row r="32" ht="57">
      <x:c r="A32" s="34" t="s">
        <x:v>203</x:v>
      </x:c>
      <x:c r="B32" s="24" t="s">
        <x:v>204</x:v>
      </x:c>
      <x:c r="C32" t="s">
        <x:v>205</x:v>
      </x:c>
    </x:row>
    <x:row r="35" ht="15">
      <x:c r="A35" s="6" t="s">
        <x:v>206</x:v>
      </x:c>
      <x:c r="B35" s="6"/>
      <x:c r="C35" s="6"/>
      <x:c r="D35" s="6"/>
      <x:c r="E35" s="6"/>
      <x:c r="F35" s="6"/>
    </x:row>
    <x:row r="36" ht="15">
      <x:c r="A36" s="35" t="s">
        <x:v>207</x:v>
      </x:c>
      <x:c r="B36" s="36" t="s">
        <x:v>208</x:v>
      </x:c>
    </x:row>
    <x:row r="37" ht="28.5">
      <x:c r="A37" s="19" t="s">
        <x:v>209</x:v>
      </x:c>
      <x:c r="B37" s="21" t="s">
        <x:v>210</x:v>
      </x:c>
    </x:row>
    <x:row r="38" ht="28.5">
      <x:c r="A38" s="19" t="s">
        <x:v>211</x:v>
      </x:c>
      <x:c r="B38" s="21" t="s">
        <x:v>212</x:v>
      </x:c>
    </x:row>
    <x:row r="39" ht="28.5">
      <x:c r="A39" s="19" t="s">
        <x:v>213</x:v>
      </x:c>
      <x:c r="B39" s="21" t="s">
        <x:v>214</x:v>
      </x:c>
    </x:row>
    <x:row r="40" ht="28.5">
      <x:c r="A40" s="22" t="s">
        <x:v>215</x:v>
      </x:c>
      <x:c r="B40" s="24" t="s">
        <x:v>216</x:v>
      </x:c>
    </x:row>
    <x:row r="42" ht="15">
      <x:c r="A42" s="6" t="s">
        <x:v>217</x:v>
      </x:c>
      <x:c r="B42" s="6"/>
      <x:c r="C42" s="6"/>
      <x:c r="D42" s="6"/>
      <x:c r="E42" s="6"/>
      <x:c r="F42" s="6"/>
    </x:row>
    <x:row r="43" ht="15">
      <x:c r="A43" s="35" t="s">
        <x:v>218</x:v>
      </x:c>
      <x:c r="B43" s="36" t="s">
        <x:v>219</x:v>
      </x:c>
    </x:row>
    <x:row r="44" ht="28.5">
      <x:c r="A44" s="19" t="s">
        <x:v>220</x:v>
      </x:c>
      <x:c r="B44" s="21" t="s">
        <x:v>221</x:v>
      </x:c>
    </x:row>
    <x:row r="45" ht="28.5">
      <x:c r="A45" s="19" t="s">
        <x:v>222</x:v>
      </x:c>
      <x:c r="B45" s="21" t="s">
        <x:v>223</x:v>
      </x:c>
    </x:row>
    <x:row r="46" ht="28.5">
      <x:c r="A46" s="19" t="s">
        <x:v>224</x:v>
      </x:c>
      <x:c r="B46" s="21" t="s">
        <x:v>225</x:v>
      </x:c>
    </x:row>
    <x:row r="47" ht="28.5">
      <x:c r="A47" s="19" t="s">
        <x:v>226</x:v>
      </x:c>
      <x:c r="B47" s="21" t="s">
        <x:v>227</x:v>
      </x:c>
    </x:row>
    <x:row r="48" ht="28.5">
      <x:c r="A48" s="22" t="s">
        <x:v>228</x:v>
      </x:c>
      <x:c r="B48" s="24" t="s">
        <x:v>229</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230</x:v>
      </x:c>
      <x:c r="B1" s="1"/>
      <x:c r="C1" s="1"/>
      <x:c r="D1" s="1"/>
      <x:c r="E1" s="1"/>
      <x:c r="F1" s="1"/>
      <x:c r="G1" s="1"/>
      <x:c r="H1" s="1"/>
    </x:row>
    <x:row r="2" ht="114.75">
      <x:c r="A2" s="2" t="s">
        <x:v>231</x:v>
      </x:c>
      <x:c r="B2" s="2"/>
      <x:c r="C2" s="2"/>
      <x:c r="D2" s="2"/>
      <x:c r="E2" s="2"/>
      <x:c r="F2" s="2"/>
      <x:c r="G2" s="2"/>
      <x:c r="H2" s="2"/>
    </x:row>
    <x:row r="4" ht="15">
      <x:c r="A4" s="6" t="s">
        <x:v>232</x:v>
      </x:c>
      <x:c r="B4" s="6"/>
      <x:c r="C4" s="6"/>
      <x:c r="D4" s="6"/>
      <x:c r="E4" s="6"/>
      <x:c r="F4" s="6"/>
      <x:c r="G4" s="6"/>
      <x:c r="H4" s="6"/>
    </x:row>
    <x:row r="5" ht="15">
      <x:c r="A5" s="15" t="s">
        <x:v>14</x:v>
      </x:c>
      <x:c r="B5" s="15" t="s">
        <x:v>233</x:v>
      </x:c>
      <x:c r="C5" s="15" t="s">
        <x:v>71</x:v>
      </x:c>
      <x:c r="D5" s="15" t="s">
        <x:v>234</x:v>
      </x:c>
      <x:c r="E5" s="15" t="s">
        <x:v>15</x:v>
      </x:c>
      <x:c r="F5" s="15" t="s">
        <x:v>235</x:v>
      </x:c>
      <x:c r="G5" s="15" t="s">
        <x:v>219</x:v>
      </x:c>
      <x:c r="H5" s="15" t="s">
        <x:v>101</x:v>
      </x:c>
    </x:row>
    <x:row r="6" ht="28.5">
      <x:c r="A6" s="16" t="s">
        <x:v>236</x:v>
      </x:c>
      <x:c r="B6" s="17" t="s">
        <x:v>237</x:v>
      </x:c>
      <x:c r="C6" s="17" t="s">
        <x:v>190</x:v>
      </x:c>
      <x:c r="D6" s="17">
        <x:v>1</x:v>
      </x:c>
      <x:c r="E6" s="17">
        <x:v>10</x:v>
      </x:c>
      <x:c r="F6" s="17">
        <x:v>2.5</x:v>
      </x:c>
      <x:c r="G6" s="17" t="s">
        <x:v>238</x:v>
      </x:c>
      <x:c r="H6" s="18" t="s">
        <x:v>239</x:v>
      </x:c>
    </x:row>
    <x:row r="7">
      <x:c r="A7" s="19" t="s">
        <x:v>240</x:v>
      </x:c>
      <x:c r="B7" s="20" t="s">
        <x:v>241</x:v>
      </x:c>
      <x:c r="C7" s="20" t="s">
        <x:v>190</x:v>
      </x:c>
      <x:c r="D7" s="20">
        <x:v>0</x:v>
      </x:c>
      <x:c r="E7" s="20">
        <x:v>15</x:v>
      </x:c>
      <x:c r="F7" s="20">
        <x:v>0</x:v>
      </x:c>
      <x:c r="G7" s="20" t="s">
        <x:v>242</x:v>
      </x:c>
      <x:c r="H7" s="21" t="s">
        <x:v>243</x:v>
      </x:c>
    </x:row>
    <x:row r="8" ht="28.5">
      <x:c r="A8" s="19" t="s">
        <x:v>244</x:v>
      </x:c>
      <x:c r="B8" s="20" t="s">
        <x:v>245</x:v>
      </x:c>
      <x:c r="C8" s="20" t="s">
        <x:v>190</x:v>
      </x:c>
      <x:c r="D8" s="20">
        <x:v>0</x:v>
      </x:c>
      <x:c r="E8" s="20">
        <x:v>15</x:v>
      </x:c>
      <x:c r="F8" s="20">
        <x:v>0</x:v>
      </x:c>
      <x:c r="G8" s="20" t="s">
        <x:v>246</x:v>
      </x:c>
      <x:c r="H8" s="21" t="s">
        <x:v>247</x:v>
      </x:c>
    </x:row>
    <x:row r="9" ht="28.5">
      <x:c r="A9" s="19" t="s">
        <x:v>248</x:v>
      </x:c>
      <x:c r="B9" s="20" t="s">
        <x:v>249</x:v>
      </x:c>
      <x:c r="C9" s="20" t="s">
        <x:v>190</x:v>
      </x:c>
      <x:c r="D9" s="20">
        <x:v>0</x:v>
      </x:c>
      <x:c r="E9" s="20">
        <x:v>20</x:v>
      </x:c>
      <x:c r="F9" s="20">
        <x:v>0</x:v>
      </x:c>
      <x:c r="G9" s="20" t="s">
        <x:v>250</x:v>
      </x:c>
      <x:c r="H9" s="21" t="s">
        <x:v>251</x:v>
      </x:c>
    </x:row>
    <x:row r="10" ht="28.5">
      <x:c r="A10" s="19" t="s">
        <x:v>252</x:v>
      </x:c>
      <x:c r="B10" s="20" t="s">
        <x:v>253</x:v>
      </x:c>
      <x:c r="C10" s="20" t="s">
        <x:v>190</x:v>
      </x:c>
      <x:c r="D10" s="20">
        <x:v>0</x:v>
      </x:c>
      <x:c r="E10" s="20">
        <x:v>20</x:v>
      </x:c>
      <x:c r="F10" s="20">
        <x:v>0</x:v>
      </x:c>
      <x:c r="G10" s="20" t="s">
        <x:v>254</x:v>
      </x:c>
      <x:c r="H10" s="21" t="s">
        <x:v>255</x:v>
      </x:c>
    </x:row>
    <x:row r="11" ht="28.5">
      <x:c r="A11" s="19" t="s">
        <x:v>256</x:v>
      </x:c>
      <x:c r="B11" s="20" t="s">
        <x:v>257</x:v>
      </x:c>
      <x:c r="C11" s="20" t="s">
        <x:v>190</x:v>
      </x:c>
      <x:c r="D11" s="20">
        <x:v>3</x:v>
      </x:c>
      <x:c r="E11" s="20">
        <x:v>10</x:v>
      </x:c>
      <x:c r="F11" s="20">
        <x:v>7.5</x:v>
      </x:c>
      <x:c r="G11" s="20" t="s">
        <x:v>258</x:v>
      </x:c>
      <x:c r="H11" s="21" t="s">
        <x:v>259</x:v>
      </x:c>
    </x:row>
    <x:row r="12" ht="28.5">
      <x:c r="A12" s="22" t="s">
        <x:v>260</x:v>
      </x:c>
      <x:c r="B12" s="23" t="s">
        <x:v>261</x:v>
      </x:c>
      <x:c r="C12" s="23" t="s">
        <x:v>190</x:v>
      </x:c>
      <x:c r="D12" s="23">
        <x:v>1</x:v>
      </x:c>
      <x:c r="E12" s="23">
        <x:v>10</x:v>
      </x:c>
      <x:c r="F12" s="23">
        <x:v>2.5</x:v>
      </x:c>
      <x:c r="G12" s="23" t="s">
        <x:v>262</x:v>
      </x:c>
      <x:c r="H12" s="24" t="s">
        <x:v>263</x:v>
      </x:c>
    </x:row>
    <x:row r="14" ht="15">
      <x:c r="A14" s="6" t="s">
        <x:v>264</x:v>
      </x:c>
      <x:c r="B14" s="6"/>
      <x:c r="C14" s="6"/>
      <x:c r="D14" s="6"/>
      <x:c r="E14" s="6"/>
      <x:c r="F14" s="6"/>
      <x:c r="G14" s="6"/>
      <x:c r="H14" s="6"/>
    </x:row>
    <x:row r="15" ht="15">
      <x:c r="A15" s="15" t="s">
        <x:v>14</x:v>
      </x:c>
      <x:c r="B15" s="15" t="s">
        <x:v>233</x:v>
      </x:c>
      <x:c r="C15" s="15" t="s">
        <x:v>71</x:v>
      </x:c>
      <x:c r="D15" s="15" t="s">
        <x:v>234</x:v>
      </x:c>
      <x:c r="E15" s="15" t="s">
        <x:v>15</x:v>
      </x:c>
      <x:c r="F15" s="15" t="s">
        <x:v>235</x:v>
      </x:c>
      <x:c r="G15" s="15" t="s">
        <x:v>219</x:v>
      </x:c>
      <x:c r="H15" s="15" t="s">
        <x:v>101</x:v>
      </x:c>
    </x:row>
    <x:row r="16" ht="28.5">
      <x:c r="A16" s="16" t="s">
        <x:v>236</x:v>
      </x:c>
      <x:c r="B16" s="17" t="s">
        <x:v>265</x:v>
      </x:c>
      <x:c r="C16" s="17" t="s">
        <x:v>190</x:v>
      </x:c>
      <x:c r="D16" s="17">
        <x:v>3</x:v>
      </x:c>
      <x:c r="E16" s="17">
        <x:v>10</x:v>
      </x:c>
      <x:c r="F16" s="17">
        <x:v>7.5</x:v>
      </x:c>
      <x:c r="G16" s="17" t="s">
        <x:v>266</x:v>
      </x:c>
      <x:c r="H16" s="18" t="s">
        <x:v>267</x:v>
      </x:c>
    </x:row>
    <x:row r="17">
      <x:c r="A17" s="19" t="s">
        <x:v>240</x:v>
      </x:c>
      <x:c r="B17" s="20" t="s">
        <x:v>268</x:v>
      </x:c>
      <x:c r="C17" s="20" t="s">
        <x:v>190</x:v>
      </x:c>
      <x:c r="D17" s="20">
        <x:v>2</x:v>
      </x:c>
      <x:c r="E17" s="20">
        <x:v>15</x:v>
      </x:c>
      <x:c r="F17" s="20">
        <x:v>7.5</x:v>
      </x:c>
      <x:c r="G17" s="20" t="s">
        <x:v>269</x:v>
      </x:c>
      <x:c r="H17" s="21" t="s">
        <x:v>270</x:v>
      </x:c>
    </x:row>
    <x:row r="18" ht="28.5">
      <x:c r="A18" s="19" t="s">
        <x:v>244</x:v>
      </x:c>
      <x:c r="B18" s="20" t="s">
        <x:v>271</x:v>
      </x:c>
      <x:c r="C18" s="20" t="s">
        <x:v>196</x:v>
      </x:c>
      <x:c r="D18" s="20"/>
      <x:c r="E18" s="20">
        <x:v>15</x:v>
      </x:c>
      <x:c r="F18" s="20"/>
      <x:c r="G18" s="20" t="s">
        <x:v>272</x:v>
      </x:c>
      <x:c r="H18" s="21" t="s">
        <x:v>273</x:v>
      </x:c>
    </x:row>
    <x:row r="19">
      <x:c r="A19" s="19" t="s">
        <x:v>248</x:v>
      </x:c>
      <x:c r="B19" s="20" t="s">
        <x:v>274</x:v>
      </x:c>
      <x:c r="C19" s="20" t="s">
        <x:v>196</x:v>
      </x:c>
      <x:c r="D19" s="20"/>
      <x:c r="E19" s="20">
        <x:v>20</x:v>
      </x:c>
      <x:c r="F19" s="20"/>
      <x:c r="G19" s="20" t="s">
        <x:v>275</x:v>
      </x:c>
      <x:c r="H19" s="21" t="s">
        <x:v>276</x:v>
      </x:c>
    </x:row>
    <x:row r="20">
      <x:c r="A20" s="19" t="s">
        <x:v>252</x:v>
      </x:c>
      <x:c r="B20" s="20" t="s">
        <x:v>277</x:v>
      </x:c>
      <x:c r="C20" s="20" t="s">
        <x:v>196</x:v>
      </x:c>
      <x:c r="D20" s="20"/>
      <x:c r="E20" s="20">
        <x:v>20</x:v>
      </x:c>
      <x:c r="F20" s="20"/>
      <x:c r="G20" s="20" t="s">
        <x:v>275</x:v>
      </x:c>
      <x:c r="H20" s="21" t="s">
        <x:v>278</x:v>
      </x:c>
    </x:row>
    <x:row r="21">
      <x:c r="A21" s="19" t="s">
        <x:v>256</x:v>
      </x:c>
      <x:c r="B21" s="20" t="s">
        <x:v>279</x:v>
      </x:c>
      <x:c r="C21" s="20" t="s">
        <x:v>190</x:v>
      </x:c>
      <x:c r="D21" s="20">
        <x:v>3</x:v>
      </x:c>
      <x:c r="E21" s="20">
        <x:v>10</x:v>
      </x:c>
      <x:c r="F21" s="20">
        <x:v>7.5</x:v>
      </x:c>
      <x:c r="G21" s="20" t="s">
        <x:v>280</x:v>
      </x:c>
      <x:c r="H21" s="21" t="s">
        <x:v>281</x:v>
      </x:c>
    </x:row>
    <x:row r="22">
      <x:c r="A22" s="22" t="s">
        <x:v>260</x:v>
      </x:c>
      <x:c r="B22" s="23" t="s">
        <x:v>282</x:v>
      </x:c>
      <x:c r="C22" s="23" t="s">
        <x:v>190</x:v>
      </x:c>
      <x:c r="D22" s="23">
        <x:v>3</x:v>
      </x:c>
      <x:c r="E22" s="23">
        <x:v>10</x:v>
      </x:c>
      <x:c r="F22" s="23">
        <x:v>7.5</x:v>
      </x:c>
      <x:c r="G22" s="23" t="s">
        <x:v>283</x:v>
      </x:c>
      <x:c r="H22" s="24" t="s">
        <x:v>284</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38" t="str">
        <x:v>SUMBER DATA — FINAL BASELINE P08 Politeknik Negeri Batam</x:v>
      </x:c>
      <x:c r="B1" s="38"/>
      <x:c r="C1" s="38"/>
      <x:c r="D1" s="38"/>
      <x:c r="E1" s="38"/>
      <x:c r="F1" s="38"/>
      <x:c r="G1" s="38"/>
      <x:c r="H1" s="38"/>
      <x:c r="I1" s="38"/>
    </x:row>
    <x:row r="2">
      <x:c r="A2" s="39" t="str">
        <x:v>Disalin dari FINAL BASELINE MITRA KINERJA — cut-off 28 Agustus 2026. Perkembangan setelah cut-off dinilai melalui Scorecard.</x:v>
      </x:c>
      <x:c r="B2" s="39"/>
      <x:c r="C2" s="39"/>
      <x:c r="D2" s="39"/>
      <x:c r="E2" s="39"/>
      <x:c r="F2" s="39"/>
      <x:c r="G2" s="39"/>
      <x:c r="H2" s="39"/>
      <x:c r="I2" s="39"/>
    </x:row>
    <x:row r="4" ht="15">
      <x:c r="A4" s="40" t="str">
        <x:v>No</x:v>
      </x:c>
      <x:c r="B4" s="41" t="str">
        <x:v>Kelompok</x:v>
      </x:c>
      <x:c r="C4" s="41" t="str">
        <x:v>Elemen baseline</x:v>
      </x:c>
      <x:c r="D4" s="41" t="str">
        <x:v>Yang diperiksa</x:v>
      </x:c>
      <x:c r="E4" s="41" t="str">
        <x:v>Sumber/bukti minimum</x:v>
      </x:c>
      <x:c r="F4" s="41" t="str">
        <x:v>Status</x:v>
      </x:c>
      <x:c r="G4" s="41" t="str">
        <x:v>Fakta/hasil pemeriksaan</x:v>
      </x:c>
      <x:c r="H4" s="41" t="str">
        <x:v>Sumber/link bukti</x:v>
      </x:c>
      <x:c r="I4" s="42" t="str">
        <x:v>Catatan khusus (opsional)</x:v>
      </x:c>
    </x:row>
    <x:row r="5" ht="72" customHeight="1">
      <x:c r="A5" s="43" t="n">
        <x:v>1</x:v>
      </x:c>
      <x:c r="B5" s="27" t="str">
        <x:v>IDENTITAS</x:v>
      </x:c>
      <x:c r="C5" s="27" t="str">
        <x:v>Identitas naskah</x:v>
      </x:c>
      <x:c r="D5" s="27" t="str">
        <x:v>Jenis, nomor para pihak, judul, dan nama resmi mitra sesuai naskah.</x:v>
      </x:c>
      <x:c r="E5" s="27" t="str">
        <x:v>Naskah bertanda tangan; P2MA sebagai pembanding.</x:v>
      </x:c>
      <x:c r="F5" s="27" t="str">
        <x:v>TERVERIFIKASI</x:v>
      </x:c>
      <x:c r="G5" s="27" t="str">
        <x:v>sudah sesuai</x:v>
      </x:c>
      <x:c r="H5" s="27" t="str">
        <x:v>https://p2ma.kemenkum.go.id/uploads/kerjasama/naskah/1778058363.pdf</x:v>
      </x:c>
      <x:c r="I5" s="44"/>
    </x:row>
    <x:row r="6" ht="72" customHeight="1">
      <x:c r="A6" s="43" t="n">
        <x:v>2</x:v>
      </x:c>
      <x:c r="B6" s="27" t="str">
        <x:v>MASA BERLAKU</x:v>
      </x:c>
      <x:c r="C6" s="27" t="str">
        <x:v>Masa berlaku</x:v>
      </x:c>
      <x:c r="D6" s="27" t="str">
        <x:v>Tanggal efektif, durasi, dan tanggal berakhir sesuai klausul naskah.</x:v>
      </x:c>
      <x:c r="E6" s="27" t="str">
        <x:v>Klausul jangka waktu; halaman tanda tangan; P2MA.</x:v>
      </x:c>
      <x:c r="F6" s="27" t="str">
        <x:v>TERVERIFIKASI</x:v>
      </x:c>
      <x:c r="G6" s="27" t="str">
        <x:v>P2MA publik menampilkan status Berlangsung, mulai 18 November 2025 dan berakhir 17 November 2030; tanggal sesuai data awal.</x:v>
      </x:c>
      <x:c r="H6" s="27" t="str">
        <x:v>https://p2ma.kemenkum.go.id/kdn/pencarian?tipe=1&amp;keyword=Politeknik%20Negeri%20Batam</x:v>
      </x:c>
      <x:c r="I6" s="44"/>
    </x:row>
    <x:row r="7" ht="72" customHeight="1">
      <x:c r="A7" s="43" t="n">
        <x:v>3</x:v>
      </x:c>
      <x:c r="B7" s="27" t="str">
        <x:v>SUBSTANSI</x:v>
      </x:c>
      <x:c r="C7" s="27" t="str">
        <x:v>Ruang lingkup</x:v>
      </x:c>
      <x:c r="D7" s="27" t="str">
        <x:v>Ruang kerja, kewajiban, atau kegiatan utama yang disepakati.</x:v>
      </x:c>
      <x:c r="E7" s="27" t="str">
        <x:v>Pasal ruang lingkup/hak-kewajiban; lampiran.</x:v>
      </x:c>
      <x:c r="F7" s="27" t="str">
        <x:v>TERVERIFIKASI</x:v>
      </x:c>
      <x:c r="G7" s="27" t="str">
        <x:v>Ruang lingkup yang tercatat meliputi pendidikan dan pengajaran; penelitian dan pengembangan hukum; pengabdian kepada masyarakat; MBKM; fasilitasi dan penguatan KI; pengembangan kompetensi SDM; asistensi JDIH; serta kegiatan lain yang disepakati.</x:v>
      </x:c>
      <x:c r="H7" s="27" t="str">
        <x:v>https://p2ma.kemenkum.go.id/uploads/kerjasama/naskah/1778058363.pdf</x:v>
      </x:c>
      <x:c r="I7" s="44"/>
    </x:row>
    <x:row r="8" ht="72" customHeight="1">
      <x:c r="A8" s="43" t="n">
        <x:v>4</x:v>
      </x:c>
      <x:c r="B8" s="27" t="str">
        <x:v>TATA KELOLA</x:v>
      </x:c>
      <x:c r="C8" s="27" t="str">
        <x:v>Status arsip</x:v>
      </x:c>
      <x:c r="D8" s="27" t="str">
        <x:v>Ketersediaan naskah lengkap pada lokasi arsip resmi dan dapat ditemukan kembali.</x:v>
      </x:c>
      <x:c r="E8" s="27" t="str">
        <x:v>Arsip resmi; register; folder organisasi.</x:v>
      </x:c>
      <x:c r="F8" s="27" t="str">
        <x:v>TERVERIFIKASI</x:v>
      </x:c>
      <x:c r="G8" s="27" t="str">
        <x:v>Salinan naskah dapat dibuka melalui P2MA. Lokasi arsip resmi internal, register, kelengkapan halaman, dan kemudahan temu kembali sudah di lakukan Pemeriksaan.</x:v>
      </x:c>
      <x:c r="H8" s="27" t="str">
        <x:v>Naskah P2MA pada baris 5; arsip internal sudah di Arsiparis</x:v>
      </x:c>
      <x:c r="I8" s="44"/>
    </x:row>
    <x:row r="9" ht="72" customHeight="1">
      <x:c r="A9" s="43" t="n">
        <x:v>5</x:v>
      </x:c>
      <x:c r="B9" s="27" t="str">
        <x:v>TATA KELOLA</x:v>
      </x:c>
      <x:c r="C9" s="27" t="str">
        <x:v>Status P2MA</x:v>
      </x:c>
      <x:c r="D9" s="27" t="str">
        <x:v>Keberadaan entri dan kesesuaian metadata P2MA dengan naskah resmi.</x:v>
      </x:c>
      <x:c r="E9" s="27" t="str">
        <x:v>P2MA dan naskah bertanda tangan.</x:v>
      </x:c>
      <x:c r="F9" s="27" t="str">
        <x:v>TERVERIFIKASI</x:v>
      </x:c>
      <x:c r="G9" s="27" t="str">
        <x:v>Entri publik P2MA ditemukan dengan status Berlangsung dan naskah PDF dapat dibuka. Dua hasil ditemukan; entri Fasilitasi Tri Dharma dan Pelayanan Hukum dipilih berdasarkan judul/PDF.</x:v>
      </x:c>
      <x:c r="H9" s="27" t="str">
        <x:v>https://p2ma.kemenkum.go.id/kdn/pencarian?tipe=1&amp;keyword=Politeknik%20Negeri%20Batam</x:v>
      </x:c>
      <x:c r="I9" s="44"/>
    </x:row>
    <x:row r="10" ht="72" customHeight="1">
      <x:c r="A10" s="43" t="n">
        <x:v>6</x:v>
      </x:c>
      <x:c r="B10" s="27" t="str">
        <x:v>PENGAMPU</x:v>
      </x:c>
      <x:c r="C10" s="27" t="str">
        <x:v>Unit pengampu</x:v>
      </x:c>
      <x:c r="D10" s="27" t="str">
        <x:v>Unit internal yang bertanggung jawab atas substansi dan implementasi kerja sama.</x:v>
      </x:c>
      <x:c r="E10" s="27" t="str">
        <x:v>ND/SK/pembagian tugas; konfirmasi tertulis unit.</x:v>
      </x:c>
      <x:c r="F10" s="27" t="str">
        <x:v>BELUM TERSEDIA</x:v>
      </x:c>
      <x:c r="G10" s="27" t="str">
        <x:v>Naskah dan P2MA publik belum cukup untuk menetapkan unit internal yang bertanggung jawab atas implementasi kerja sama.</x:v>
      </x:c>
      <x:c r="H10" s="27" t="str">
        <x:v>Naskah/P2MA publik; ND, SK, pembagian tugas, atau konfirmasi unit belum diperoleh.</x:v>
      </x:c>
      <x:c r="I10" s="44"/>
    </x:row>
    <x:row r="11" ht="72" customHeight="1">
      <x:c r="A11" s="43" t="n">
        <x:v>7</x:v>
      </x:c>
      <x:c r="B11" s="27" t="str">
        <x:v>PIC</x:v>
      </x:c>
      <x:c r="C11" s="27" t="str">
        <x:v>PIC internal</x:v>
      </x:c>
      <x:c r="D11" s="27" t="str">
        <x:v>PIC utama dan cadangan yang aktif, lengkap dengan jabatan, kontak, dan dasar penetapan.</x:v>
      </x:c>
      <x:c r="E11" s="27" t="str">
        <x:v>ND/SK/daftar PIC; konfirmasi tertulis unit.</x:v>
      </x:c>
      <x:c r="F11" s="27" t="str">
        <x:v>BELUM TERSEDIA</x:v>
      </x:c>
      <x:c r="G11" s="27" t="str">
        <x:v>PIC internal utama dan cadangan belum dapat dipastikan dari sumber publik yang diperiksa.</x:v>
      </x:c>
      <x:c r="H11" s="27" t="str">
        <x:v>Daftar PIC, ND/SK, dan konfirmasi tertulis unit belum diperoleh.</x:v>
      </x:c>
      <x:c r="I11" s="44"/>
    </x:row>
    <x:row r="12" ht="72" customHeight="1">
      <x:c r="A12" s="43" t="n">
        <x:v>8</x:v>
      </x:c>
      <x:c r="B12" s="27" t="str">
        <x:v>PIC</x:v>
      </x:c>
      <x:c r="C12" s="27" t="str">
        <x:v>PIC mitra</x:v>
      </x:c>
      <x:c r="D12" s="27" t="str">
        <x:v>Penghubung operasional pihak mitra yang telah dikonfirmasi.</x:v>
      </x:c>
      <x:c r="E12" s="27" t="str">
        <x:v>Surat/email/form konfirmasi resmi dari mitra.</x:v>
      </x:c>
      <x:c r="F12" s="27" t="str">
        <x:v>BELUM TERSEDIA</x:v>
      </x:c>
      <x:c r="G12" s="27" t="str">
        <x:v>PIC operasional pihak mitra belum dikonfirmasi melalui surat, email resmi, atau formulir penunjukan.</x:v>
      </x:c>
      <x:c r="H12" s="27" t="str">
        <x:v>Surat/email/formulir penunjukan PIC mitra belum diperoleh.</x:v>
      </x:c>
      <x:c r="I12" s="44"/>
    </x:row>
    <x:row r="13" ht="72" customHeight="1">
      <x:c r="A13" s="43" t="n">
        <x:v>9</x:v>
      </x:c>
      <x:c r="B13" s="27" t="str">
        <x:v>TINDAK LANJUT</x:v>
      </x:c>
      <x:c r="C13" s="27" t="str">
        <x:v>Rencana tindak lanjut</x:v>
      </x:c>
      <x:c r="D13" s="27" t="str">
        <x:v>Dokumen atau komitmen operasional yang memuat kegiatan, periode, target, dan/atau PIC.</x:v>
      </x:c>
      <x:c r="E13" s="27" t="str">
        <x:v>Rencana aksi; matriks kerja; kalender; notula.</x:v>
      </x:c>
      <x:c r="F13" s="27" t="str">
        <x:v>BELUM TERSEDIA</x:v>
      </x:c>
      <x:c r="G13" s="27" t="str">
        <x:v>Ruang lingkup naskah tersedia, tetapi belum ditemukan rencana aksi atau komitmen operasional yang memuat kegiatan, periode, target, dan PIC.</x:v>
      </x:c>
      <x:c r="H13" s="27" t="str">
        <x:v>Rencana aksi, matriks kerja, kalender, atau notula belum diperoleh.</x:v>
      </x:c>
      <x:c r="I13" s="44"/>
    </x:row>
    <x:row r="14" ht="72" customHeight="1">
      <x:c r="A14" s="43" t="n">
        <x:v>10</x:v>
      </x:c>
      <x:c r="B14" s="27" t="str">
        <x:v>PELAKSANAAN</x:v>
      </x:c>
      <x:c r="C14" s="27" t="str">
        <x:v>Pelaksanaan dan hasil</x:v>
      </x:c>
      <x:c r="D14" s="27" t="str">
        <x:v>Kegiatan aktual, realisasi terhadap target jatuh tempo, serta output yang dihasilkan.</x:v>
      </x:c>
      <x:c r="E14" s="27" t="str">
        <x:v>Laporan; undangan; notula; daftar hadir; data hasil.</x:v>
      </x:c>
      <x:c r="F14" s="27" t="str">
        <x:v>BELUM TERSEDIA</x:v>
      </x:c>
      <x:c r="G14" s="27" t="str">
        <x:v>Berdasarkan keterangan pemeriksa, belum terdapat kegiatan bersama yang dilaksanakan dalam kerangka kerja sama ini.</x:v>
      </x:c>
      <x:c r="H14" s="27" t="str">
        <x:v>Konfirmasi internal pemeriksa/unit terkait; dokumen kegiatan tidak tersedia.</x:v>
      </x:c>
      <x:c r="I14" s="44"/>
    </x:row>
    <x:row r="15" ht="72" customHeight="1">
      <x:c r="A15" s="43" t="n">
        <x:v>11</x:v>
      </x:c>
      <x:c r="B15" s="27" t="str">
        <x:v>EVIDEN</x:v>
      </x:c>
      <x:c r="C15" s="27" t="str">
        <x:v>Eviden implementasi</x:v>
      </x:c>
      <x:c r="D15" s="27" t="str">
        <x:v>Bukti pelaksanaan/output, lokasi penyimpanan, dan tingkat keteraturannya.</x:v>
      </x:c>
      <x:c r="E15" s="27" t="str">
        <x:v>Folder resmi; indeks bukti; dokumen/data kegiatan.</x:v>
      </x:c>
      <x:c r="F15" s="27" t="str">
        <x:v>BELUM TERSEDIA</x:v>
      </x:c>
      <x:c r="G15" s="27" t="str">
        <x:v>Karena belum terdapat kegiatan bersama, belum tersedia eviden implementasi berupa laporan, notula, daftar hadir, atau output kegiatan.</x:v>
      </x:c>
      <x:c r="H15" s="27" t="str">
        <x:v>Konfirmasi internal pemeriksa/unit terkait.</x:v>
      </x:c>
      <x:c r="I15" s="44"/>
    </x:row>
    <x:row r="16" ht="72" customHeight="1">
      <x:c r="A16" s="45" t="n">
        <x:v>12</x:v>
      </x:c>
      <x:c r="B16" s="46" t="str">
        <x:v>HAMBATAN</x:v>
      </x:c>
      <x:c r="C16" s="46" t="str">
        <x:v>Hambatan/gap</x:v>
      </x:c>
      <x:c r="D16" s="46" t="str">
        <x:v>Kendala faktual atau kekosongan data yang memengaruhi implementasi dan sudah dikonfirmasi.</x:v>
      </x:c>
      <x:c r="E16" s="46" t="str">
        <x:v>Konfirmasi unit/PIC/mitra; notula; laporan; bukti keterlambatan.</x:v>
      </x:c>
      <x:c r="F16" s="46" t="str">
        <x:v>BELUM TERSEDIA</x:v>
      </x:c>
      <x:c r="G16" s="46" t="str">
        <x:v>Belum terdapat kegiatan bersama. Hambatan pelaksanaan yang spesifik belum diidentifikasi; kondisi utama saat ini adalah kerja sama belum diturunkan ke pelaksanaan operasional.</x:v>
      </x:c>
      <x:c r="H16" s="46" t="str">
        <x:v>Konfirmasi internal pemeriksa/unit terkait.</x:v>
      </x:c>
      <x:c r="I16" s="47"/>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375" customWidth="1"/>
    <x:col min="2" max="2" width="34" customWidth="1"/>
    <x:col min="3" max="3" width="22" customWidth="1"/>
    <x:col min="4" max="4" width="48" customWidth="1"/>
    <x:col min="5" max="5" width="18" customWidth="1"/>
    <x:col min="6" max="6" width="42" customWidth="1"/>
  </x:cols>
  <x:sheetData>
    <x:row r="1" ht="18">
      <x:c r="A1" s="721" t="str">
        <x:v>SUMBER DATA PASCA-BASELINE — P08 Politeknik Negeri Batam</x:v>
      </x:c>
      <x:c r="B1" s="722"/>
      <x:c r="C1" s="722"/>
      <x:c r="D1" s="722"/>
      <x:c r="E1" s="722"/>
      <x:c r="F1" s="723"/>
    </x:row>
    <x:row r="2">
      <x:c r="A2" s="724" t="str">
        <x:v>Penilaian s.d. 27 September 2026 menggunakan Final Baseline P08 dan polibatam.xlsx sebagai evidence terbaru.</x:v>
      </x:c>
      <x:c r="B2" s="725"/>
      <x:c r="C2" s="725"/>
      <x:c r="D2" s="725"/>
      <x:c r="E2" s="725"/>
      <x:c r="F2" s="726"/>
    </x:row>
    <x:row r="3">
      <x:c r="A3" s="610"/>
      <x:c r="B3" s="395"/>
      <x:c r="C3" s="395"/>
      <x:c r="D3" s="395"/>
      <x:c r="E3" s="395"/>
      <x:c r="F3" s="611"/>
    </x:row>
    <x:row r="4" ht="30">
      <x:c r="A4" s="608" t="str">
        <x:v>No</x:v>
      </x:c>
      <x:c r="B4" s="600" t="str">
        <x:v>Sumber</x:v>
      </x:c>
      <x:c r="C4" s="600" t="str">
        <x:v>Jenis Data</x:v>
      </x:c>
      <x:c r="D4" s="600" t="str">
        <x:v>Fakta Kunci</x:v>
      </x:c>
      <x:c r="E4" s="600" t="str">
        <x:v>Indikator Scorecard</x:v>
      </x:c>
      <x:c r="F4" s="609" t="str">
        <x:v>Catatan Rekonsiliasi</x:v>
      </x:c>
    </x:row>
    <x:row r="5" ht="42.75">
      <x:c r="A5" s="610" t="n">
        <x:v>1</x:v>
      </x:c>
      <x:c r="B5" s="395" t="str">
        <x:v>polibatam.xlsx — IDENTITAS &amp; PIC</x:v>
      </x:c>
      <x:c r="C5" s="395" t="str">
        <x:v>Mitra</x:v>
      </x:c>
      <x:c r="D5" s="395" t="str">
        <x:v>PIC utama Ridwan Purwanto dan PIC cadangan Fitriyanti Nakul; keduanya hadir/terlibat dalam forum penguatan.</x:v>
      </x:c>
      <x:c r="E5" s="395" t="str">
        <x:v>I1,I7</x:v>
      </x:c>
      <x:c r="F5" s="611" t="str">
        <x:v>Konfirmasi PIC mitra kuat.</x:v>
      </x:c>
    </x:row>
    <x:row r="6" ht="42.75">
      <x:c r="A6" s="610" t="n">
        <x:v>2</x:v>
      </x:c>
      <x:c r="B6" s="395" t="str">
        <x:v>polibatam.xlsx — PELAKSANAAN KEGIATAN</x:v>
      </x:c>
      <x:c r="C6" s="395" t="str">
        <x:v>Mitra</x:v>
      </x:c>
      <x:c r="D6" s="395" t="str">
        <x:v>Sosialisasi Perlindungan Hak Cipta di Era AI pada 7 Mei 2026; memiliki tautan publikasi.</x:v>
      </x:c>
      <x:c r="E6" s="395" t="str">
        <x:v>I2,I3,I4,I5,I6</x:v>
      </x:c>
      <x:c r="F6" s="611" t="str">
        <x:v>Satu kegiatan nyata dengan bukti.</x:v>
      </x:c>
    </x:row>
    <x:row r="7" ht="42.75">
      <x:c r="A7" s="610" t="n">
        <x:v>3</x:v>
      </x:c>
      <x:c r="B7" s="395" t="str">
        <x:v>polibatam.xlsx — USULAN TINDAK LANJUT</x:v>
      </x:c>
      <x:c r="C7" s="395" t="str">
        <x:v>Mitra</x:v>
      </x:c>
      <x:c r="D7" s="395" t="str">
        <x:v>4 tindak lanjut rinci: pendampingan pengajuan KI, kajian tarif khusus, pendampingan lisensi, percepatan pemeriksaan substantif paten.</x:v>
      </x:c>
      <x:c r="E7" s="395" t="str">
        <x:v>I1,I2,I7</x:v>
      </x:c>
      <x:c r="F7" s="611" t="str">
        <x:v>Menunjukkan kebutuhan/risiko dan rencana mitigasi.</x:v>
      </x:c>
    </x:row>
    <x:row r="8" ht="42.75">
      <x:c r="A8" s="610" t="n">
        <x:v>4</x:v>
      </x:c>
      <x:c r="B8" s="395" t="str">
        <x:v>FINAL BASELINE P08</x:v>
      </x:c>
      <x:c r="C8" s="395" t="str">
        <x:v>Baseline</x:v>
      </x:c>
      <x:c r="D8" s="395" t="str">
        <x:v>Arsip dan P2MA terverifikasi; PIC, rencana tindak lanjut, pelaksanaan dan evidence belum tersedia pada cut-off.</x:v>
      </x:c>
      <x:c r="E8" s="395" t="str">
        <x:v>I1,I6,I7</x:v>
      </x:c>
      <x:c r="F8" s="611" t="str">
        <x:v>Menjadi titik awal perubahan.</x:v>
      </x:c>
    </x:row>
    <x:row r="9" ht="42.75">
      <x:c r="A9" s="610"/>
      <x:c r="B9" s="395"/>
      <x:c r="C9" s="395"/>
      <x:c r="D9" s="395"/>
      <x:c r="E9" s="395"/>
      <x:c r="F9" s="611"/>
    </x:row>
    <x:row r="10" ht="42.75">
      <x:c r="A10" s="610" t="str">
        <x:v>Catatan Kematangan</x:v>
      </x:c>
      <x:c r="B10" s="395" t="str">
        <x:v>MoU berlaku sejak 18 November 2025</x:v>
      </x:c>
      <x:c r="C10" s="395" t="str">
        <x:v>Usia saat penilaian 313 hari (&gt;6 bulan)</x:v>
      </x:c>
      <x:c r="D10" s="395" t="str">
        <x:v>Seluruh I1–I7 = DAPAT DINILAI</x:v>
      </x:c>
      <x:c r="E10" s="395" t="str">
        <x:v>Status Scorecard dihitung penuh</x:v>
      </x:c>
      <x:c r="F10" s="611" t="str">
        <x:v>Gap implementasi setelah &gt;6 bulan tercermin pada skor, bukan BDN karena faktor waktu.</x:v>
      </x:c>
    </x:row>
    <x:row r="11" ht="28.5">
      <x:c r="A11" s="610"/>
      <x:c r="B11" s="395"/>
      <x:c r="C11" s="395"/>
      <x:c r="D11" s="395"/>
      <x:c r="E11" s="395"/>
      <x:c r="F11" s="611"/>
    </x:row>
    <x:row r="12" ht="28.5">
      <x:c r="A12" s="612"/>
      <x:c r="B12" s="396"/>
      <x:c r="C12" s="396"/>
      <x:c r="D12" s="396"/>
      <x:c r="E12" s="396"/>
      <x:c r="F12" s="613"/>
    </x:row>
    <x:row r="13">
      <x:c r="A13" s="395"/>
      <x:c r="B13" s="395"/>
      <x:c r="C13" s="395"/>
      <x:c r="D13" s="395"/>
      <x:c r="E13" s="395"/>
      <x:c r="F13" s="395"/>
    </x:row>
    <x:row r="14" s="83" customFormat="1" ht="51">
      <x:c r="A14" s="633"/>
      <x:c r="B14" s="633"/>
      <x:c r="C14" s="633"/>
      <x:c r="D14" s="633"/>
      <x:c r="E14" s="633"/>
      <x:c r="F14" s="633"/>
    </x:row>
    <x:row r="15">
      <x:c r="A15" s="395"/>
      <x:c r="B15" s="395"/>
      <x:c r="C15" s="395"/>
      <x:c r="D15" s="395"/>
      <x:c r="E15" s="395"/>
      <x:c r="F15" s="395"/>
    </x:row>
    <x:row r="16">
      <x:c r="A16" s="395"/>
      <x:c r="B16" s="395"/>
      <x:c r="C16" s="395"/>
      <x:c r="D16" s="395"/>
      <x:c r="E16" s="395"/>
      <x:c r="F16" s="395"/>
    </x:row>
    <x:row r="17">
      <x:c r="A17" s="395"/>
      <x:c r="B17" s="395"/>
      <x:c r="C17" s="395"/>
      <x:c r="D17" s="395"/>
      <x:c r="E17" s="395"/>
      <x:c r="F17" s="395"/>
    </x:row>
    <x:row r="18">
      <x:c r="A18" s="395"/>
      <x:c r="B18" s="395"/>
      <x:c r="C18" s="395"/>
      <x:c r="D18" s="395"/>
      <x:c r="E18" s="395"/>
      <x:c r="F18" s="395"/>
    </x:row>
    <x:row r="19">
      <x:c r="A19" s="395"/>
      <x:c r="B19" s="395"/>
      <x:c r="C19" s="395"/>
      <x:c r="D19" s="395"/>
      <x:c r="E19" s="395"/>
      <x:c r="F19" s="395"/>
    </x:row>
    <x:row r="20">
      <x:c r="A20" s="395"/>
      <x:c r="B20" s="395"/>
      <x:c r="C20" s="395"/>
      <x:c r="D20" s="395"/>
      <x:c r="E20" s="395"/>
      <x:c r="F20" s="395"/>
    </x:row>
    <x:row r="21">
      <x:c r="A21" s="395"/>
      <x:c r="B21" s="395"/>
      <x:c r="C21" s="395"/>
      <x:c r="D21" s="395"/>
      <x:c r="E21" s="395"/>
      <x:c r="F21" s="395"/>
    </x:row>
    <x:row r="22">
      <x:c r="A22" s="395"/>
      <x:c r="B22" s="395"/>
      <x:c r="C22" s="395"/>
      <x:c r="D22" s="395"/>
      <x:c r="E22" s="395"/>
      <x:c r="F22" s="395"/>
    </x:row>
    <x:row r="23">
      <x:c r="A23" s="395"/>
      <x:c r="B23" s="395"/>
      <x:c r="C23" s="395"/>
      <x:c r="D23" s="395"/>
      <x:c r="E23" s="395"/>
      <x:c r="F23" s="395"/>
    </x:row>
    <x:row r="24">
      <x:c r="A24" s="395"/>
      <x:c r="B24" s="395"/>
      <x:c r="C24" s="395"/>
      <x:c r="D24" s="395"/>
      <x:c r="E24" s="395"/>
      <x:c r="F24" s="395"/>
    </x:row>
    <x:row r="25">
      <x:c r="A25" s="395"/>
      <x:c r="B25" s="395"/>
      <x:c r="C25" s="395"/>
      <x:c r="D25" s="395"/>
      <x:c r="E25" s="395"/>
      <x:c r="F25" s="395"/>
    </x:row>
    <x:row r="26">
      <x:c r="A26" s="395"/>
      <x:c r="B26" s="395"/>
      <x:c r="C26" s="395"/>
      <x:c r="D26" s="395"/>
      <x:c r="E26" s="395"/>
      <x:c r="F26" s="395"/>
    </x:row>
    <x:row r="27">
      <x:c r="A27" s="395"/>
      <x:c r="B27" s="395"/>
      <x:c r="C27" s="395"/>
      <x:c r="D27" s="395"/>
      <x:c r="E27" s="395"/>
      <x:c r="F27" s="395"/>
    </x:row>
    <x:row r="28">
      <x:c r="A28" s="395"/>
      <x:c r="B28" s="395"/>
      <x:c r="C28" s="395"/>
      <x:c r="D28" s="395"/>
      <x:c r="E28" s="395"/>
      <x:c r="F28" s="395"/>
    </x:row>
    <x:row r="29">
      <x:c r="A29" s="395"/>
      <x:c r="B29" s="395"/>
      <x:c r="C29" s="395"/>
      <x:c r="D29" s="395"/>
      <x:c r="E29" s="395"/>
      <x:c r="F29" s="395"/>
    </x:row>
    <x:row r="30">
      <x:c r="A30" s="395"/>
      <x:c r="B30" s="395"/>
      <x:c r="C30" s="395"/>
      <x:c r="D30" s="395"/>
      <x:c r="E30" s="395"/>
      <x:c r="F30" s="395"/>
    </x:row>
    <x:row r="31">
      <x:c r="A31" s="395"/>
      <x:c r="B31" s="395"/>
      <x:c r="C31" s="395"/>
      <x:c r="D31" s="395"/>
      <x:c r="E31" s="395"/>
      <x:c r="F31" s="395"/>
    </x:row>
    <x:row r="32">
      <x:c r="A32" s="395"/>
      <x:c r="B32" s="395"/>
      <x:c r="C32" s="395"/>
      <x:c r="D32" s="395"/>
      <x:c r="E32" s="395"/>
      <x:c r="F32" s="395"/>
    </x:row>
    <x:row r="33">
      <x:c r="A33" s="395"/>
      <x:c r="B33" s="395"/>
      <x:c r="C33" s="395"/>
      <x:c r="D33" s="395"/>
      <x:c r="E33" s="395"/>
      <x:c r="F33" s="395"/>
    </x:row>
    <x:row r="34">
      <x:c r="A34" s="395"/>
      <x:c r="B34" s="395"/>
      <x:c r="C34" s="395"/>
      <x:c r="D34" s="395"/>
      <x:c r="E34" s="395"/>
      <x:c r="F34" s="395"/>
    </x:row>
    <x:row r="35">
      <x:c r="A35" s="395"/>
      <x:c r="B35" s="395"/>
      <x:c r="C35" s="395"/>
      <x:c r="D35" s="395"/>
      <x:c r="E35" s="395"/>
      <x:c r="F35" s="395"/>
    </x:row>
    <x:row r="36">
      <x:c r="A36" s="395"/>
      <x:c r="B36" s="395"/>
      <x:c r="C36" s="395"/>
      <x:c r="D36" s="395"/>
      <x:c r="E36" s="395"/>
      <x:c r="F36" s="395"/>
    </x:row>
    <x:row r="37">
      <x:c r="A37" s="395"/>
      <x:c r="B37" s="395"/>
      <x:c r="C37" s="395"/>
      <x:c r="D37" s="395"/>
      <x:c r="E37" s="395"/>
      <x:c r="F37" s="395"/>
    </x:row>
    <x:row r="38">
      <x:c r="A38" s="395"/>
      <x:c r="B38" s="395"/>
      <x:c r="C38" s="395"/>
      <x:c r="D38" s="395"/>
      <x:c r="E38" s="395"/>
      <x:c r="F38" s="395"/>
    </x:row>
    <x:row r="39">
      <x:c r="A39" s="395"/>
      <x:c r="B39" s="395"/>
      <x:c r="C39" s="395"/>
      <x:c r="D39" s="395"/>
      <x:c r="E39" s="395"/>
      <x:c r="F39" s="395"/>
    </x:row>
    <x:row r="40">
      <x:c r="A40" s="395"/>
      <x:c r="B40" s="395"/>
      <x:c r="C40" s="395"/>
      <x:c r="D40" s="395"/>
      <x:c r="E40" s="395"/>
      <x:c r="F40" s="395"/>
    </x:row>
  </x:sheetData>
  <x:pageMargins left="0.7" right="0.7" top="0.75" bottom="0.75" header="0.3" footer="0.3"/>
</x:worksheet>
</file>