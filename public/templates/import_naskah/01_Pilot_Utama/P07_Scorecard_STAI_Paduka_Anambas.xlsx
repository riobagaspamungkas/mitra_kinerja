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5c15077b547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 STAI ANAMBAS" sheetId="1" r:id="Re221811abfb9470b"/>
    <x:sheet xmlns:r="http://schemas.openxmlformats.org/officeDocument/2006/relationships" name="IDENTITAS &amp; PIC" sheetId="2" r:id="Ra5d4913112df494e"/>
    <x:sheet xmlns:r="http://schemas.openxmlformats.org/officeDocument/2006/relationships" name="PELAKSANAAN KEGIATAN" sheetId="3" r:id="R88cada5222b24c8d"/>
    <x:sheet xmlns:r="http://schemas.openxmlformats.org/officeDocument/2006/relationships" name="USULAN TINDAK LANJUT" sheetId="4" r:id="R33e112967dab4c39"/>
    <x:sheet xmlns:r="http://schemas.openxmlformats.org/officeDocument/2006/relationships" name="BASELINE STAI ANAMBAS" sheetId="5" r:id="R8182819a7225480f"/>
    <x:sheet xmlns:r="http://schemas.openxmlformats.org/officeDocument/2006/relationships" name="SCORECARD STAI ANAMBAS" sheetId="6" r:id="Re2158aefdbcf4b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%"/>
    <x:numFmt numFmtId="202" formatCode="dd mmmm yyyy"/>
    <x:numFmt numFmtId="203" formatCode="@"/>
    <x:numFmt numFmtId="204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6B4F00"/>
      <x:name val="Carlito"/>
    </x:font>
    <x:font>
      <x:i/>
      <x:sz val="11"/>
      <x:name val="Carlito"/>
    </x:font>
    <x:font>
      <x:b/>
      <x:sz val="11"/>
      <x:color rgb="FF8B1E1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8"/>
      </x:patternFill>
    </x:fill>
    <x:fill>
      <x:patternFill patternType="solid">
        <x:fgColor rgb="FF173F6B"/>
      </x:patternFill>
    </x:fill>
    <x:fill>
      <x:patternFill patternType="solid">
        <x:fgColor rgb="FFF3F4F6"/>
      </x:patternFill>
    </x:fill>
    <x:fill>
      <x:patternFill patternType="solid">
        <x:fgColor rgb="FFFFF4CC"/>
      </x:patternFill>
    </x:fill>
    <x:fill>
      <x:patternFill patternType="solid">
        <x:fgColor rgb="FFFCE8E6"/>
      </x:patternFill>
    </x:fill>
  </x:fills>
  <x:borders count="2">
    <x:border/>
    <x:border/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vertical="top"/>
    </x:xf>
    <x:xf numFmtId="0" fontId="0" fillId="6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5" borderId="0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 applyAlignment="1">
      <x:alignment vertical="top" wrapText="1"/>
    </x:xf>
    <x:xf numFmtId="202" fontId="0" fillId="5" borderId="1" xfId="0" applyNumberFormat="1" applyFont="1" applyFill="1" applyBorder="1" applyAlignment="1">
      <x:alignment vertical="top" wrapText="1"/>
    </x:xf>
    <x:xf numFmtId="202" fontId="4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vertical="top" wrapText="1"/>
    </x:xf>
    <x:xf numFmtId="201" fontId="3" fillId="2" borderId="0" xfId="0" applyNumberFormat="1" applyFont="1" applyFill="1" applyBorder="1" applyAlignment="1">
      <x:alignment horizontal="center" vertical="top" wrapText="1"/>
    </x:xf>
    <x:xf numFmtId="203" fontId="0" fillId="6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3" fillId="4" borderId="0" xfId="0" applyNumberFormat="1" applyFont="1" applyFill="1" applyBorder="1" applyAlignment="1">
      <x:alignment vertical="center"/>
    </x:xf>
    <x:xf numFmtId="204" fontId="0" fillId="6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/>
    <x:xf numFmtId="204" fontId="3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ill>
        <x:patternFill>
          <x:bgColor rgb="FFDFF2E1"/>
        </x:patternFill>
      </x:fill>
    </x:dxf>
    <x:dxf>
      <x:fill>
        <x:patternFill>
          <x:bgColor rgb="FFFDEBD0"/>
        </x:patternFill>
      </x:fill>
    </x:dxf>
    <x:dxf>
      <x:fill>
        <x:patternFill>
          <x:bgColor rgb="FFDFF2E1"/>
        </x:patternFill>
      </x:fill>
    </x:dxf>
    <x:dxf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80920a50ff4c40" /><Relationship Type="http://schemas.openxmlformats.org/officeDocument/2006/relationships/theme" Target="/xl/theme/theme1.xml" Id="Rc5e9e395419c4226" /><Relationship Type="http://schemas.openxmlformats.org/officeDocument/2006/relationships/sharedStrings" Target="/xl/sharedStrings.xml" Id="R5751136752794098" /><Relationship Type="http://schemas.openxmlformats.org/officeDocument/2006/relationships/worksheet" Target="/xl/worksheets/sheet1.xml" Id="Re221811abfb9470b" /><Relationship Type="http://schemas.openxmlformats.org/officeDocument/2006/relationships/worksheet" Target="/xl/worksheets/sheet2.xml" Id="Ra5d4913112df494e" /><Relationship Type="http://schemas.openxmlformats.org/officeDocument/2006/relationships/worksheet" Target="/xl/worksheets/sheet3.xml" Id="R88cada5222b24c8d" /><Relationship Type="http://schemas.openxmlformats.org/officeDocument/2006/relationships/worksheet" Target="/xl/worksheets/sheet4.xml" Id="R33e112967dab4c39" /><Relationship Type="http://schemas.openxmlformats.org/officeDocument/2006/relationships/worksheet" Target="/xl/worksheets/sheet5.xml" Id="R8182819a7225480f" /><Relationship Type="http://schemas.openxmlformats.org/officeDocument/2006/relationships/worksheet" Target="/xl/worksheets/sheet6.xml" Id="Re2158aefdbcf4b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8" hidden="0" customWidth="1"/>
    <x:col min="4" max="4" width="42" hidden="0" customWidth="1"/>
    <x:col min="5" max="5" width="26" hidden="0" customWidth="1"/>
    <x:col min="6" max="6" width="6" hidden="0" customWidth="1"/>
    <x:col min="7" max="7" width="24" hidden="0" customWidth="1"/>
    <x:col min="8" max="8" width="26" hidden="0" customWidth="1"/>
  </x:cols>
  <x:sheetData>
    <x:row r="1" ht="28" customHeight="1">
      <x:c r="A1" s="5" t="str">
        <x:v>MITRA KINERJA — RINGKASAN TERINTEGRASI STAI PADUKA ANAMBAS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Data Stakeholder → Baseline → Scorecard → Early Warning → Tindak Lanjut</x:v>
      </x:c>
      <x:c r="B2" s="12"/>
      <x:c r="C2" s="12"/>
      <x:c r="D2" s="12"/>
      <x:c r="E2" s="12"/>
      <x:c r="F2" s="12"/>
      <x:c r="G2" s="12"/>
      <x:c r="H2" s="12"/>
    </x:row>
    <x:row r="4" ht="22" customHeight="1">
      <x:c r="A4" s="18" t="str">
        <x:v>IDENTITAS PORTOFOLIO</x:v>
      </x:c>
      <x:c r="B4" s="18"/>
      <x:c r="C4" s="18"/>
      <x:c r="D4" s="18"/>
      <x:c r="E4" s="18"/>
      <x:c r="F4" s="18"/>
      <x:c r="G4" s="18"/>
      <x:c r="H4" s="18"/>
    </x:row>
    <x:row r="5">
      <x:c r="A5" s="31" t="str">
        <x:v>Kode Naskah</x:v>
      </x:c>
      <x:c r="B5" s="32" t="str">
        <x:v>P07</x:v>
      </x:c>
      <x:c r="D5" s="31" t="str">
        <x:v>PIC Mitra</x:v>
      </x:c>
      <x:c r="E5" s="32" t="str">
        <x:f>IF(OR('IDENTITAS &amp; PIC'!C11="",LEFT('IDENTITAS &amp; PIC'!C11,1)="&lt;"),"Belum tersedia",'IDENTITAS &amp; PIC'!C11)</x:f>
        <x:v>Belum tersedia</x:v>
      </x:c>
      <x:c r="G5" s="31" t="str">
        <x:v>Nilai Berjalan</x:v>
      </x:c>
      <x:c r="H5" s="35" t="n">
        <x:f>'SCORECARD STAI ANAMBAS'!B21</x:f>
        <x:v>6.25</x:v>
      </x:c>
    </x:row>
    <x:row r="6">
      <x:c r="A6" s="31" t="str">
        <x:v>Mitra</x:v>
      </x:c>
      <x:c r="B6" s="32" t="str">
        <x:v>Sekolah Tinggi Agama Islam Paduka Anambas</x:v>
      </x:c>
      <x:c r="D6" s="31" t="str">
        <x:v>Total Kegiatan</x:v>
      </x:c>
      <x:c r="E6" s="32" t="n">
        <x:f>IF('PELAKSANAAN KEGIATAN'!B7&lt;&gt;"",1,0)+IF('PELAKSANAAN KEGIATAN'!B8&lt;&gt;"",1,0)+IF('PELAKSANAAN KEGIATAN'!B9&lt;&gt;"",1,0)+IF('PELAKSANAAN KEGIATAN'!B10&lt;&gt;"",1,0)+IF('PELAKSANAAN KEGIATAN'!B11&lt;&gt;"",1,0)+IF('PELAKSANAAN KEGIATAN'!B12&lt;&gt;"",1,0)</x:f>
        <x:v>0</x:v>
      </x:c>
      <x:c r="F6"/>
      <x:c r="G6" s="31" t="str">
        <x:v>Kelengkapan Scorecard</x:v>
      </x:c>
      <x:c r="H6" s="37" t="n">
        <x:f>'SCORECARD STAI ANAMBAS'!D21</x:f>
        <x:v>1</x:v>
      </x:c>
    </x:row>
    <x:row r="7">
      <x:c r="A7" s="31" t="str">
        <x:v>Jenis</x:v>
      </x:c>
      <x:c r="B7" s="32" t="str">
        <x:v>MoU</x:v>
      </x:c>
      <x:c r="D7" s="31" t="str">
        <x:v>Usulan Tindak Lanjut</x:v>
      </x:c>
      <x:c r="E7" s="32" t="n">
        <x:f>IF('USULAN TINDAK LANJUT'!B7&lt;&gt;"",1,0)+IF('USULAN TINDAK LANJUT'!B8&lt;&gt;"",1,0)+IF('USULAN TINDAK LANJUT'!B9&lt;&gt;"",1,0)+IF('USULAN TINDAK LANJUT'!B10&lt;&gt;"",1,0)+IF('USULAN TINDAK LANJUT'!B11&lt;&gt;"",1,0)+IF('USULAN TINDAK LANJUT'!B12&lt;&gt;"",1,0)</x:f>
        <x:v>0</x:v>
      </x:c>
      <x:c r="G7" s="31" t="str">
        <x:v>Kategori</x:v>
      </x:c>
      <x:c r="H7" s="39" t="str">
        <x:f>'SCORECARD STAI ANAMBAS'!F21</x:f>
        <x:v>KRITIS</x:v>
      </x:c>
    </x:row>
    <x:row r="8">
      <x:c r="A8" s="31" t="str">
        <x:v>Judul</x:v>
      </x:c>
      <x:c r="B8" s="32" t="str">
        <x:v>Pelayanan Hukum dan Fasilitasi Tri Dharma Perguruan Tinggi</x:v>
      </x:c>
      <x:c r="D8" s="31" t="str">
        <x:v>Keterangan Bukti</x:v>
      </x:c>
      <x:c r="E8" s="32" t="n">
        <x:f>IF('PELAKSANAAN KEGIATAN'!E7&lt;&gt;"",1,0)+IF('PELAKSANAAN KEGIATAN'!E8&lt;&gt;"",1,0)+IF('PELAKSANAAN KEGIATAN'!E9&lt;&gt;"",1,0)+IF('PELAKSANAAN KEGIATAN'!E10&lt;&gt;"",1,0)+IF('PELAKSANAAN KEGIATAN'!E11&lt;&gt;"",1,0)+IF('PELAKSANAAN KEGIATAN'!E12&lt;&gt;"",1,0)</x:f>
        <x:v>0</x:v>
      </x:c>
      <x:c r="G8" s="31" t="str">
        <x:v>Early Warning</x:v>
      </x:c>
      <x:c r="H8" s="39" t="str">
        <x:f>'SCORECARD STAI ANAMBAS'!B32</x:f>
        <x:v>E3 - MERAH</x:v>
      </x:c>
    </x:row>
    <x:row r="10" ht="22" customHeight="1">
      <x:c r="A10" s="18" t="str">
        <x:v>STATUS BASELINE TERINTEGRASI</x:v>
      </x:c>
      <x:c r="B10" s="18"/>
      <x:c r="C10" s="18"/>
      <x:c r="D10" s="18"/>
      <x:c r="E10" s="18"/>
      <x:c r="F10" s="18"/>
      <x:c r="G10" s="18"/>
      <x:c r="H10" s="18"/>
    </x:row>
    <x:row r="11">
      <x:c r="A11" s="49" t="str">
        <x:v>Elemen</x:v>
      </x:c>
      <x:c r="B11" s="49" t="str">
        <x:v>Status Baseline</x:v>
      </x:c>
      <x:c r="C11" s="49" t="str">
        <x:v>Pembaruan Terintegrasi</x:v>
      </x:c>
      <x:c r="D11" s="49" t="str">
        <x:v>Catatan</x:v>
      </x:c>
    </x:row>
    <x:row r="12">
      <x:c r="A12" s="39" t="str">
        <x:v>PIC Mitra</x:v>
      </x:c>
      <x:c r="B12" s="32" t="str">
        <x:f>'BASELINE STAI ANAMBAS'!F20</x:f>
        <x:v>BELUM TERSEDIA</x:v>
      </x:c>
      <x:c r="C12" s="32" t="str">
        <x:f>'BASELINE STAI ANAMBAS'!J20</x:f>
        <x:v>Belum ada PIC mitra yang diisi</x:v>
      </x:c>
      <x:c r="D12" s="32" t="str">
        <x:f>'BASELINE STAI ANAMBAS'!K20</x:f>
        <x:v>Tidak ada pembaruan yang mengubah baseline.</x:v>
      </x:c>
    </x:row>
    <x:row r="13">
      <x:c r="A13" s="39" t="str">
        <x:v>Rencana Tindak Lanjut</x:v>
      </x:c>
      <x:c r="B13" s="32" t="str">
        <x:f>'BASELINE STAI ANAMBAS'!F21</x:f>
        <x:v>BELUM TERSEDIA</x:v>
      </x:c>
      <x:c r="C13" s="32" t="str">
        <x:f>'BASELINE STAI ANAMBAS'!J21</x:f>
        <x:v>Belum ada usulan tindak lanjut terisi</x:v>
      </x:c>
      <x:c r="D13" s="32" t="str">
        <x:f>'BASELINE STAI ANAMBAS'!K21</x:f>
        <x:v>Tidak ada pembaruan yang mengubah baseline.</x:v>
      </x:c>
    </x:row>
    <x:row r="14">
      <x:c r="A14" s="39" t="str">
        <x:v>Pelaksanaan &amp; Hasil</x:v>
      </x:c>
      <x:c r="B14" s="32" t="str">
        <x:f>'BASELINE STAI ANAMBAS'!F22</x:f>
        <x:v>BELUM TERSEDIA</x:v>
      </x:c>
      <x:c r="C14" s="32" t="str">
        <x:f>'BASELINE STAI ANAMBAS'!J22</x:f>
        <x:v>Belum ada kegiatan pada sheet pelaksanaan</x:v>
      </x:c>
      <x:c r="D14" s="32" t="str">
        <x:f>'BASELINE STAI ANAMBAS'!K22</x:f>
        <x:v>Tidak ada pembaruan yang mengubah baseline.</x:v>
      </x:c>
    </x:row>
    <x:row r="15">
      <x:c r="A15" s="39" t="str">
        <x:v>Eviden Implementasi</x:v>
      </x:c>
      <x:c r="B15" s="32" t="str">
        <x:f>'BASELINE STAI ANAMBAS'!F23</x:f>
        <x:v>BELUM TERSEDIA</x:v>
      </x:c>
      <x:c r="C15" s="32" t="str">
        <x:f>'BASELINE STAI ANAMBAS'!J23</x:f>
        <x:v>Belum ada keterangan bukti pada sheet pelaksanaan</x:v>
      </x:c>
      <x:c r="D15" s="32" t="str">
        <x:f>'BASELINE STAI ANAMBAS'!K23</x:f>
        <x:v>Tidak ada pembaruan yang mengubah baseline.</x:v>
      </x:c>
    </x:row>
    <x:row r="17">
      <x:c r="A17" s="53" t="str">
        <x:v>Catatan kendali: data pada sheet input mengalir otomatis sebagai referensi, tetapi TIDAK otomatis mengubah status Baseline atau skor Scorecard. Pemeriksaan bukti dan validasi tetap diperlukan.</x:v>
      </x:c>
      <x:c r="B17" s="53"/>
      <x:c r="C17" s="53"/>
      <x:c r="D17" s="53"/>
      <x:c r="E17" s="53"/>
      <x:c r="F17" s="53"/>
      <x:c r="G17" s="53"/>
      <x:c r="H17" s="53"/>
    </x:row>
    <x:row r="19" ht="42" customHeight="1">
      <x:c r="A19" s="95" t="str">
        <x:v>CATATAN STAI PADUKA ANAMBAS: file stakeholder terbaru masih kosong. Baseline P07 saat ini menghitung 5 TERVERIFIKASI dan 7 BELUM TERSEDIA. Sementara itu, Scorecard sumber P07 sudah berisi penilaian lengkap 6 indikator dengan nilai 6,25, kategori KRITIS, dan Early Warning E3-MERAH. Workbook mempertahankan kedua kondisi sumber tersebut tanpa menyelaraskan secara asumsi; perbedaan status Baseline–Scorecard perlu diverifikasi sebelum finalisasi.</x:v>
      </x:c>
      <x:c r="B19" s="95"/>
      <x:c r="C19" s="95"/>
      <x:c r="D19" s="95"/>
      <x:c r="E19" s="95"/>
      <x:c r="F19" s="95"/>
      <x:c r="G19" s="95"/>
      <x:c r="H19" s="95"/>
    </x:row>
  </x:sheetData>
  <x:mergeCells>
    <x:mergeCell ref="A1:H1"/>
    <x:mergeCell ref="A2:H2"/>
    <x:mergeCell ref="A4:H4"/>
    <x:mergeCell ref="A10:H10"/>
    <x:mergeCell ref="A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" hidden="0" customWidth="1"/>
    <x:col min="3" max="3" width="34" hidden="0" customWidth="1"/>
    <x:col min="4" max="4" width="4" hidden="0" customWidth="1"/>
    <x:col min="5" max="5" width="20" hidden="0" customWidth="1"/>
    <x:col min="6" max="6" width="4" hidden="0" customWidth="1"/>
    <x:col min="7" max="7" width="28" hidden="0" customWidth="1"/>
  </x:cols>
  <x:sheetData>
    <x:row r="1" ht="28" customHeight="1">
      <x:c r="A1" s="5" t="str">
        <x:v>IDENTITAS KERJA SAMA DAN PIC — STAI PADUKA ANAMBAS</x:v>
      </x:c>
      <x:c r="B1" s="5" t="str">
        <x:v>IDENTITAS KERJA SAMA DAN PIC</x:v>
      </x:c>
      <x:c r="C1" s="5" t="str">
        <x:v>IDENTITAS KERJA SAMA DAN PIC</x:v>
      </x:c>
      <x:c r="D1" s="5" t="str">
        <x:v>IDENTITAS KERJA SAMA DAN PIC</x:v>
      </x:c>
      <x:c r="E1" s="5" t="str">
        <x:v>IDENTITAS KERJA SAMA DAN PIC</x:v>
      </x:c>
      <x:c r="F1" s="5" t="str">
        <x:v>IDENTITAS KERJA SAMA DAN PIC</x:v>
      </x:c>
      <x:c r="G1" s="5" t="str">
        <x:v>IDENTITAS KERJA SAMA DAN PIC</x:v>
      </x:c>
      <x:c r="H1" t="str">
        <x:v>IDENTITAS KERJA SAMA DAN PIC</x:v>
      </x:c>
    </x:row>
    <x:row r="2">
      <x:c r="A2" s="58" t="str">
        <x:v>Fokus workbook mengikuti sumber P07: Sekolah Tinggi Agama Islam Paduka Anambas. File stakeholder terbaru belum memuat PIC, kegiatan, bukti, atau tindak lanjut; identitas dasar ditarik dari Baseline P07.</x:v>
      </x:c>
      <x:c r="B2" s="58" t="str">
        <x:v>Sel kuning diisi oleh mitra; data naskah telah dipersiapkan untuk STAI Natuna dan dapat disesuaikan.</x:v>
      </x:c>
      <x:c r="C2" s="58" t="str">
        <x:v>Sel kuning diisi oleh mitra; data naskah telah dipersiapkan untuk STAI Natuna dan dapat disesuaikan.</x:v>
      </x:c>
      <x:c r="D2" s="58" t="str">
        <x:v>Sel kuning diisi oleh mitra; data naskah telah dipersiapkan untuk STAI Natuna dan dapat disesuaikan.</x:v>
      </x:c>
      <x:c r="E2" s="58" t="str">
        <x:v>Sel kuning diisi oleh mitra; data naskah telah dipersiapkan untuk STAI Natuna dan dapat disesuaikan.</x:v>
      </x:c>
      <x:c r="F2" s="58" t="str">
        <x:v>Sel kuning diisi oleh mitra; data naskah telah dipersiapkan untuk STAI Natuna dan dapat disesuaikan.</x:v>
      </x:c>
      <x:c r="G2" s="58" t="str">
        <x:v>Sel kuning diisi oleh mitra; data naskah telah dipersiapkan untuk STAI Natuna dan dapat disesuaikan.</x:v>
      </x:c>
      <x:c r="H2" t="str">
        <x:v>Sel kuning diisi oleh mitra; data naskah telah dipersiapkan untuk STAI Natuna dan dapat disesuaikan.</x:v>
      </x:c>
    </x:row>
    <x:row r="3">
      <x:c r="A3"/>
      <x:c r="B3"/>
      <x:c r="C3"/>
      <x:c r="D3"/>
      <x:c r="E3"/>
      <x:c r="F3"/>
      <x:c r="G3"/>
      <x:c r="H3"/>
    </x:row>
    <x:row r="4" ht="22" customHeight="1">
      <x:c r="A4" s="18" t="str">
        <x:v>A. IDENTITAS KERJA SAMA</x:v>
      </x:c>
      <x:c r="B4" s="18" t="str">
        <x:v>A. IDENTITAS KERJA SAMA</x:v>
      </x:c>
      <x:c r="C4" s="18" t="str">
        <x:v>A. IDENTITAS KERJA SAMA</x:v>
      </x:c>
      <x:c r="D4" s="18" t="str">
        <x:v>A. IDENTITAS KERJA SAMA</x:v>
      </x:c>
      <x:c r="E4" s="18" t="str">
        <x:v>A. IDENTITAS KERJA SAMA</x:v>
      </x:c>
      <x:c r="F4" s="18" t="str">
        <x:v>A. IDENTITAS KERJA SAMA</x:v>
      </x:c>
      <x:c r="G4" s="18" t="str">
        <x:v>A. IDENTITAS KERJA SAMA</x:v>
      </x:c>
      <x:c r="H4" t="str">
        <x:v>A. IDENTITAS KERJA SAMA</x:v>
      </x:c>
    </x:row>
    <x:row r="5">
      <x:c r="A5" s="31" t="str">
        <x:v>Nama Mitra</x:v>
      </x:c>
      <x:c r="B5" s="32"/>
      <x:c r="C5" s="63" t="str">
        <x:v>Sekolah Tinggi Agama Islam Paduka Anambas</x:v>
      </x:c>
      <x:c r="D5" s="63"/>
      <x:c r="E5" s="63"/>
      <x:c r="F5" s="63"/>
      <x:c r="G5" s="63"/>
      <x:c r="H5"/>
    </x:row>
    <x:row r="6">
      <x:c r="A6" s="31" t="str">
        <x:v>Nomor Nota Kesepahaman/Perjanjian Kerja Sama</x:v>
      </x:c>
      <x:c r="B6" s="32"/>
      <x:c r="C6" s="63" t="str">
        <x:v>BELUM TERVERIFIKASI</x:v>
      </x:c>
      <x:c r="D6" s="63"/>
      <x:c r="E6" s="63"/>
      <x:c r="F6" s="63"/>
      <x:c r="G6" s="63"/>
      <x:c r="H6"/>
    </x:row>
    <x:row r="7">
      <x:c r="A7" s="31" t="str">
        <x:v>Tanggal</x:v>
      </x:c>
      <x:c r="B7" s="32"/>
      <x:c r="C7" s="96" t="n">
        <x:v>45979</x:v>
      </x:c>
      <x:c r="D7" s="63"/>
      <x:c r="E7" s="63"/>
      <x:c r="F7" s="63"/>
      <x:c r="G7" s="63"/>
      <x:c r="H7"/>
    </x:row>
    <x:row r="8">
      <x:c r="A8" s="31" t="str">
        <x:v>Ruang Lingkup</x:v>
      </x:c>
      <x:c r="B8" s="32"/>
      <x:c r="C8" s="63" t="str">
        <x:v>Ruang lingkup yang tercatat meliputi pendidikan dan pengajaran; penelitian dan pengembangan hukum; pengabdian kepada masyarakat; MBKB; fasilitasi dan penguatan KI; pengembangan kompetensi SDM; asistensi JDIH; serta kegiatan lain yang disepakati.</x:v>
      </x:c>
      <x:c r="D8" s="63"/>
      <x:c r="E8" s="63"/>
      <x:c r="F8" s="63"/>
      <x:c r="G8" s="63"/>
      <x:c r="H8"/>
    </x:row>
    <x:row r="9">
      <x:c r="A9"/>
      <x:c r="B9"/>
      <x:c r="C9"/>
      <x:c r="D9"/>
      <x:c r="E9"/>
      <x:c r="F9"/>
      <x:c r="G9"/>
      <x:c r="H9"/>
    </x:row>
    <x:row r="10" ht="22" customHeight="1">
      <x:c r="A10" s="18" t="str">
        <x:v>B. PIC UTAMA</x:v>
      </x:c>
      <x:c r="B10" s="18" t="str">
        <x:v>B. PIC UTAMA</x:v>
      </x:c>
      <x:c r="C10" s="18" t="str">
        <x:v>B. PIC UTAMA</x:v>
      </x:c>
      <x:c r="D10" s="18" t="str">
        <x:v>B. PIC UTAMA</x:v>
      </x:c>
      <x:c r="E10" s="18" t="str">
        <x:v>B. PIC UTAMA</x:v>
      </x:c>
      <x:c r="F10" s="18" t="str">
        <x:v>B. PIC UTAMA</x:v>
      </x:c>
      <x:c r="G10" s="18" t="str">
        <x:v>B. PIC UTAMA</x:v>
      </x:c>
      <x:c r="H10" t="str">
        <x:v>B. PIC UTAMA</x:v>
      </x:c>
    </x:row>
    <x:row r="11">
      <x:c r="A11" s="31" t="str">
        <x:v>Nama Lengkap*</x:v>
      </x:c>
      <x:c r="B11" s="32"/>
      <x:c r="C11" s="63"/>
      <x:c r="D11" s="32"/>
      <x:c r="E11" s="31" t="str">
        <x:v>Jabatan*</x:v>
      </x:c>
      <x:c r="F11" s="32"/>
      <x:c r="G11" s="63"/>
      <x:c r="H11"/>
    </x:row>
    <x:row r="12">
      <x:c r="A12" s="31" t="str">
        <x:v>Unit Kerja*</x:v>
      </x:c>
      <x:c r="B12" s="32"/>
      <x:c r="C12" s="63"/>
      <x:c r="D12" s="32"/>
      <x:c r="E12" s="31" t="str">
        <x:v>No. HP/WA*</x:v>
      </x:c>
      <x:c r="F12" s="32"/>
      <x:c r="G12" s="101"/>
      <x:c r="H12"/>
    </x:row>
    <x:row r="13">
      <x:c r="A13" s="31" t="str">
        <x:v>Email Resmi*</x:v>
      </x:c>
      <x:c r="B13" s="32"/>
      <x:c r="C13" s="63"/>
      <x:c r="D13" s="32"/>
      <x:c r="E13" s="31" t="str">
        <x:v>Status</x:v>
      </x:c>
      <x:c r="F13" s="32"/>
      <x:c r="G13" s="101" t="str">
        <x:v>Tetap</x:v>
      </x:c>
      <x:c r="H13"/>
    </x:row>
    <x:row r="14">
      <x:c r="A14"/>
      <x:c r="B14"/>
      <x:c r="C14"/>
      <x:c r="D14"/>
      <x:c r="E14"/>
      <x:c r="F14"/>
      <x:c r="G14" s="102"/>
      <x:c r="H14"/>
    </x:row>
    <x:row r="15" ht="22" customHeight="1">
      <x:c r="A15" s="18" t="str">
        <x:v>C. PIC CADANGAN</x:v>
      </x:c>
      <x:c r="B15" s="18" t="str">
        <x:v>C. PIC CADANGAN</x:v>
      </x:c>
      <x:c r="C15" s="18" t="str">
        <x:v>C. PIC CADANGAN</x:v>
      </x:c>
      <x:c r="D15" s="18" t="str">
        <x:v>C. PIC CADANGAN</x:v>
      </x:c>
      <x:c r="E15" s="18" t="str">
        <x:v>C. PIC CADANGAN</x:v>
      </x:c>
      <x:c r="F15" s="18" t="str">
        <x:v>C. PIC CADANGAN</x:v>
      </x:c>
      <x:c r="G15" s="103" t="str">
        <x:v>C. PIC CADANGAN</x:v>
      </x:c>
      <x:c r="H15" t="str">
        <x:v>C. PIC CADANGAN</x:v>
      </x:c>
    </x:row>
    <x:row r="16">
      <x:c r="A16" s="31" t="str">
        <x:v>Nama Lengkap*</x:v>
      </x:c>
      <x:c r="B16" s="32"/>
      <x:c r="C16" s="63"/>
      <x:c r="D16" s="32"/>
      <x:c r="E16" s="31" t="str">
        <x:v>Jabatan*</x:v>
      </x:c>
      <x:c r="F16" s="32"/>
      <x:c r="G16" s="101"/>
      <x:c r="H16"/>
    </x:row>
    <x:row r="17">
      <x:c r="A17" s="31" t="str">
        <x:v>Unit Kerja*</x:v>
      </x:c>
      <x:c r="B17" s="32"/>
      <x:c r="C17" s="63"/>
      <x:c r="D17" s="32"/>
      <x:c r="E17" s="31" t="str">
        <x:v>No. HP/WA*</x:v>
      </x:c>
      <x:c r="F17" s="32"/>
      <x:c r="G17" s="101"/>
      <x:c r="H17"/>
    </x:row>
    <x:row r="18">
      <x:c r="A18" s="31" t="str">
        <x:v>Email Resmi*</x:v>
      </x:c>
      <x:c r="B18" s="32"/>
      <x:c r="C18" s="63"/>
      <x:c r="D18" s="32"/>
      <x:c r="E18" s="31" t="str">
        <x:v>Status</x:v>
      </x:c>
      <x:c r="F18" s="32"/>
      <x:c r="G18" s="63" t="str">
        <x:v>Tetap</x:v>
      </x:c>
      <x:c r="H18"/>
    </x:row>
    <x:row r="19">
      <x:c r="A19"/>
      <x:c r="B19"/>
      <x:c r="C19"/>
      <x:c r="D19"/>
      <x:c r="E19"/>
      <x:c r="F19"/>
      <x:c r="G19"/>
      <x:c r="H19"/>
    </x:row>
    <x:row r="20" ht="22" customHeight="1">
      <x:c r="A20" s="18" t="str">
        <x:v>D. KONFIRMASI RAPAT PENGUATAN PIC</x:v>
      </x:c>
      <x:c r="B20" s="18" t="str">
        <x:v>D. KONFIRMASI RAPAT PENGUATAN PIC</x:v>
      </x:c>
      <x:c r="C20" s="18" t="str">
        <x:v>D. KONFIRMASI RAPAT PENGUATAN PIC</x:v>
      </x:c>
      <x:c r="D20" s="18" t="str">
        <x:v>D. KONFIRMASI RAPAT PENGUATAN PIC</x:v>
      </x:c>
      <x:c r="E20" s="18" t="str">
        <x:v>D. KONFIRMASI RAPAT PENGUATAN PIC</x:v>
      </x:c>
      <x:c r="F20" s="18" t="str">
        <x:v>D. KONFIRMASI RAPAT PENGUATAN PIC</x:v>
      </x:c>
      <x:c r="G20" s="18" t="str">
        <x:v>D. KONFIRMASI RAPAT PENGUATAN PIC</x:v>
      </x:c>
      <x:c r="H20" t="str">
        <x:v>D. KONFIRMASI RAPAT PENGUATAN PIC</x:v>
      </x:c>
    </x:row>
    <x:row r="21">
      <x:c r="A21" s="31" t="str">
        <x:v>Kesediaan Hadir*</x:v>
      </x:c>
      <x:c r="B21" s="32"/>
      <x:c r="C21" s="63" t="str">
        <x:v>Hadir</x:v>
      </x:c>
      <x:c r="D21" s="32"/>
      <x:c r="E21" s="31" t="str">
        <x:v>Nama Peserta*</x:v>
      </x:c>
      <x:c r="F21" s="32"/>
      <x:c r="G21" s="63"/>
      <x:c r="H21"/>
    </x:row>
    <x:row r="22">
      <x:c r="A22" s="31" t="str">
        <x:v>Pertanyaan/Kebutuhan Awal</x:v>
      </x:c>
      <x:c r="B22" s="32"/>
      <x:c r="C22" s="63"/>
      <x:c r="D22" s="32"/>
      <x:c r="E22" s="32"/>
      <x:c r="F22" s="32"/>
      <x:c r="G22" s="32"/>
      <x:c r="H22"/>
    </x:row>
    <x:row r="23">
      <x:c r="A23"/>
      <x:c r="B23"/>
      <x:c r="C23"/>
      <x:c r="D23"/>
      <x:c r="E23"/>
      <x:c r="F23"/>
      <x:c r="G23"/>
      <x:c r="H23"/>
    </x:row>
    <x:row r="24">
      <x:c r="A24" s="66" t="str">
        <x:v>Data kontak digunakan untuk koordinasi, monitoring, evaluasi, dan tindak lanjut pelaksanaan kerja sama.</x:v>
      </x:c>
      <x:c r="B24" s="66" t="str">
        <x:v>Data kontak digunakan untuk koordinasi, monitoring, evaluasi, dan tindak lanjut pelaksanaan kerja sama.</x:v>
      </x:c>
      <x:c r="C24" s="66" t="str">
        <x:v>Data kontak digunakan untuk koordinasi, monitoring, evaluasi, dan tindak lanjut pelaksanaan kerja sama.</x:v>
      </x:c>
      <x:c r="D24" s="66" t="str">
        <x:v>Data kontak digunakan untuk koordinasi, monitoring, evaluasi, dan tindak lanjut pelaksanaan kerja sama.</x:v>
      </x:c>
      <x:c r="E24" s="66" t="str">
        <x:v>Data kontak digunakan untuk koordinasi, monitoring, evaluasi, dan tindak lanjut pelaksanaan kerja sama.</x:v>
      </x:c>
      <x:c r="F24" s="66" t="str">
        <x:v>Data kontak digunakan untuk koordinasi, monitoring, evaluasi, dan tindak lanjut pelaksanaan kerja sama.</x:v>
      </x:c>
      <x:c r="G24" s="66" t="str">
        <x:v>Data kontak digunakan untuk koordinasi, monitoring, evaluasi, dan tindak lanjut pelaksanaan kerja sama.</x:v>
      </x:c>
      <x:c r="H24" t="str">
        <x:v>Data kontak digunakan untuk koordinasi, monitoring, evaluasi, dan tindak lanjut pelaksanaan kerja sama.</x:v>
      </x:c>
    </x:row>
    <x:row r="25">
      <x:c r="A25" t="str">
        <x:v>Data kontak digunakan untuk koordinasi, monitoring, evaluasi, dan tindak lanjut pelaksanaan kerja sama.</x:v>
      </x:c>
      <x:c r="B25" t="str">
        <x:v>Data kontak digunakan untuk koordinasi, monitoring, evaluasi, dan tindak lanjut pelaksanaan kerja sama.</x:v>
      </x:c>
      <x:c r="C25" t="str">
        <x:v>Data kontak digunakan untuk koordinasi, monitoring, evaluasi, dan tindak lanjut pelaksanaan kerja sama.</x:v>
      </x:c>
      <x:c r="D25" t="str">
        <x:v>Data kontak digunakan untuk koordinasi, monitoring, evaluasi, dan tindak lanjut pelaksanaan kerja sama.</x:v>
      </x:c>
      <x:c r="E25" t="str">
        <x:v>Data kontak digunakan untuk koordinasi, monitoring, evaluasi, dan tindak lanjut pelaksanaan kerja sama.</x:v>
      </x:c>
      <x:c r="F25" t="str">
        <x:v>Data kontak digunakan untuk koordinasi, monitoring, evaluasi, dan tindak lanjut pelaksanaan kerja sama.</x:v>
      </x:c>
      <x:c r="G25" t="str">
        <x:v>Data kontak digunakan untuk koordinasi, monitoring, evaluasi, dan tindak lanjut pelaksanaan kerja sama.</x:v>
      </x:c>
      <x:c r="H25" t="str">
        <x:v>Data kontak digunakan untuk koordinasi, monitoring, evaluasi, dan tindak lanjut pelaksanaan kerja sama.</x:v>
      </x:c>
    </x:row>
  </x:sheetData>
  <x:mergeCells>
    <x:mergeCell ref="A1:G1"/>
    <x:mergeCell ref="A2:G2"/>
    <x:mergeCell ref="A4:G4"/>
    <x:mergeCell ref="C5:G5"/>
    <x:mergeCell ref="C6:G6"/>
    <x:mergeCell ref="C7:G7"/>
    <x:mergeCell ref="C8:G8"/>
    <x:mergeCell ref="A10:G10"/>
    <x:mergeCell ref="A15:G15"/>
    <x:mergeCell ref="A20:G20"/>
    <x:mergeCell ref="C22:G22"/>
    <x:mergeCell ref="A24:G24"/>
  </x:mergeCells>
  <x:dataValidations count="3">
    <x:dataValidation type="list" sqref="C13">
      <x:formula1>"Tetap,Tidak Aktif,Pengganti"</x:formula1>
    </x:dataValidation>
    <x:dataValidation type="list" sqref="G13">
      <x:formula1>"Tetap,Tidak Aktif,Pengganti"</x:formula1>
    </x:dataValidation>
    <x:dataValidation type="list" sqref="C21">
      <x:formula1>"Hadir,Tidak Hadir,Daring"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20" hidden="0" customWidth="1"/>
    <x:col min="4" max="4" width="32" hidden="0" customWidth="1"/>
    <x:col min="5" max="5" width="38" hidden="0" customWidth="1"/>
    <x:col min="6" max="6" width="30" hidden="0" customWidth="1"/>
  </x:cols>
  <x:sheetData>
    <x:row r="1" ht="28" customHeight="1">
      <x:c r="A1" s="5" t="str">
        <x:v>KEGIATAN YANG SUDAH/SEDANG DILAKSANAKAN — STAI PADUKA ANAMBAS</x:v>
      </x:c>
      <x:c r="B1" s="5" t="str">
        <x:v>KEGIATAN YANG SUDAH/SEDANG DILAKSANAKAN</x:v>
      </x:c>
      <x:c r="C1" s="5" t="str">
        <x:v>KEGIATAN YANG SUDAH/SEDANG DILAKSANAKAN</x:v>
      </x:c>
      <x:c r="D1" s="5" t="str">
        <x:v>KEGIATAN YANG SUDAH/SEDANG DILAKSANAKAN</x:v>
      </x:c>
      <x:c r="E1" s="5" t="str">
        <x:v>KEGIATAN YANG SUDAH/SEDANG DILAKSANAKAN</x:v>
      </x:c>
      <x:c r="F1" s="5" t="str">
        <x:v>KEGIATAN YANG SUDAH/SEDANG DILAKSANAKAN</x:v>
      </x:c>
    </x:row>
    <x:row r="2">
      <x:c r="A2" s="58" t="str">
        <x:v>File stakeholder terbaru belum memuat kegiatan. Isi hanya kegiatan yang benar-benar sudah/sedang berjalan; data akan mengalir otomatis sebagai referensi ke Baseline, Scorecard, Early Warning, dan Ringkasan.</x:v>
      </x:c>
      <x:c r="B2" s="58" t="str">
        <x:v>Khusus untuk mencatat pelaksanaan yang sudah terjadi atau masih berjalan.</x:v>
      </x:c>
      <x:c r="C2" s="58" t="str">
        <x:v>Khusus untuk mencatat pelaksanaan yang sudah terjadi atau masih berjalan.</x:v>
      </x:c>
      <x:c r="D2" s="58" t="str">
        <x:v>Khusus untuk mencatat pelaksanaan yang sudah terjadi atau masih berjalan.</x:v>
      </x:c>
      <x:c r="E2" s="58" t="str">
        <x:v>Khusus untuk mencatat pelaksanaan yang sudah terjadi atau masih berjalan.</x:v>
      </x:c>
      <x:c r="F2" s="58" t="str">
        <x:v>Khusus untuk mencatat pelaksanaan yang sudah terjadi atau masih berjalan.</x:v>
      </x:c>
    </x:row>
    <x:row r="3">
      <x:c r="A3"/>
      <x:c r="B3"/>
      <x:c r="C3"/>
      <x:c r="D3"/>
      <x:c r="E3"/>
      <x:c r="F3"/>
    </x:row>
    <x:row r="4">
      <x:c r="A4" s="70" t="str">
        <x:v>Pengisian data baru tidak otomatis mengubah status atau skor sebelum bukti diverifikasi.</x:v>
      </x:c>
      <x:c r="B4" s="70" t="str">
        <x:v>Isi hanya kegiatan utama. Jika belum ada kegiatan, sheet ini boleh dikosongkan. Kolom tanpa tanda * bersifat opsional.</x:v>
      </x:c>
      <x:c r="C4" s="70" t="str">
        <x:v>Isi hanya kegiatan utama. Jika belum ada kegiatan, sheet ini boleh dikosongkan. Kolom tanpa tanda * bersifat opsional.</x:v>
      </x:c>
      <x:c r="D4" s="70" t="str">
        <x:v>Isi hanya kegiatan utama. Jika belum ada kegiatan, sheet ini boleh dikosongkan. Kolom tanpa tanda * bersifat opsional.</x:v>
      </x:c>
      <x:c r="E4" s="70" t="str">
        <x:v>Isi hanya kegiatan utama. Jika belum ada kegiatan, sheet ini boleh dikosongkan. Kolom tanpa tanda * bersifat opsional.</x:v>
      </x:c>
      <x:c r="F4" s="70" t="str">
        <x:v>Isi hanya kegiatan utama. Jika belum ada kegiatan, sheet ini boleh dikosongkan. Kolom tanpa tanda * bersifat opsional.</x:v>
      </x:c>
    </x:row>
    <x:row r="5">
      <x:c r="A5"/>
      <x:c r="B5"/>
      <x:c r="C5"/>
      <x:c r="D5"/>
      <x:c r="E5"/>
      <x:c r="F5"/>
    </x:row>
    <x:row r="6">
      <x:c r="A6" s="49" t="str">
        <x:v>No.</x:v>
      </x:c>
      <x:c r="B6" s="49" t="str">
        <x:v>Kegiatan yang Sudah/Sedang Dilaksanakan*</x:v>
      </x:c>
      <x:c r="C6" s="49" t="str">
        <x:v>Status*</x:v>
      </x:c>
      <x:c r="D6" s="49" t="str">
        <x:v>Hasil/Manfaat Singkat</x:v>
      </x:c>
      <x:c r="E6" s="49" t="str">
        <x:v>Bukti yang Tersedia (opsional: nama file/tautan)</x:v>
      </x:c>
      <x:c r="F6" s="49" t="str">
        <x:v>Kendala/Catatan (jika ada)</x:v>
      </x:c>
    </x:row>
    <x:row r="7">
      <x:c r="A7" s="32"/>
      <x:c r="B7" s="63"/>
      <x:c r="C7" s="63"/>
      <x:c r="D7" s="63"/>
      <x:c r="E7" s="63"/>
      <x:c r="F7" s="63"/>
    </x:row>
    <x:row r="8">
      <x:c r="A8" s="32"/>
      <x:c r="B8" s="63"/>
      <x:c r="C8" s="63"/>
      <x:c r="D8" s="63"/>
      <x:c r="E8" s="63"/>
      <x:c r="F8" s="63"/>
    </x:row>
    <x:row r="9">
      <x:c r="A9" s="32"/>
      <x:c r="B9" s="63"/>
      <x:c r="C9" s="63"/>
      <x:c r="D9" s="63"/>
      <x:c r="E9" s="63"/>
      <x:c r="F9" s="63"/>
    </x:row>
    <x:row r="10">
      <x:c r="A10" s="32"/>
      <x:c r="B10" s="63"/>
      <x:c r="C10" s="63"/>
      <x:c r="D10" s="63"/>
      <x:c r="E10" s="63"/>
      <x:c r="F10" s="63"/>
    </x:row>
    <x:row r="11">
      <x:c r="A11"/>
      <x:c r="B11"/>
      <x:c r="C11"/>
      <x:c r="D11"/>
      <x:c r="E11"/>
      <x:c r="F11"/>
    </x:row>
    <x:row r="12">
      <x:c r="A12"/>
      <x:c r="B12"/>
      <x:c r="C12"/>
      <x:c r="D12"/>
      <x:c r="E12"/>
      <x:c r="F12"/>
    </x:row>
  </x:sheetData>
  <x:mergeCells>
    <x:mergeCell ref="A1:F1"/>
    <x:mergeCell ref="A2:F2"/>
    <x:mergeCell ref="A4:F4"/>
  </x:mergeCells>
  <x:dataValidations count="1">
    <x:dataValidation type="list" sqref="C7:C10">
      <x:formula1>"Sudah Dilaksanakan,Sedang Berjalan,Belum Dilaksanakan"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18" hidden="0" customWidth="1"/>
    <x:col min="4" max="4" width="34" hidden="0" customWidth="1"/>
    <x:col min="5" max="5" width="32" hidden="0" customWidth="1"/>
    <x:col min="6" max="6" width="32" hidden="0" customWidth="1"/>
  </x:cols>
  <x:sheetData>
    <x:row r="1" ht="28" customHeight="1">
      <x:c r="A1" s="5" t="str">
        <x:v>USULAN TINDAK LANJUT — STAI PADUKA ANAMBAS</x:v>
      </x:c>
      <x:c r="B1" s="5" t="str">
        <x:v>USULAN TINDAK LANJUT</x:v>
      </x:c>
      <x:c r="C1" s="5" t="str">
        <x:v>USULAN TINDAK LANJUT</x:v>
      </x:c>
      <x:c r="D1" s="5" t="str">
        <x:v>USULAN TINDAK LANJUT</x:v>
      </x:c>
      <x:c r="E1" s="5" t="str">
        <x:v>USULAN TINDAK LANJUT</x:v>
      </x:c>
      <x:c r="F1" s="5" t="str">
        <x:v>USULAN TINDAK LANJUT</x:v>
      </x:c>
    </x:row>
    <x:row r="2">
      <x:c r="A2" s="58" t="str">
        <x:v>File stakeholder terbaru belum memuat usulan tindak lanjut. Isi usulan prioritas setelah dikonfirmasi oleh PIC/unit/mitra.</x:v>
      </x:c>
      <x:c r="B2" s="58" t="str">
        <x:v>Khusus untuk mencatat rencana ke depan, terpisah dari kegiatan yang sudah/sedang dilaksanakan.</x:v>
      </x:c>
      <x:c r="C2" s="58" t="str">
        <x:v>Khusus untuk mencatat rencana ke depan, terpisah dari kegiatan yang sudah/sedang dilaksanakan.</x:v>
      </x:c>
      <x:c r="D2" s="58" t="str">
        <x:v>Khusus untuk mencatat rencana ke depan, terpisah dari kegiatan yang sudah/sedang dilaksanakan.</x:v>
      </x:c>
      <x:c r="E2" s="58" t="str">
        <x:v>Khusus untuk mencatat rencana ke depan, terpisah dari kegiatan yang sudah/sedang dilaksanakan.</x:v>
      </x:c>
      <x:c r="F2" s="58" t="str">
        <x:v>Khusus untuk mencatat rencana ke depan, terpisah dari kegiatan yang sudah/sedang dilaksanakan.</x:v>
      </x:c>
    </x:row>
    <x:row r="3">
      <x:c r="A3"/>
      <x:c r="B3"/>
      <x:c r="C3"/>
      <x:c r="D3"/>
      <x:c r="E3"/>
      <x:c r="F3"/>
    </x:row>
    <x:row r="4">
      <x:c r="A4" s="70" t="str">
        <x:v>Data baru menjadi referensi otomatis; status Baseline dan skor tetap memerlukan verifikasi.</x:v>
      </x:c>
      <x:c r="B4" s="70" t="str">
        <x:v>Cukup isi usulan prioritas. Kolom E–F opsional: bantuan = data/narasumber/surat/fasilitasi; pihak = unit atau instansi yang perlu diajak berkoordinasi.</x:v>
      </x:c>
      <x:c r="C4" s="70" t="str">
        <x:v>Cukup isi usulan prioritas. Kolom E–F opsional: bantuan = data/narasumber/surat/fasilitasi; pihak = unit atau instansi yang perlu diajak berkoordinasi.</x:v>
      </x:c>
      <x:c r="D4" s="70" t="str">
        <x:v>Cukup isi usulan prioritas. Kolom E–F opsional: bantuan = data/narasumber/surat/fasilitasi; pihak = unit atau instansi yang perlu diajak berkoordinasi.</x:v>
      </x:c>
      <x:c r="E4" s="70" t="str">
        <x:v>Cukup isi usulan prioritas. Kolom E–F opsional: bantuan = data/narasumber/surat/fasilitasi; pihak = unit atau instansi yang perlu diajak berkoordinasi.</x:v>
      </x:c>
      <x:c r="F4" s="70" t="str">
        <x:v>Cukup isi usulan prioritas. Kolom E–F opsional: bantuan = data/narasumber/surat/fasilitasi; pihak = unit atau instansi yang perlu diajak berkoordinasi.</x:v>
      </x:c>
    </x:row>
    <x:row r="5">
      <x:c r="A5"/>
      <x:c r="B5"/>
      <x:c r="C5"/>
      <x:c r="D5"/>
      <x:c r="E5"/>
      <x:c r="F5"/>
    </x:row>
    <x:row r="6">
      <x:c r="A6" s="49" t="str">
        <x:v>No.</x:v>
      </x:c>
      <x:c r="B6" s="49" t="str">
        <x:v>Usulan Kegiatan/Tindak Lanjut*</x:v>
      </x:c>
      <x:c r="C6" s="49" t="str">
        <x:v>Target Waktu*</x:v>
      </x:c>
      <x:c r="D6" s="49" t="str">
        <x:v>Hasil/Manfaat yang Diharapkan</x:v>
      </x:c>
      <x:c r="E6" s="49" t="str">
        <x:v>Bantuan yang Dibutuhkan (jika ada)</x:v>
      </x:c>
      <x:c r="F6" s="49" t="str">
        <x:v>Pihak yang Perlu Dilibatkan (jika ada)</x:v>
      </x:c>
    </x:row>
    <x:row r="7">
      <x:c r="A7" s="32"/>
      <x:c r="B7" s="63"/>
      <x:c r="C7" s="63"/>
      <x:c r="D7" s="63"/>
      <x:c r="E7" s="63"/>
      <x:c r="F7" s="63"/>
    </x:row>
    <x:row r="8">
      <x:c r="A8" s="32"/>
      <x:c r="B8" s="63"/>
      <x:c r="C8" s="63"/>
      <x:c r="D8" s="63"/>
      <x:c r="E8" s="63"/>
      <x:c r="F8" s="63"/>
    </x:row>
    <x:row r="9">
      <x:c r="A9" s="32"/>
      <x:c r="B9" s="63"/>
      <x:c r="C9" s="63"/>
      <x:c r="D9" s="63"/>
      <x:c r="E9" s="63"/>
      <x:c r="F9" s="63"/>
    </x:row>
    <x:row r="10">
      <x:c r="A10" s="32"/>
      <x:c r="B10" s="63"/>
      <x:c r="C10" s="63"/>
      <x:c r="D10" s="63"/>
      <x:c r="E10" s="63"/>
      <x:c r="F10" s="63"/>
    </x:row>
    <x:row r="11">
      <x:c r="A11"/>
      <x:c r="B11"/>
      <x:c r="C11"/>
      <x:c r="D11"/>
      <x:c r="E11"/>
      <x:c r="F11"/>
    </x:row>
    <x:row r="12">
      <x:c r="A12"/>
      <x:c r="B12"/>
      <x:c r="C12"/>
      <x:c r="D12"/>
      <x:c r="E12"/>
      <x:c r="F12"/>
    </x:row>
  </x:sheetData>
  <x:mergeCells>
    <x:mergeCell ref="A1:F1"/>
    <x:mergeCell ref="A2:F2"/>
    <x:mergeCell ref="A4:F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24" hidden="0" customWidth="1"/>
    <x:col min="4" max="4" width="31" hidden="0" customWidth="1"/>
    <x:col min="5" max="5" width="30" hidden="0" customWidth="1"/>
    <x:col min="6" max="6" width="20" hidden="0" customWidth="1"/>
    <x:col min="7" max="7" width="48" hidden="0" customWidth="1"/>
    <x:col min="8" max="8" width="38" hidden="0" customWidth="1"/>
    <x:col min="9" max="9" width="38" hidden="0" customWidth="1"/>
    <x:col min="10" max="10" width="48" hidden="0" customWidth="1"/>
    <x:col min="11" max="11" width="42" hidden="0" customWidth="1"/>
  </x:cols>
  <x:sheetData>
    <x:row r="1" ht="28" customHeight="1">
      <x:c r="A1" s="5" t="str">
        <x:v>FORMULIR BASELINE V.0 — MITRA KINERJA — STAI PADUKA ANAMBAS</x:v>
      </x:c>
      <x:c r="B1" s="5" t="str">
        <x:v>SIMULASI FORMULIR BASELINE V.0 — MITRA KINERJA</x:v>
      </x:c>
      <x:c r="C1" s="5" t="str">
        <x:v>SIMULASI FORMULIR BASELINE V.0 — MITRA KINERJA</x:v>
      </x:c>
      <x:c r="D1" s="5" t="str">
        <x:v>SIMULASI FORMULIR BASELINE V.0 — MITRA KINERJA</x:v>
      </x:c>
      <x:c r="E1" s="5" t="str">
        <x:v>SIMULASI FORMULIR BASELINE V.0 — MITRA KINERJA</x:v>
      </x:c>
      <x:c r="F1" s="5" t="str">
        <x:v>SIMULASI FORMULIR BASELINE V.0 — MITRA KINERJA</x:v>
      </x:c>
      <x:c r="G1" s="5" t="str">
        <x:v>SIMULASI FORMULIR BASELINE V.0 — MITRA KINERJA</x:v>
      </x:c>
      <x:c r="H1" s="5" t="str">
        <x:v>SIMULASI FORMULIR BASELINE V.0 — MITRA KINERJA</x:v>
      </x:c>
      <x:c r="I1" s="5" t="str">
        <x:v>SIMULASI FORMULIR BASELINE V.0 — MITRA KINERJA</x:v>
      </x:c>
      <x:c r="J1" s="5"/>
      <x:c r="K1" s="5"/>
    </x:row>
    <x:row r="2">
      <x:c r="A2" s="58" t="str">
        <x:v>P07 — PILOT UTAMA — Sekolah Tinggi Agama Islam Paduka Anambas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</x:row>
    <x:row r="3">
      <x:c r="A3"/>
      <x:c r="B3"/>
      <x:c r="C3"/>
      <x:c r="D3"/>
      <x:c r="E3"/>
      <x:c r="F3"/>
      <x:c r="G3"/>
      <x:c r="H3"/>
      <x:c r="I3"/>
    </x:row>
    <x:row r="4" ht="22" customHeight="1">
      <x:c r="A4" s="18" t="str">
        <x:v>IDENTITAS NASKAH DAN KONTROL PEMERIKSAAN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</x:row>
    <x:row r="5">
      <x:c r="A5" s="31" t="str">
        <x:v>Kode naskah</x:v>
      </x:c>
      <x:c r="B5" s="32" t="str">
        <x:v>P07</x:v>
      </x:c>
      <x:c r="C5" s="32"/>
      <x:c r="D5" s="31" t="str">
        <x:v>Status portofolio</x:v>
      </x:c>
      <x:c r="E5" s="32" t="str">
        <x:v>Pilot Utama</x:v>
      </x:c>
      <x:c r="F5" s="32"/>
      <x:c r="G5" s="31" t="str">
        <x:v>Nama pemeriksa</x:v>
      </x:c>
      <x:c r="H5" s="32" t="str">
        <x:v>Nadia Putri Boga</x:v>
      </x:c>
      <x:c r="I5" s="32" t="str">
        <x:v>SIMULASI AWAL — belum diverifikasi petugas</x:v>
      </x:c>
      <x:c r="J5" s="32"/>
      <x:c r="K5" s="32"/>
    </x:row>
    <x:row r="6">
      <x:c r="A6" s="31" t="str">
        <x:v>Mitra</x:v>
      </x:c>
      <x:c r="B6" s="32" t="str">
        <x:v>Sekolah Tinggi Agama Islam Paduka Anambas</x:v>
      </x:c>
      <x:c r="C6" s="32"/>
      <x:c r="D6" s="31"/>
      <x:c r="E6" s="32"/>
      <x:c r="F6" s="32"/>
      <x:c r="G6" s="31" t="str">
        <x:v>Unit/Tim pemeriksa</x:v>
      </x:c>
      <x:c r="H6" s="32" t="str">
        <x:v>Pokja Data </x:v>
      </x:c>
      <x:c r="I6" s="32" t="str">
        <x:v>Pokja Data / pemeriksa naskah (simulasi)</x:v>
      </x:c>
      <x:c r="J6" s="32"/>
      <x:c r="K6" s="32"/>
    </x:row>
    <x:row r="7">
      <x:c r="A7" s="31" t="str">
        <x:v>Jenis awal</x:v>
      </x:c>
      <x:c r="B7" s="32" t="str">
        <x:v>MoU</x:v>
      </x:c>
      <x:c r="C7" s="32"/>
      <x:c r="D7" s="31" t="str">
        <x:v>Nomor naskah awal</x:v>
      </x:c>
      <x:c r="E7" s="32" t="str">
        <x:v>BELUM TERVERIFIKASI</x:v>
      </x:c>
      <x:c r="F7" s="32" t="str">
        <x:v>BELUM TERVERIFIKASI</x:v>
      </x:c>
      <x:c r="G7" s="31" t="str">
        <x:v>Tanggal pemeriksaan</x:v>
      </x:c>
      <x:c r="H7" s="75" t="n">
        <x:v>46267</x:v>
      </x:c>
      <x:c r="I7" s="32" t="n">
        <x:v>46262</x:v>
      </x:c>
      <x:c r="J7" s="32"/>
      <x:c r="K7" s="32"/>
    </x:row>
    <x:row r="8">
      <x:c r="A8" s="31" t="str">
        <x:v>Judul awal</x:v>
      </x:c>
      <x:c r="B8" s="32" t="str">
        <x:v>Pelayanan Hukum dan Fasilitasi Tri Dharma Perguruan Tinggi</x:v>
      </x:c>
      <x:c r="C8" s="32"/>
      <x:c r="D8" s="31"/>
      <x:c r="E8" s="32"/>
      <x:c r="F8" s="32"/>
      <x:c r="G8" s="31" t="str">
        <x:v>Cut-off baseline</x:v>
      </x:c>
      <x:c r="H8" s="75" t="n">
        <x:v>46267</x:v>
      </x:c>
      <x:c r="I8" s="32" t="n">
        <x:v>46262</x:v>
      </x:c>
      <x:c r="J8" s="32"/>
      <x:c r="K8" s="32"/>
    </x:row>
    <x:row r="9">
      <x:c r="A9" s="31" t="str">
        <x:v>Tanggal mulai awal</x:v>
      </x:c>
      <x:c r="B9" s="75" t="n">
        <x:v>45979</x:v>
      </x:c>
      <x:c r="C9" s="32"/>
      <x:c r="D9" s="31" t="str">
        <x:v>Tanggal berakhir awal</x:v>
      </x:c>
      <x:c r="E9" s="75" t="n">
        <x:v>47804</x:v>
      </x:c>
      <x:c r="F9" s="32"/>
      <x:c r="G9" s="31" t="str">
        <x:v>Status pengisian</x:v>
      </x:c>
      <x:c r="H9" s="32" t="str">
        <x:v>SELESAI DIISI</x:v>
      </x:c>
      <x:c r="I9" s="32"/>
      <x:c r="J9" s="32"/>
      <x:c r="K9" s="32"/>
    </x:row>
    <x:row r="10">
      <x:c r="A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B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C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D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E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F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G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H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I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</x:row>
    <x:row r="11">
      <x:c r="A11"/>
      <x:c r="B11"/>
      <x:c r="C11"/>
      <x:c r="D11"/>
      <x:c r="E11"/>
      <x:c r="F11"/>
      <x:c r="G11"/>
      <x:c r="H11"/>
      <x:c r="I11"/>
    </x:row>
    <x:row r="12">
      <x:c r="A12" s="49" t="str">
        <x:v>No</x:v>
      </x:c>
      <x:c r="B12" s="49" t="str">
        <x:v>Kelompok</x:v>
      </x:c>
      <x:c r="C12" s="49" t="str">
        <x:v>Elemen baseline</x:v>
      </x:c>
      <x:c r="D12" s="49" t="str">
        <x:v>Yang diperiksa</x:v>
      </x:c>
      <x:c r="E12" s="49" t="str">
        <x:v>Sumber/bukti minimum</x:v>
      </x:c>
      <x:c r="F12" s="49" t="str">
        <x:v>Status</x:v>
      </x:c>
      <x:c r="G12" s="49" t="str">
        <x:v>Fakta/hasil pemeriksaan</x:v>
      </x:c>
      <x:c r="H12" s="49" t="str">
        <x:v>Sumber/link bukti</x:v>
      </x:c>
      <x:c r="I12" s="49" t="str">
        <x:v>Catatan verifikasi</x:v>
      </x:c>
      <x:c r="J12" s="49" t="str">
        <x:v>PEMBARUAN TERINTEGRASI</x:v>
      </x:c>
      <x:c r="K12" s="49" t="str">
        <x:v>CATATAN KENDALI</x:v>
      </x:c>
    </x:row>
    <x:row r="13">
      <x:c r="A13" s="32" t="n">
        <x:v>1</x:v>
      </x:c>
      <x:c r="B13" s="32" t="str">
        <x:v>IDENTITAS</x:v>
      </x:c>
      <x:c r="C13" s="32" t="str">
        <x:v>Identitas naskah</x:v>
      </x:c>
      <x:c r="D13" s="32" t="str">
        <x:v>Jenis, nomor para pihak, judul, dan nama resmi mitra sesuai naskah.</x:v>
      </x:c>
      <x:c r="E13" s="32" t="str">
        <x:v>Naskah bertanda tangan; P2MA sebagai pembanding.</x:v>
      </x:c>
      <x:c r="F13" s="32" t="str">
        <x:v>TERVERIFIKASI</x:v>
      </x:c>
      <x:c r="G13" s="32" t="str">
        <x:v>Jenis, mitra, dan judul dapat dicocokkan dengan hasil pencarian/naskah P2MA. Pencarian ditemukan memakai kata kunci Sekolah Tinggi Agama Islam Terpadu Kepulauan Anambas.Nomor PARA PIHAK sesuai antara di P2MA dengan naskah asli. Terdapat kesalahan dalam penulisan email PIHAK KEDUA</x:v>
      </x:c>
      <x:c r="H13" s="32" t="str">
        <x:v>https://p2ma.kemenkum.go.id/uploads/kerjasama/naskah/1779175642.pdf</x:v>
      </x:c>
      <x:c r="I13" s="32" t="str">
        <x:v>Naskah P2MA dan Naskah Asli sesuai</x:v>
      </x:c>
      <x:c r="J13" s="63" t="str">
        <x:f>'IDENTITAS &amp; PIC'!C5</x:f>
        <x:v>Sekolah Tinggi Agama Islam Paduka Anambas</x:v>
      </x:c>
      <x:c r="K13" s="63" t="str">
        <x:f>IF(OR(LEFT(J13,9)="Belum ada",LEFT(J13,9)="Tidak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14">
      <x:c r="A14" s="32" t="n">
        <x:v>2</x:v>
      </x:c>
      <x:c r="B14" s="32" t="str">
        <x:v>MASA BERLAKU</x:v>
      </x:c>
      <x:c r="C14" s="32" t="str">
        <x:v>Masa berlaku</x:v>
      </x:c>
      <x:c r="D14" s="32" t="str">
        <x:v>Tanggal efektif, durasi, dan tanggal berakhir sesuai klausul naskah.</x:v>
      </x:c>
      <x:c r="E14" s="32" t="str">
        <x:v>Klausul jangka waktu; halaman tanda tangan; P2MA.</x:v>
      </x:c>
      <x:c r="F14" s="32" t="str">
        <x:v>TERVERIFIKASI</x:v>
      </x:c>
      <x:c r="G14" s="32" t="str">
        <x:v>Entri P2MA yang ditemukan melalui kata kunci STAI Paduka menampilkan status Berlangsung, mulai 18 November 2025 dan berakhir 17 November 2030; tanggal sesuai data awal.</x:v>
      </x:c>
      <x:c r="H14" s="32" t="str">
        <x:v>https://p2ma.kemenkum.go.id/kdn/pencarian?tipe=1&amp;keyword=STAI%20Paduka</x:v>
      </x:c>
      <x:c r="I14" s="32" t="str">
        <x:v>Tanggal sesuai antara naskah asli dan P2MA publik. halaman tanda tangan pada naskah asli merupakan tanda tangan basah</x:v>
      </x:c>
      <x:c r="J14" s="96" t="n">
        <x:f>'IDENTITAS &amp; PIC'!C7</x:f>
        <x:v>45979</x:v>
      </x:c>
      <x:c r="K14" s="63" t="str">
        <x:f>IF(OR(LEFT(J14,9)="Belum ada",LEFT(J14,9)="Tidak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15">
      <x:c r="A15" s="32" t="n">
        <x:v>3</x:v>
      </x:c>
      <x:c r="B15" s="32" t="str">
        <x:v>SUBSTANSI</x:v>
      </x:c>
      <x:c r="C15" s="32" t="str">
        <x:v>Ruang lingkup</x:v>
      </x:c>
      <x:c r="D15" s="32" t="str">
        <x:v>Ruang kerja, kewajiban, atau kegiatan utama yang disepakati.</x:v>
      </x:c>
      <x:c r="E15" s="32" t="str">
        <x:v>Pasal ruang lingkup/hak-kewajiban; lampiran.</x:v>
      </x:c>
      <x:c r="F15" s="32" t="str">
        <x:v>TERVERIFIKASI</x:v>
      </x:c>
      <x:c r="G15" s="32" t="str">
        <x:v>Ruang lingkup yang tercatat meliputi pendidikan dan pengajaran; penelitian dan pengembangan hukum; pengabdian kepada masyarakat; MBKB; fasilitasi dan penguatan KI; pengembangan kompetensi SDM; asistensi JDIH; serta kegiatan lain yang disepakati.</x:v>
      </x:c>
      <x:c r="H15" s="32" t="str">
        <x:v>https://p2ma.kemenkum.go.id/uploads/kerjasama/naskah/1779175642.pdf</x:v>
      </x:c>
      <x:c r="I15" s="32" t="str">
        <x:v>Ruang lingkup telah sesuai antara naskah asli dan P2MA publik</x:v>
      </x:c>
      <x:c r="J15" s="63" t="str">
        <x:f>IF('IDENTITAS &amp; PIC'!C8="","Belum ada pembaruan ruang lingkup",'IDENTITAS &amp; PIC'!C8)</x:f>
        <x:v>Ruang lingkup yang tercatat meliputi pendidikan dan pengajaran; penelitian dan pengembangan hukum; pengabdian kepada masyarakat; MBKB; fasilitasi dan penguatan KI; pengembangan kompetensi SDM; asistensi JDIH; serta kegiatan lain yang disepakati.</x:v>
      </x:c>
      <x:c r="K15" s="63" t="str">
        <x:f>IF(OR(LEFT(J15,9)="Belum ada",LEFT(J15,9)="Tidak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16">
      <x:c r="A16" s="32" t="n">
        <x:v>4</x:v>
      </x:c>
      <x:c r="B16" s="32" t="str">
        <x:v>TATA KELOLA</x:v>
      </x:c>
      <x:c r="C16" s="32" t="str">
        <x:v>Status arsip</x:v>
      </x:c>
      <x:c r="D16" s="32" t="str">
        <x:v>Ketersediaan naskah lengkap pada lokasi arsip resmi dan dapat ditemukan kembali.</x:v>
      </x:c>
      <x:c r="E16" s="32" t="str">
        <x:v>Arsip resmi; register; folder organisasi.</x:v>
      </x:c>
      <x:c r="F16" s="32" t="str">
        <x:v>TERVERIFIKASI</x:v>
      </x:c>
      <x:c r="G16" s="32" t="str">
        <x:v>Salinan naskah dapat dibuka melalui P2MA. Lokasi arsip resmi internal dan register tersedia, halaman lengkap, dan hard copy tersedia serta mudah ditemukan.</x:v>
      </x:c>
      <x:c r="H16" s="32" t="str">
        <x:v>Naskah P2MA pada baris 5; arsip internal tersedia.</x:v>
      </x:c>
      <x:c r="I16" s="32" t="str">
        <x:v>Nasakah resmi baik hard copy maupun soft copy tersedia pada Bidang KI </x:v>
      </x:c>
      <x:c r="J16" s="63" t="str">
        <x:v>Belum ada pembaruan arsip dari sheet input</x:v>
      </x:c>
      <x:c r="K16" s="63" t="str">
        <x:f>IF(OR(LEFT(J16,9)="Belum ada",LEFT(J16,9)="Tidak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7">
      <x:c r="A17" s="32" t="n">
        <x:v>5</x:v>
      </x:c>
      <x:c r="B17" s="32" t="str">
        <x:v>TATA KELOLA</x:v>
      </x:c>
      <x:c r="C17" s="32" t="str">
        <x:v>Status P2MA</x:v>
      </x:c>
      <x:c r="D17" s="32" t="str">
        <x:v>Keberadaan entri dan kesesuaian metadata P2MA dengan naskah resmi.</x:v>
      </x:c>
      <x:c r="E17" s="32" t="str">
        <x:v>P2MA dan naskah bertanda tangan.</x:v>
      </x:c>
      <x:c r="F17" s="32" t="str">
        <x:v>TERVERIFIKASI</x:v>
      </x:c>
      <x:c r="G17" s="32" t="str">
        <x:v>Entri publik P2MA ditemukan dengan status Berlangsung dan naskah PDF dapat dibuka. Entri ditemukan dengan kata kunci STAI Paduka maupun nama lengkap pada naskah resmi</x:v>
      </x:c>
      <x:c r="H17" s="32" t="str">
        <x:v>https://p2ma.kemenkum.go.id/kdn/pencarian?tipe=1&amp;keyword=STAI%20Paduka</x:v>
      </x:c>
      <x:c r="I17" s="32" t="str">
        <x:v>Data yang tersedia pada P2MA dan naskah asli sesuai</x:v>
      </x:c>
      <x:c r="J17" s="63" t="str">
        <x:v>Belum ada pembaruan P2MA dari sheet input</x:v>
      </x:c>
      <x:c r="K17" s="63" t="str">
        <x:f>IF(OR(LEFT(J17,9)="Belum ada",LEFT(J17,9)="Tidak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8">
      <x:c r="A18" s="32" t="n">
        <x:v>6</x:v>
      </x:c>
      <x:c r="B18" s="32" t="str">
        <x:v>PENGAMPU</x:v>
      </x:c>
      <x:c r="C18" s="32" t="str">
        <x:v>Unit pengampu</x:v>
      </x:c>
      <x:c r="D18" s="32" t="str">
        <x:v>Unit internal yang bertanggung jawab atas substansi dan implementasi kerja sama.</x:v>
      </x:c>
      <x:c r="E18" s="32" t="str">
        <x:v>ND/SK/pembagian tugas; konfirmasi tertulis unit.</x:v>
      </x:c>
      <x:c r="F18" s="32" t="str">
        <x:v>BELUM TERSEDIA</x:v>
      </x:c>
      <x:c r="G18" s="32" t="str">
        <x:v>Naskah dan P2MA publik belum cukup untuk menetapkan unit internal yang bertanggung jawab atas implementasi kerja sama. Unit pengampu adalah Bidang KI, namun belum tersedia ND/SK/pembagian tugas;konfirmasi tertulis akan hal tersebut</x:v>
      </x:c>
      <x:c r="H18" s="32" t="str">
        <x:v>Naskah/P2MA publik; ND, SK, pembagian tugas belum tersedia.  Konfirmasi lisan dari bidang KI</x:v>
      </x:c>
      <x:c r="I18" s="32" t="str">
        <x:v>Telah dikonfirmasi kepada bidang KI selaku unit yang mengampu substansi kerja sama, namun  data dukung resmi belum tersedia</x:v>
      </x:c>
      <x:c r="J18" s="63" t="str">
        <x:v>Belum ada pembaruan unit pengampu dari sheet input</x:v>
      </x:c>
      <x:c r="K18" s="63" t="str">
        <x:f>IF(OR(LEFT(J18,9)="Belum ada",LEFT(J18,9)="Tidak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9">
      <x:c r="A19" s="32" t="n">
        <x:v>7</x:v>
      </x:c>
      <x:c r="B19" s="32" t="str">
        <x:v>PIC</x:v>
      </x:c>
      <x:c r="C19" s="32" t="str">
        <x:v>PIC internal</x:v>
      </x:c>
      <x:c r="D19" s="32" t="str">
        <x:v>PIC utama dan cadangan yang aktif, lengkap dengan jabatan, kontak, dan dasar penetapan.</x:v>
      </x:c>
      <x:c r="E19" s="32" t="str">
        <x:v>ND/SK/daftar PIC; konfirmasi tertulis unit.</x:v>
      </x:c>
      <x:c r="F19" s="32" t="str">
        <x:v>BELUM TERSEDIA</x:v>
      </x:c>
      <x:c r="G19" s="32" t="str">
        <x:v>PIC internal utama dan cadangan belum tersedia</x:v>
      </x:c>
      <x:c r="H19" s="32" t="str">
        <x:v>Daftar PIC, ND/SK, dan konfirmasi tertulis unit belum tersedia</x:v>
      </x:c>
      <x:c r="I19" s="32" t="str">
        <x:v>Belum tersedia PIC internal di Kanwil</x:v>
      </x:c>
      <x:c r="J19" s="63" t="str">
        <x:v>Belum ada pembaruan PIC internal dari sheet input</x:v>
      </x:c>
      <x:c r="K19" s="63" t="str">
        <x:f>IF(OR(LEFT(J19,9)="Belum ada",LEFT(J19,9)="Tidak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0">
      <x:c r="A20" s="32" t="n">
        <x:v>8</x:v>
      </x:c>
      <x:c r="B20" s="32" t="str">
        <x:v>PIC</x:v>
      </x:c>
      <x:c r="C20" s="32" t="str">
        <x:v>PIC mitra</x:v>
      </x:c>
      <x:c r="D20" s="32" t="str">
        <x:v>Penghubung operasional pihak mitra yang telah dikonfirmasi.</x:v>
      </x:c>
      <x:c r="E20" s="32" t="str">
        <x:v>Surat/email/form konfirmasi resmi dari mitra.</x:v>
      </x:c>
      <x:c r="F20" s="32" t="str">
        <x:v>BELUM TERSEDIA</x:v>
      </x:c>
      <x:c r="G20" s="32" t="str">
        <x:v>PIC operasional pihak mitra belum dikonfirmasi melalui surat, email resmi, atau formulir penunjukan.</x:v>
      </x:c>
      <x:c r="H20" s="32" t="str">
        <x:v>Surat/email/formulir penunjukan PIC mitra belum diperoleh.</x:v>
      </x:c>
      <x:c r="I20" s="32" t="str">
        <x:v> Belum tersedia PIC eksternal</x:v>
      </x:c>
      <x:c r="J20" s="63" t="str">
        <x:f>IF(OR('IDENTITAS &amp; PIC'!C11="",LEFT('IDENTITAS &amp; PIC'!C11,1)="&lt;"),"Belum ada PIC mitra yang diisi","PIC mitra: "&amp;'IDENTITAS &amp; PIC'!C11&amp;" | Jabatan: "&amp;'IDENTITAS &amp; PIC'!G11&amp;" | Email: "&amp;TRIM('IDENTITAS &amp; PIC'!C13)&amp;" | Status: "&amp;'IDENTITAS &amp; PIC'!G13&amp;" | PIC cadangan: "&amp;'IDENTITAS &amp; PIC'!C16)</x:f>
        <x:v>Belum ada PIC mitra yang diisi</x:v>
      </x:c>
      <x:c r="K20" s="63" t="str">
        <x:f>IF(OR(LEFT(J20,9)="Belum ada",LEFT(J20,9)="Tidak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1">
      <x:c r="A21" s="32" t="n">
        <x:v>9</x:v>
      </x:c>
      <x:c r="B21" s="32" t="str">
        <x:v>TINDAK LANJUT</x:v>
      </x:c>
      <x:c r="C21" s="32" t="str">
        <x:v>Rencana tindak lanjut</x:v>
      </x:c>
      <x:c r="D21" s="32" t="str">
        <x:v>Dokumen atau komitmen operasional yang memuat kegiatan, periode, target, dan/atau PIC.</x:v>
      </x:c>
      <x:c r="E21" s="32" t="str">
        <x:v>Rencana aksi; matriks kerja; kalender; notula.</x:v>
      </x:c>
      <x:c r="F21" s="32" t="str">
        <x:v>BELUM TERSEDIA</x:v>
      </x:c>
      <x:c r="G21" s="32" t="str">
        <x:v>Ruang lingkup naskah tersedia, tetapi belum ditemukan rencana aksi atau komitmen operasional yang memuat kegiatan, periode, target, dan PIC.</x:v>
      </x:c>
      <x:c r="H21" s="32" t="str">
        <x:v>Rencana aksi, matriks kerja, kalender, atau notula belum tersedia.</x:v>
      </x:c>
      <x:c r="I21" s="32" t="str">
        <x:v>Belum tersedia dokumen atau komitmen operasional dari kedua pihak</x:v>
      </x:c>
      <x:c r="J21" s="63" t="str">
        <x:f>IF((IF('USULAN TINDAK LANJUT'!B7&lt;&gt;"",1,0)+IF('USULAN TINDAK LANJUT'!B8&lt;&gt;"",1,0)+IF('USULAN TINDAK LANJUT'!B9&lt;&gt;"",1,0)+IF('USULAN TINDAK LANJUT'!B10&lt;&gt;"",1,0)+IF('USULAN TINDAK LANJUT'!B11&lt;&gt;"",1,0)+IF('USULAN TINDAK LANJUT'!B12&lt;&gt;"",1,0))=0,"Belum ada usulan tindak lanjut terisi","Jumlah usulan: "&amp;(IF('USULAN TINDAK LANJUT'!B7&lt;&gt;"",1,0)+IF('USULAN TINDAK LANJUT'!B8&lt;&gt;"",1,0)+IF('USULAN TINDAK LANJUT'!B9&lt;&gt;"",1,0)+IF('USULAN TINDAK LANJUT'!B10&lt;&gt;"",1,0)+IF('USULAN TINDAK LANJUT'!B11&lt;&gt;"",1,0)+IF('USULAN TINDAK LANJUT'!B12&lt;&gt;"",1,0))&amp;" | Prioritas pertama: "&amp;'USULAN TINDAK LANJUT'!B7&amp;" | Target: "&amp;'USULAN TINDAK LANJUT'!C7)</x:f>
        <x:v>Belum ada usulan tindak lanjut terisi</x:v>
      </x:c>
      <x:c r="K21" s="63" t="str">
        <x:f>IF(OR(LEFT(J21,9)="Belum ada",LEFT(J21,9)="Tidak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2">
      <x:c r="A22" s="32" t="n">
        <x:v>10</x:v>
      </x:c>
      <x:c r="B22" s="32" t="str">
        <x:v>PELAKSANAAN</x:v>
      </x:c>
      <x:c r="C22" s="32" t="str">
        <x:v>Pelaksanaan dan hasil</x:v>
      </x:c>
      <x:c r="D22" s="32" t="str">
        <x:v>Kegiatan aktual, realisasi terhadap target jatuh tempo, serta output yang dihasilkan.</x:v>
      </x:c>
      <x:c r="E22" s="32" t="str">
        <x:v>Laporan; undangan; notula; daftar hadir; data hasil.</x:v>
      </x:c>
      <x:c r="F22" s="32" t="str">
        <x:v>BELUM TERSEDIA</x:v>
      </x:c>
      <x:c r="G22" s="32" t="str">
        <x:v>Belum pernah dilakukan kegiatan bersama institusi terkait</x:v>
      </x:c>
      <x:c r="H22" s="32" t="str">
        <x:v>Laporan, undangan, notula, daftar hadir, dan data hasil belum diperoleh.</x:v>
      </x:c>
      <x:c r="I22" s="32" t="str">
        <x:v>berdasarkan konfirmasi dengan masing-masing bidang di Kanwil, belum pernah dilakukan kegiatan bersama institusi dimaksud</x:v>
      </x:c>
      <x:c r="J22" s="63" t="str">
        <x:f>IF((IF('PELAKSANAAN KEGIATAN'!B7&lt;&gt;"",1,0)+IF('PELAKSANAAN KEGIATAN'!B8&lt;&gt;"",1,0)+IF('PELAKSANAAN KEGIATAN'!B9&lt;&gt;"",1,0)+IF('PELAKSANAAN KEGIATAN'!B10&lt;&gt;"",1,0)+IF('PELAKSANAAN KEGIATAN'!B11&lt;&gt;"",1,0)+IF('PELAKSANAAN KEGIATAN'!B12&lt;&gt;"",1,0))=0,"Belum ada kegiatan pada sheet pelaksanaan","Jumlah kegiatan terdata: "&amp;(IF('PELAKSANAAN KEGIATAN'!B7&lt;&gt;"",1,0)+IF('PELAKSANAAN KEGIATAN'!B8&lt;&gt;"",1,0)+IF('PELAKSANAAN KEGIATAN'!B9&lt;&gt;"",1,0)+IF('PELAKSANAAN KEGIATAN'!B10&lt;&gt;"",1,0)+IF('PELAKSANAAN KEGIATAN'!B11&lt;&gt;"",1,0)+IF('PELAKSANAAN KEGIATAN'!B12&lt;&gt;"",1,0))&amp;" | Kegiatan pertama: "&amp;'PELAKSANAAN KEGIATAN'!B7&amp;" | Status: "&amp;'PELAKSANAAN KEGIATAN'!C7)</x:f>
        <x:v>Belum ada kegiatan pada sheet pelaksanaan</x:v>
      </x:c>
      <x:c r="K22" s="63" t="str">
        <x:f>IF(OR(LEFT(J22,9)="Belum ada",LEFT(J22,9)="Tidak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3">
      <x:c r="A23" s="32" t="n">
        <x:v>11</x:v>
      </x:c>
      <x:c r="B23" s="32" t="str">
        <x:v>EVIDEN</x:v>
      </x:c>
      <x:c r="C23" s="32" t="str">
        <x:v>Eviden implementasi</x:v>
      </x:c>
      <x:c r="D23" s="32" t="str">
        <x:v>Bukti pelaksanaan/output, lokasi penyimpanan, dan tingkat keteraturannya.</x:v>
      </x:c>
      <x:c r="E23" s="32" t="str">
        <x:v>Folder resmi; indeks bukti; dokumen/data kegiatan.</x:v>
      </x:c>
      <x:c r="F23" s="32" t="str">
        <x:v>BELUM TERSEDIA</x:v>
      </x:c>
      <x:c r="G23" s="32" t="str">
        <x:v>Belum pernah dilakukan kegiatan bersama institusi terkait</x:v>
      </x:c>
      <x:c r="H23" s="32" t="str">
        <x:v>Folder eviden, indeks bukti, dan dokumen/data kegiatan belum diperoleh.</x:v>
      </x:c>
      <x:c r="I23" s="32" t="str">
        <x:v>berdasarkan konfirmasi dengan masing-masing bidang di Kanwil, belum pernah dilakukan kegiatan bersama institusi dimaksud</x:v>
      </x:c>
      <x:c r="J23" s="63" t="str">
        <x:f>IF((IF('PELAKSANAAN KEGIATAN'!E7&lt;&gt;"",1,0)+IF('PELAKSANAAN KEGIATAN'!E8&lt;&gt;"",1,0)+IF('PELAKSANAAN KEGIATAN'!E9&lt;&gt;"",1,0)+IF('PELAKSANAAN KEGIATAN'!E10&lt;&gt;"",1,0)+IF('PELAKSANAAN KEGIATAN'!E11&lt;&gt;"",1,0)+IF('PELAKSANAAN KEGIATAN'!E12&lt;&gt;"",1,0))=0,"Belum ada keterangan bukti pada sheet pelaksanaan","Jumlah kegiatan dengan keterangan bukti: "&amp;(IF('PELAKSANAAN KEGIATAN'!E7&lt;&gt;"",1,0)+IF('PELAKSANAAN KEGIATAN'!E8&lt;&gt;"",1,0)+IF('PELAKSANAAN KEGIATAN'!E9&lt;&gt;"",1,0)+IF('PELAKSANAAN KEGIATAN'!E10&lt;&gt;"",1,0)+IF('PELAKSANAAN KEGIATAN'!E11&lt;&gt;"",1,0)+IF('PELAKSANAAN KEGIATAN'!E12&lt;&gt;"",1,0))&amp;" | Bukti pertama: "&amp;'PELAKSANAAN KEGIATAN'!E7)</x:f>
        <x:v>Belum ada keterangan bukti pada sheet pelaksanaan</x:v>
      </x:c>
      <x:c r="K23" s="63" t="str">
        <x:f>IF(OR(LEFT(J23,9)="Belum ada",LEFT(J23,9)="Tidak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4">
      <x:c r="A24" s="32" t="n">
        <x:v>12</x:v>
      </x:c>
      <x:c r="B24" s="32" t="str">
        <x:v>HAMBATAN</x:v>
      </x:c>
      <x:c r="C24" s="32" t="str">
        <x:v>Hambatan/gap</x:v>
      </x:c>
      <x:c r="D24" s="32" t="str">
        <x:v>Kendala faktual atau kekosongan data yang memengaruhi implementasi dan sudah dikonfirmasi.</x:v>
      </x:c>
      <x:c r="E24" s="32" t="str">
        <x:v>Konfirmasi unit/PIC/mitra; notula; laporan; bukti keterlambatan.</x:v>
      </x:c>
      <x:c r="F24" s="32" t="str">
        <x:v>BELUM TERSEDIA</x:v>
      </x:c>
      <x:c r="G24" s="32" t="str">
        <x:v>Belum pernah dilakukan kegiatan bersama institusi terkait</x:v>
      </x:c>
      <x:c r="H24" s="32" t="str">
        <x:v>Penelusuran publik P2MA; konfirmasi unit/PIC/mitra belum dilakukan.</x:v>
      </x:c>
      <x:c r="I24" s="32" t="str">
        <x:v>berdasarkan konfirmasi dengan masing-masing bidang di Kanwil, belum pernah dilakukan kegiatan bersama institusi dimaksud</x:v>
      </x:c>
      <x:c r="J24" s="63" t="str">
        <x:f>IF((IF('PELAKSANAAN KEGIATAN'!F7&lt;&gt;"",1,0)+IF('PELAKSANAAN KEGIATAN'!F8&lt;&gt;"",1,0)+IF('PELAKSANAAN KEGIATAN'!F9&lt;&gt;"",1,0)+IF('PELAKSANAAN KEGIATAN'!F10&lt;&gt;"",1,0)+IF('PELAKSANAAN KEGIATAN'!F11&lt;&gt;"",1,0)+IF('PELAKSANAAN KEGIATAN'!F12&lt;&gt;"",1,0))=0,"Belum ada kendala/catatan pada sheet pelaksanaan","Kendala/catatan pertama: "&amp;'PELAKSANAAN KEGIATAN'!F7)</x:f>
        <x:v>Belum ada kendala/catatan pada sheet pelaksanaan</x:v>
      </x:c>
      <x:c r="K24" s="63" t="str">
        <x:f>IF(OR(LEFT(J24,9)="Belum ada",LEFT(J24,9)="Tidak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5">
      <x:c r="A25"/>
      <x:c r="B25"/>
      <x:c r="C25"/>
      <x:c r="D25"/>
      <x:c r="E25"/>
      <x:c r="F25"/>
      <x:c r="G25"/>
      <x:c r="H25"/>
      <x:c r="I25"/>
    </x:row>
    <x:row r="26">
      <x:c r="A26" t="str">
        <x:v>RINGKASAN BASELINE V.0</x:v>
      </x:c>
      <x:c r="B26"/>
      <x:c r="C26"/>
      <x:c r="D26"/>
      <x:c r="E26"/>
      <x:c r="F26"/>
      <x:c r="G26"/>
      <x:c r="H26"/>
      <x:c r="I26"/>
    </x:row>
    <x:row r="27" ht="22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</x:row>
    <x:row r="28">
      <x:c r="A28" t="str">
        <x:v>STATUS ELEMEN</x:v>
      </x:c>
      <x:c r="B28" t="str">
        <x:v>JUMLAH</x:v>
      </x:c>
      <x:c r="C28"/>
      <x:c r="D28" t="str">
        <x:v>INDIKATOR PENGISIAN</x:v>
      </x:c>
      <x:c r="E28" t="str">
        <x:v>HASIL</x:v>
      </x:c>
      <x:c r="F28"/>
      <x:c r="G28" t="str">
        <x:v>RINGKASAN PEMERIKSA</x:v>
      </x:c>
      <x:c r="H28"/>
      <x:c r="I28"/>
    </x:row>
    <x:row r="29">
      <x:c r="A29" s="49" t="str">
        <x:v>Terverifikasi</x:v>
      </x:c>
      <x:c r="B29" s="49" t="n">
        <x:f>IF(F13="TERVERIFIKASI",1,0)+IF(F14="TERVERIFIKASI",1,0)+IF(F15="TERVERIFIKASI",1,0)+IF(F16="TERVERIFIKASI",1,0)+IF(F17="TERVERIFIKASI",1,0)+IF(F18="TERVERIFIKASI",1,0)+IF(F19="TERVERIFIKASI",1,0)+IF(F20="TERVERIFIKASI",1,0)+IF(F21="TERVERIFIKASI",1,0)+IF(F22="TERVERIFIKASI",1,0)+IF(F23="TERVERIFIKASI",1,0)+IF(F24="TERVERIFIKASI",1,0)</x:f>
        <x:v>5</x:v>
      </x:c>
      <x:c r="C29" s="49"/>
      <x:c r="D29" s="49" t="str">
        <x:v>Kelengkapan pemeriksaan</x:v>
      </x:c>
      <x:c r="E29" s="97" t="n">
        <x:f>(IF(AND(F13&lt;&gt;"",G13&lt;&gt;"",H13&lt;&gt;""),1,0)+IF(AND(F14&lt;&gt;"",G14&lt;&gt;"",H14&lt;&gt;""),1,0)+IF(AND(F15&lt;&gt;"",G15&lt;&gt;"",H15&lt;&gt;""),1,0)+IF(AND(F16&lt;&gt;"",G16&lt;&gt;"",H16&lt;&gt;""),1,0)+IF(AND(F17&lt;&gt;"",G17&lt;&gt;"",H17&lt;&gt;""),1,0)+IF(AND(F18&lt;&gt;"",G18&lt;&gt;"",H18&lt;&gt;""),1,0)+IF(AND(F19&lt;&gt;"",G19&lt;&gt;"",H19&lt;&gt;""),1,0)+IF(AND(F20&lt;&gt;"",G20&lt;&gt;"",H20&lt;&gt;""),1,0)+IF(AND(F21&lt;&gt;"",G21&lt;&gt;"",H21&lt;&gt;""),1,0)+IF(AND(F22&lt;&gt;"",G22&lt;&gt;"",H22&lt;&gt;""),1,0)+IF(AND(F23&lt;&gt;"",G23&lt;&gt;"",H23&lt;&gt;""),1,0)+IF(AND(F24&lt;&gt;"",G24&lt;&gt;"",H24&lt;&gt;""),1,0))/12</x:f>
        <x:v>1</x:v>
      </x:c>
      <x:c r="F29"/>
      <x:c r="G29" t="str">
        <x:v>Fakta utama</x:v>
      </x:c>
      <x:c r="H29" t="str">
        <x:v>P2MA publik menunjukkan naskah berstatus Berlangsung. 3 dari 12 elemen telah dapat diverifikasi pada tahap pemeriksaan meja; elemen lain masih memerlukan bukti internal atau konfirmasi.</x:v>
      </x:c>
      <x:c r="I29" t="str">
        <x:v>P2MA publik menunjukkan naskah berstatus Berlangsung. 3 dari 12 elemen telah dapat diverifikasi pada tahap pemeriksaan meja; elemen lain masih memerlukan bukti internal atau konfirmasi.</x:v>
      </x:c>
    </x:row>
    <x:row r="30">
      <x:c r="A30" s="32" t="str">
        <x:v>Belum Terverifikasi</x:v>
      </x:c>
      <x:c r="B30" s="32" t="n">
        <x:f>IF(F13="BELUM TERVERIFIKASI",1,0)+IF(F14="BELUM TERVERIFIKASI",1,0)+IF(F15="BELUM TERVERIFIKASI",1,0)+IF(F16="BELUM TERVERIFIKASI",1,0)+IF(F17="BELUM TERVERIFIKASI",1,0)+IF(F18="BELUM TERVERIFIKASI",1,0)+IF(F19="BELUM TERVERIFIKASI",1,0)+IF(F20="BELUM TERVERIFIKASI",1,0)+IF(F21="BELUM TERVERIFIKASI",1,0)+IF(F22="BELUM TERVERIFIKASI",1,0)+IF(F23="BELUM TERVERIFIKASI",1,0)+IF(F24="BELUM TERVERIFIKASI",1,0)</x:f>
        <x:v>0</x:v>
      </x:c>
      <x:c r="C30" s="32"/>
      <x:c r="D30" s="32" t="str">
        <x:v>Proporsi status terverifikasi</x:v>
      </x:c>
      <x:c r="E30" s="37" t="n">
        <x:f>IF((12-B32)=0,0,B29/(12-B32))</x:f>
        <x:v>0.4166666666666667</x:v>
      </x:c>
      <x:c r="F30"/>
      <x:c r="G30"/>
      <x:c r="H30" t="str">
        <x:v>P2MA publik menunjukkan naskah berstatus Berlangsung. 3 dari 12 elemen telah dapat diverifikasi pada tahap pemeriksaan meja; elemen lain masih memerlukan bukti internal atau konfirmasi.</x:v>
      </x:c>
      <x:c r="I30" t="str">
        <x:v>P2MA publik menunjukkan naskah berstatus Berlangsung. 3 dari 12 elemen telah dapat diverifikasi pada tahap pemeriksaan meja; elemen lain masih memerlukan bukti internal atau konfirmasi.</x:v>
      </x:c>
    </x:row>
    <x:row r="31">
      <x:c r="A31" s="32" t="str">
        <x:v>Belum Tersedia</x:v>
      </x:c>
      <x:c r="B31" s="32" t="n">
        <x:f>IF(F13="BELUM TERSEDIA",1,0)+IF(F14="BELUM TERSEDIA",1,0)+IF(F15="BELUM TERSEDIA",1,0)+IF(F16="BELUM TERSEDIA",1,0)+IF(F17="BELUM TERSEDIA",1,0)+IF(F18="BELUM TERSEDIA",1,0)+IF(F19="BELUM TERSEDIA",1,0)+IF(F20="BELUM TERSEDIA",1,0)+IF(F21="BELUM TERSEDIA",1,0)+IF(F22="BELUM TERSEDIA",1,0)+IF(F23="BELUM TERSEDIA",1,0)+IF(F24="BELUM TERSEDIA",1,0)</x:f>
        <x:v>7</x:v>
      </x:c>
      <x:c r="C31" s="32"/>
      <x:c r="D31" s="32" t="str">
        <x:v>Status pengisian baseline</x:v>
      </x:c>
      <x:c r="E31" s="37" t="str">
        <x:f>IF(E29=0,"BELUM DIMULAI",IF(E29=1,"SELESAI DIISI","DALAM VERIFIKASI"))</x:f>
        <x:v>SELESAI DIISI</x:v>
      </x:c>
      <x:c r="F31"/>
      <x:c r="G31" t="str">
        <x:v>Gap utama</x:v>
      </x:c>
      <x:c r="H31" t="str">
        <x:v>Belum tersedia kepastian mengenai nomor naskah lengkap, arsip resmi internal, unit pengampu, PIC internal/mitra, rencana tindak lanjut, pelaksanaan, eviden, dan hambatan. Ketercarian nama lengkap di P2MA perlu dikonfirmasi, selain nomor para pihak.</x:v>
      </x:c>
      <x:c r="I31" t="str">
        <x:v>Belum tersedia kepastian mengenai nomor naskah lengkap, arsip resmi internal, unit pengampu, PIC internal/mitra, rencana tindak lanjut, pelaksanaan, eviden, dan hambatan. Ketercarian nama lengkap di P2MA perlu dikonfirmasi, selain nomor para pihak.</x:v>
      </x:c>
    </x:row>
    <x:row r="32">
      <x:c r="A32" s="32" t="str">
        <x:v>Tidak Relevan</x:v>
      </x:c>
      <x:c r="B32" s="32" t="n">
        <x:f>IF(F13="TIDAK RELEVAN",1,0)+IF(F14="TIDAK RELEVAN",1,0)+IF(F15="TIDAK RELEVAN",1,0)+IF(F16="TIDAK RELEVAN",1,0)+IF(F17="TIDAK RELEVAN",1,0)+IF(F18="TIDAK RELEVAN",1,0)+IF(F19="TIDAK RELEVAN",1,0)+IF(F20="TIDAK RELEVAN",1,0)+IF(F21="TIDAK RELEVAN",1,0)+IF(F22="TIDAK RELEVAN",1,0)+IF(F23="TIDAK RELEVAN",1,0)+IF(F24="TIDAK RELEVAN",1,0)</x:f>
        <x:v>0</x:v>
      </x:c>
      <x:c r="C32" s="32"/>
      <x:c r="D32" s="32"/>
      <x:c r="E32" s="32"/>
      <x:c r="F32"/>
      <x:c r="G32"/>
      <x:c r="H32" t="str">
        <x:v>Belum tersedia kepastian mengenai nomor naskah lengkap, arsip resmi internal, unit pengampu, PIC internal/mitra, rencana tindak lanjut, pelaksanaan, eviden, dan hambatan. Ketercarian nama lengkap di P2MA perlu dikonfirmasi, selain nomor para pihak.</x:v>
      </x:c>
      <x:c r="I32" t="str">
        <x:v>Belum tersedia kepastian mengenai nomor naskah lengkap, arsip resmi internal, unit pengampu, PIC internal/mitra, rencana tindak lanjut, pelaksanaan, eviden, dan hambatan. Ketercarian nama lengkap di P2MA perlu dikonfirmasi, selain nomor para pihak.</x:v>
      </x:c>
    </x:row>
    <x:row r="33">
      <x:c r="A33" s="32" t="str">
        <x:v>Belum Diisi</x:v>
      </x:c>
      <x:c r="B33" s="32" t="n">
        <x:f>IF(F13="",1,0)+IF(F14="",1,0)+IF(F15="",1,0)+IF(F16="",1,0)+IF(F17="",1,0)+IF(F18="",1,0)+IF(F19="",1,0)+IF(F20="",1,0)+IF(F21="",1,0)+IF(F22="",1,0)+IF(F23="",1,0)+IF(F24="",1,0)</x:f>
        <x:v>0</x:v>
      </x:c>
      <x:c r="C33" s="32"/>
      <x:c r="D33" s="32"/>
      <x:c r="E33" s="32"/>
      <x:c r="F33"/>
      <x:c r="G33" t="str">
        <x:v>Catatan transisi</x:v>
      </x:c>
      <x:c r="H33" t="str">
        <x:v>Gunakan hasil ini sebagai daftar pertanyaan untuk unit pengampu dan forum PIC. Jangan menghitung Scorecard efektivitas sebelum gap prioritas diverifikasi.</x:v>
      </x:c>
      <x:c r="I33" t="str">
        <x:v>Gunakan hasil ini sebagai daftar pertanyaan untuk unit pengampu dan forum PIC. Jangan menghitung Scorecard efektivitas sebelum gap prioritas diverifikasi.</x:v>
      </x:c>
    </x:row>
    <x:row r="34">
      <x:c r="A34" s="32"/>
      <x:c r="B34" s="32"/>
      <x:c r="C34" s="32"/>
      <x:c r="D34" s="32"/>
      <x:c r="E34" s="32"/>
      <x:c r="F34"/>
      <x:c r="G34"/>
      <x:c r="H34" t="str">
        <x:v>Gunakan hasil ini sebagai daftar pertanyaan untuk unit pengampu dan forum PIC. Jangan menghitung Scorecard efektivitas sebelum gap prioritas diverifikasi.</x:v>
      </x:c>
      <x:c r="I34" t="str">
        <x:v>Gunakan hasil ini sebagai daftar pertanyaan untuk unit pengampu dan forum PIC. Jangan menghitung Scorecard efektivitas sebelum gap prioritas diverifikasi.</x:v>
      </x:c>
    </x:row>
    <x:row r="35">
      <x:c r="A35"/>
      <x:c r="B35"/>
      <x:c r="C35"/>
      <x:c r="D35"/>
      <x:c r="E35"/>
      <x:c r="F35"/>
      <x:c r="G35"/>
      <x:c r="H35"/>
      <x:c r="I35"/>
    </x:row>
    <x:row r="36">
      <x:c r="A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B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C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D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E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F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G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H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I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</x:row>
  </x:sheetData>
  <x:mergeCells>
    <x:mergeCell ref="A1:K1"/>
    <x:mergeCell ref="A2:K2"/>
    <x:mergeCell ref="A4:K4"/>
    <x:mergeCell ref="A27:K27"/>
  </x:mergeCells>
  <x:conditionalFormatting sqref="F13:F24">
    <x:cfRule type="expression" dxfId="2" priority="1">
      <x:formula>F13="TERVERIFIKASI"</x:formula>
    </x:cfRule>
    <x:cfRule type="expression" dxfId="3" priority="2">
      <x:formula>F13="BELUM TERSEDIA"</x:formula>
    </x:cfRule>
  </x:conditionalFormatting>
  <x:dataValidations count="1">
    <x:dataValidation type="list" sqref="F13:F24">
      <x:formula1>"TERVERIFIKASI,BELUM TERVERIFIKASI,BELUM TERSEDIA,TIDAK RELEVAN"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10" hidden="0" customWidth="1"/>
    <x:col min="4" max="4" width="48" hidden="0" customWidth="1"/>
    <x:col min="5" max="5" width="22" hidden="0" customWidth="1"/>
    <x:col min="6" max="6" width="48" hidden="0" customWidth="1"/>
    <x:col min="7" max="7" width="11" hidden="0" customWidth="1"/>
    <x:col min="8" max="8" width="45" hidden="0" customWidth="1"/>
    <x:col min="9" max="9" width="12" hidden="0" customWidth="1"/>
    <x:col min="10" max="10" width="18" hidden="0" customWidth="1"/>
  </x:cols>
  <x:sheetData>
    <x:row r="1" ht="28" customHeight="1">
      <x:c r="A1" s="5" t="str">
        <x:v>SCORECARD EFEKTIVITAS MITRA KINERJA V1.1 — STAI PADUKA ANAMBAS</x:v>
      </x:c>
      <x:c r="B1" s="5" t="str">
        <x:v>SCORECARD EFEKTIVITAS MITRA KINERJA V1.1 — P07</x:v>
      </x:c>
      <x:c r="C1" s="5" t="str">
        <x:v>SCORECARD EFEKTIVITAS MITRA KINERJA V1.1 — P07</x:v>
      </x:c>
      <x:c r="D1" s="5" t="str">
        <x:v>SCORECARD EFEKTIVITAS MITRA KINERJA V1.1 — P07</x:v>
      </x:c>
      <x:c r="E1" s="5" t="str">
        <x:v>SCORECARD EFEKTIVITAS MITRA KINERJA V1.1 — P07</x:v>
      </x:c>
      <x:c r="F1" s="5" t="str">
        <x:v>SCORECARD EFEKTIVITAS MITRA KINERJA V1.1 — P07</x:v>
      </x:c>
      <x:c r="G1" s="5" t="str">
        <x:v>SCORECARD EFEKTIVITAS MITRA KINERJA V1.1 — P07</x:v>
      </x:c>
      <x:c r="H1" s="5" t="str">
        <x:v>SCORECARD EFEKTIVITAS MITRA KINERJA V1.1 — P07</x:v>
      </x:c>
      <x:c r="I1" s="5" t="str">
        <x:v>SCORECARD EFEKTIVITAS MITRA KINERJA V1.1 — P07</x:v>
      </x:c>
      <x:c r="J1" s="5" t="str">
        <x:v>SCORECARD EFEKTIVITAS MITRA KINERJA V1.1 — P07</x:v>
      </x:c>
    </x:row>
    <x:row r="2">
      <x:c r="A2" s="58" t="str">
        <x:v>PILOT UTAMA — Sekolah Tinggi Agama Islam Paduka Anambas</x:v>
      </x:c>
      <x:c r="B2" s="58" t="str">
        <x:v>PILOT UTAMA — Sekolah Tinggi Agama Islam Paduka Anambas</x:v>
      </x:c>
      <x:c r="C2" s="58" t="str">
        <x:v>PILOT UTAMA — Sekolah Tinggi Agama Islam Paduka Anambas</x:v>
      </x:c>
      <x:c r="D2" s="58" t="str">
        <x:v>PILOT UTAMA — Sekolah Tinggi Agama Islam Paduka Anambas</x:v>
      </x:c>
      <x:c r="E2" s="58" t="str">
        <x:v>PILOT UTAMA — Sekolah Tinggi Agama Islam Paduka Anambas</x:v>
      </x:c>
      <x:c r="F2" s="58" t="str">
        <x:v>PILOT UTAMA — Sekolah Tinggi Agama Islam Paduka Anambas</x:v>
      </x:c>
      <x:c r="G2" s="58" t="str">
        <x:v>PILOT UTAMA — Sekolah Tinggi Agama Islam Paduka Anambas</x:v>
      </x:c>
      <x:c r="H2" s="58" t="str">
        <x:v>PILOT UTAMA — Sekolah Tinggi Agama Islam Paduka Anambas</x:v>
      </x:c>
      <x:c r="I2" s="58" t="str">
        <x:v>PILOT UTAMA — Sekolah Tinggi Agama Islam Paduka Anambas</x:v>
      </x:c>
      <x:c r="J2" s="58" t="str">
        <x:v>PILOT UTAMA — Sekolah Tinggi Agama Islam Paduka Anambas</x:v>
      </x:c>
    </x:row>
    <x:row r="3">
      <x:c r="A3" t="str">
        <x:v>Isi hanya sel kuning. Nilai berjalan langsung berubah saat skor diisi; kategori dan status final menunggu kelengkapan bukti serta validasi unit.</x:v>
      </x:c>
      <x:c r="B3" t="str">
        <x:v>Isi hanya sel kuning. Nilai berjalan langsung berubah saat skor diisi; kategori dan status final menunggu kelengkapan bukti serta validasi unit.</x:v>
      </x:c>
      <x:c r="C3" t="str">
        <x:v>Isi hanya sel kuning. Nilai berjalan langsung berubah saat skor diisi; kategori dan status final menunggu kelengkapan bukti serta validasi unit.</x:v>
      </x:c>
      <x:c r="D3" t="str">
        <x:v>Isi hanya sel kuning. Nilai berjalan langsung berubah saat skor diisi; kategori dan status final menunggu kelengkapan bukti serta validasi unit.</x:v>
      </x:c>
      <x:c r="E3" t="str">
        <x:v>Isi hanya sel kuning. Nilai berjalan langsung berubah saat skor diisi; kategori dan status final menunggu kelengkapan bukti serta validasi unit.</x:v>
      </x:c>
      <x:c r="F3" t="str">
        <x:v>Isi hanya sel kuning. Nilai berjalan langsung berubah saat skor diisi; kategori dan status final menunggu kelengkapan bukti serta validasi unit.</x:v>
      </x:c>
      <x:c r="G3" t="str">
        <x:v>Isi hanya sel kuning. Nilai berjalan langsung berubah saat skor diisi; kategori dan status final menunggu kelengkapan bukti serta validasi unit.</x:v>
      </x:c>
      <x:c r="H3" t="str">
        <x:v>Isi hanya sel kuning. Nilai berjalan langsung berubah saat skor diisi; kategori dan status final menunggu kelengkapan bukti serta validasi unit.</x:v>
      </x:c>
      <x:c r="I3" t="str">
        <x:v>Isi hanya sel kuning. Nilai berjalan langsung berubah saat skor diisi; kategori dan status final menunggu kelengkapan bukti serta validasi unit.</x:v>
      </x:c>
      <x:c r="J3" t="str">
        <x:v>Isi hanya sel kuning. Nilai berjalan langsung berubah saat skor diisi; kategori dan status final menunggu kelengkapan bukti serta validasi unit.</x:v>
      </x:c>
    </x:row>
    <x:row r="4">
      <x:c r="A4"/>
      <x:c r="B4"/>
      <x:c r="C4"/>
      <x:c r="D4"/>
      <x:c r="E4"/>
      <x:c r="F4"/>
      <x:c r="G4"/>
      <x:c r="H4"/>
      <x:c r="I4"/>
      <x:c r="J4"/>
    </x:row>
    <x:row r="5" ht="22" customHeight="1">
      <x:c r="A5" s="18" t="str">
        <x:v>A. IDENTITAS DAN KONTROL</x:v>
      </x:c>
      <x:c r="B5" s="18" t="str">
        <x:v>A. IDENTITAS DAN KONTROL</x:v>
      </x:c>
      <x:c r="C5" s="18" t="str">
        <x:v>A. IDENTITAS DAN KONTROL</x:v>
      </x:c>
      <x:c r="D5" s="18" t="str">
        <x:v>A. IDENTITAS DAN KONTROL</x:v>
      </x:c>
      <x:c r="E5" s="18" t="str">
        <x:v>A. IDENTITAS DAN KONTROL</x:v>
      </x:c>
      <x:c r="F5" s="18" t="str">
        <x:v>A. IDENTITAS DAN KONTROL</x:v>
      </x:c>
      <x:c r="G5" s="18" t="str">
        <x:v>A. IDENTITAS DAN KONTROL</x:v>
      </x:c>
      <x:c r="H5" s="18" t="str">
        <x:v>A. IDENTITAS DAN KONTROL</x:v>
      </x:c>
      <x:c r="I5" s="18" t="str">
        <x:v>A. IDENTITAS DAN KONTROL</x:v>
      </x:c>
      <x:c r="J5" s="18" t="str">
        <x:v>A. IDENTITAS DAN KONTROL</x:v>
      </x:c>
    </x:row>
    <x:row r="6">
      <x:c r="A6" s="31" t="str">
        <x:v>Kode</x:v>
      </x:c>
      <x:c r="B6" s="32" t="str">
        <x:v>P07</x:v>
      </x:c>
      <x:c r="C6" s="31" t="str">
        <x:v>Portofolio</x:v>
      </x:c>
      <x:c r="D6" s="32" t="str">
        <x:v>Pilot Utama</x:v>
      </x:c>
      <x:c r="E6" s="31" t="str">
        <x:v>Cut-off</x:v>
      </x:c>
      <x:c r="F6" s="75" t="n">
        <x:v>46267</x:v>
      </x:c>
      <x:c r="G6" s="31" t="str">
        <x:v>Pemeriksa</x:v>
      </x:c>
      <x:c r="H6" s="32" t="str">
        <x:v>Nadia Putri Boga — Pokja Data</x:v>
      </x:c>
      <x:c r="I6" s="31"/>
      <x:c r="J6" s="32"/>
    </x:row>
    <x:row r="7">
      <x:c r="A7" s="31" t="str">
        <x:v>Mitra</x:v>
      </x:c>
      <x:c r="B7" s="32" t="str">
        <x:v>Sekolah Tinggi Agama Islam Paduka Anambas</x:v>
      </x:c>
      <x:c r="C7" s="31"/>
      <x:c r="D7" s="32"/>
      <x:c r="E7" s="31"/>
      <x:c r="F7" s="32"/>
      <x:c r="G7" s="31" t="str">
        <x:v>Jenis</x:v>
      </x:c>
      <x:c r="H7" s="32" t="str">
        <x:v>MoU</x:v>
      </x:c>
      <x:c r="I7" s="31" t="str">
        <x:v>Sumber baseline</x:v>
      </x:c>
      <x:c r="J7" s="32" t="str">
        <x:v>BASELINE STAI ANAMBAS (terintegrasi)</x:v>
      </x:c>
    </x:row>
    <x:row r="8">
      <x:c r="A8" s="31" t="str">
        <x:v>Judul</x:v>
      </x:c>
      <x:c r="B8" s="32" t="str">
        <x:v>Pelayanan Hukum dan Fasilitasi Tri Dharma Perguruan Tinggi</x:v>
      </x:c>
      <x:c r="C8" s="31" t="str">
        <x:v>Pelayanan Hukum dan Fasilitasi Tri Dharma Perguruan Tinggi</x:v>
      </x:c>
      <x:c r="D8" s="32" t="str">
        <x:v>Pelayanan Hukum dan Fasilitasi Tri Dharma Perguruan Tinggi</x:v>
      </x:c>
      <x:c r="E8" s="31" t="str">
        <x:v>Pelayanan Hukum dan Fasilitasi Tri Dharma Perguruan Tinggi</x:v>
      </x:c>
      <x:c r="F8" s="32" t="str">
        <x:v>Pelayanan Hukum dan Fasilitasi Tri Dharma Perguruan Tinggi</x:v>
      </x:c>
      <x:c r="G8" s="31" t="str">
        <x:v>Pelayanan Hukum dan Fasilitasi Tri Dharma Perguruan Tinggi</x:v>
      </x:c>
      <x:c r="H8" s="32" t="str">
        <x:v>Pelayanan Hukum dan Fasilitasi Tri Dharma Perguruan Tinggi</x:v>
      </x:c>
      <x:c r="I8" s="31" t="str">
        <x:v>Pelayanan Hukum dan Fasilitasi Tri Dharma Perguruan Tinggi</x:v>
      </x:c>
      <x:c r="J8" s="32" t="str">
        <x:v>Pelayanan Hukum dan Fasilitasi Tri Dharma Perguruan Tinggi</x:v>
      </x:c>
    </x:row>
    <x:row r="9">
      <x:c r="A9" s="31" t="str">
        <x:v>Mulai</x:v>
      </x:c>
      <x:c r="B9" s="75" t="n">
        <x:v>45979</x:v>
      </x:c>
      <x:c r="C9" s="86" t="str">
        <x:v>Berakhir</x:v>
      </x:c>
      <x:c r="D9" s="75" t="n">
        <x:v>47804</x:v>
      </x:c>
      <x:c r="E9" s="31" t="str">
        <x:v>Status tanggal</x:v>
      </x:c>
      <x:c r="F9" s="32" t="str">
        <x:v>TERVERIFIKASI</x:v>
      </x:c>
      <x:c r="G9" s="31" t="str">
        <x:v>Sisa hari</x:v>
      </x:c>
      <x:c r="H9" s="32" t="n">
        <x:f>IF(OR(D9="",F9&lt;&gt;"TERVERIFIKASI"),"",D9-F6)</x:f>
        <x:v>1537</x:v>
      </x:c>
      <x:c r="I9" s="31" t="str">
        <x:v>Tanggal review</x:v>
      </x:c>
      <x:c r="J9" s="75" t="n">
        <x:v>46267</x:v>
      </x:c>
    </x:row>
    <x:row r="10">
      <x:c r="A10"/>
      <x:c r="B10"/>
      <x:c r="C10"/>
      <x:c r="D10"/>
      <x:c r="E10"/>
      <x:c r="F10"/>
      <x:c r="G10"/>
      <x:c r="H10"/>
      <x:c r="I10"/>
      <x:c r="J10"/>
    </x:row>
    <x:row r="11" ht="22" customHeight="1">
      <x:c r="A11" s="18" t="str">
        <x:v>B. PENILAIAN INTI — ENAM INDIKATOR RAP</x:v>
      </x:c>
      <x:c r="B11" s="18" t="str">
        <x:v>B. PENILAIAN INTI — ENAM INDIKATOR RAP</x:v>
      </x:c>
      <x:c r="C11" s="18" t="str">
        <x:v>B. PENILAIAN INTI — ENAM INDIKATOR RAP</x:v>
      </x:c>
      <x:c r="D11" s="18" t="str">
        <x:v>B. PENILAIAN INTI — ENAM INDIKATOR RAP</x:v>
      </x:c>
      <x:c r="E11" s="18" t="str">
        <x:v>B. PENILAIAN INTI — ENAM INDIKATOR RAP</x:v>
      </x:c>
      <x:c r="F11" s="18" t="str">
        <x:v>B. PENILAIAN INTI — ENAM INDIKATOR RAP</x:v>
      </x:c>
      <x:c r="G11" s="18" t="str">
        <x:v>B. PENILAIAN INTI — ENAM INDIKATOR RAP</x:v>
      </x:c>
      <x:c r="H11" s="18" t="str">
        <x:v>B. PENILAIAN INTI — ENAM INDIKATOR RAP</x:v>
      </x:c>
      <x:c r="I11" s="18" t="str">
        <x:v>B. PENILAIAN INTI — ENAM INDIKATOR RAP</x:v>
      </x:c>
      <x:c r="J11" s="18" t="str">
        <x:v>B. PENILAIAN INTI — ENAM INDIKATOR RAP</x:v>
      </x:c>
    </x:row>
    <x:row r="12">
      <x:c r="A12" s="49" t="str">
        <x:v>Kode</x:v>
      </x:c>
      <x:c r="B12" s="49" t="str">
        <x:v>Indikator dan cara memeriksa</x:v>
      </x:c>
      <x:c r="C12" s="49" t="str">
        <x:v>Bobot</x:v>
      </x:c>
      <x:c r="D12" s="49" t="str">
        <x:v>Referensi baseline awal</x:v>
      </x:c>
      <x:c r="E12" s="49" t="str">
        <x:v>Status kecukupan bukti</x:v>
      </x:c>
      <x:c r="F12" s="49" t="str">
        <x:v>Temuan dan lokasi bukti</x:v>
      </x:c>
      <x:c r="G12" s="49" t="str">
        <x:v>Skor 0–4</x:v>
      </x:c>
      <x:c r="H12" s="49" t="str">
        <x:v>Alasan skor</x:v>
      </x:c>
      <x:c r="I12" s="49" t="str">
        <x:v>Nilai</x:v>
      </x:c>
      <x:c r="J12" s="49" t="str">
        <x:v>Cek</x:v>
      </x:c>
    </x:row>
    <x:row r="13">
      <x:c r="A13" s="32" t="str">
        <x:v>I1</x:v>
      </x:c>
      <x:c r="B13" s="32" t="str">
        <x:v>Kelengkapan tata kelola dasar
Cara periksa: Periksa naskah final, nomor/judul/para pihak, status P2MA, arsip resmi, serta PIC internal dan PIC mitra yang tertulis dan masih aktif.</x:v>
      </x:c>
      <x:c r="C13" s="32" t="n">
        <x:v>15</x:v>
      </x:c>
      <x:c r="D13" s="32" t="str">
        <x:f>"Identitas "&amp;'BASELINE STAI ANAMBAS'!F13&amp;"; arsip "&amp;'BASELINE STAI ANAMBAS'!F16&amp;"; P2MA "&amp;'BASELINE STAI ANAMBAS'!F17&amp;"; PIC internal "&amp;'BASELINE STAI ANAMBAS'!F19&amp;"; PIC mitra "&amp;'BASELINE STAI ANAMBAS'!F20&amp;". Update terintegrasi: "&amp;'BASELINE STAI ANAMBAS'!J20</x:f>
        <x:v>Identitas TERVERIFIKASI; arsip TERVERIFIKASI; P2MA TERVERIFIKASI; PIC internal BELUM TERSEDIA; PIC mitra BELUM TERSEDIA. Update terintegrasi: Belum ada PIC mitra yang diisi</x:v>
      </x:c>
      <x:c r="E13" s="63" t="str">
        <x:v>BUKTI MEMADAI</x:v>
      </x:c>
      <x:c r="F13" s="63" t="str">
        <x:v>Baseline baris 13–20: naskah/P2MA tersedia. Identitas terverifikasi; arsip terverifikasi; PIC internal terverifikasi; PIC mitra terverifikasi. Data PIC operasional dua pihak belum lengkap.</x:v>
      </x:c>
      <x:c r="G13" s="63" t="n">
        <x:v>1</x:v>
      </x:c>
      <x:c r="H13" s="63" t="str">
        <x:v>Sesuai skor 1: naskah tersedia, tetapi tata kelola operasional masih sangat terbatas karena PIC dua pihak belum tersedia atau belum terverifikasi.</x:v>
      </x:c>
      <x:c r="I13" s="32" t="n">
        <x:f>IF(AND(E13="BUKTI MEMADAI",COUNT(G13)&gt;0),G13/4*C13,"")</x:f>
        <x:v>3.75</x:v>
      </x:c>
      <x:c r="J13" s="32" t="str">
        <x:f>IF(E13="BELUM DITELAAH","PERIKSA BUKTI",IF(E13="BUKTI MEMADAI",IF(COUNT(G13)=0,"ISI SKOR",IF(F13="","TULIS TEMUAN/BUKTI",IF(H13="","TULIS ALASAN","OK"))),IF(OR(E13="BUKTI BELUM MEMADAI",E13="BELUM DAPAT DINILAI"),IF(COUNT(G13)&gt;0,"HAPUS SKOR","BELUM DIISI"),"PERIKSA STATUS")))</x:f>
        <x:v>OK</x:v>
      </x:c>
    </x:row>
    <x:row r="14">
      <x:c r="A14" s="32" t="str">
        <x:v>I2</x:v>
      </x:c>
      <x:c r="B14" s="32" t="str">
        <x:v>Kejelasan tindak lanjut
Cara periksa: Cari rencana aksi/PKS turunan/matriks kegiatan. Pastikan memuat kegiatan, target atau output, waktu, PIC, dan tenggat serta disepakati para pihak.</x:v>
      </x:c>
      <x:c r="C14" s="32" t="n">
        <x:v>20</x:v>
      </x:c>
      <x:c r="D14" s="32" t="str">
        <x:f>"Rencana tindak lanjut "&amp;'BASELINE STAI ANAMBAS'!F21&amp;". "&amp;'BASELINE STAI ANAMBAS'!J21</x:f>
        <x:v>Rencana tindak lanjut BELUM TERSEDIA. Belum ada usulan tindak lanjut terisi</x:v>
      </x:c>
      <x:c r="E14" s="63" t="str">
        <x:v>BUKTI MEMADAI</x:v>
      </x:c>
      <x:c r="F14" s="63" t="str">
        <x:v>Baseline baris 21 — Rencana tindak lanjut: TERVERIFIKASI. Ruang lingkup naskah tersedia, tetapi belum ditemukan rencana aksi atau komitmen operasional yang memuat kegiatan, periode, target, dan PIC.</x:v>
      </x:c>
      <x:c r="G14" s="63" t="n">
        <x:v>0</x:v>
      </x:c>
      <x:c r="H14" s="63" t="str">
        <x:v>Sesuai skor 0: konfirmasi pada baseline membuktikan belum ada rencana tindak lanjut atau komitmen operasional kedua pihak.</x:v>
      </x:c>
      <x:c r="I14" s="32" t="n">
        <x:f>IF(AND(E14="BUKTI MEMADAI",COUNT(G14)&gt;0),G14/4*C14,"")</x:f>
        <x:v>0</x:v>
      </x:c>
      <x:c r="J14" s="32" t="str">
        <x:f>IF(E14="BELUM DITELAAH","PERIKSA BUKTI",IF(E14="BUKTI MEMADAI",IF(COUNT(G14)=0,"ISI SKOR",IF(F14="","TULIS TEMUAN/BUKTI",IF(H14="","TULIS ALASAN","OK"))),IF(OR(E14="BUKTI BELUM MEMADAI",E14="BELUM DAPAT DINILAI"),IF(COUNT(G14)&gt;0,"HAPUS SKOR","BELUM DIISI"),"PERIKSA STATUS")))</x:f>
        <x:v>OK</x:v>
      </x:c>
    </x:row>
    <x:row r="15">
      <x:c r="A15" s="32" t="str">
        <x:v>I3</x:v>
      </x:c>
      <x:c r="B15" s="32" t="str">
        <x:v>Realisasi kegiatan terhadap rencana
Cara periksa: Tentukan target yang sudah jatuh tempo. Cocokkan satu per satu dengan bukti realisasi. Target masa depan tidak boleh dianggap tidak tercapai.</x:v>
      </x:c>
      <x:c r="C15" s="32" t="n">
        <x:v>20</x:v>
      </x:c>
      <x:c r="D15" s="32" t="str">
        <x:f>"Pelaksanaan/hasil "&amp;'BASELINE STAI ANAMBAS'!F22&amp;". "&amp;'BASELINE STAI ANAMBAS'!J22</x:f>
        <x:v>Pelaksanaan/hasil BELUM TERSEDIA. Belum ada kegiatan pada sheet pelaksanaan</x:v>
      </x:c>
      <x:c r="E15" s="63" t="str">
        <x:v>BUKTI MEMADAI</x:v>
      </x:c>
      <x:c r="F15" s="63" t="str">
        <x:v>Baseline baris 22 — Pelaksanaan dan hasil: TERVERIFIKASI. Belum pernah dilakukan kegiatan bersama institusi terkait</x:v>
      </x:c>
      <x:c r="G15" s="63" t="n">
        <x:v>0</x:v>
      </x:c>
      <x:c r="H15" s="63" t="str">
        <x:v>Sesuai skor 0: konfirmasi pada baseline membuktikan belum pernah ada kegiatan bersama yang dapat dinilai.</x:v>
      </x:c>
      <x:c r="I15" s="32" t="n">
        <x:f>IF(AND(E15="BUKTI MEMADAI",COUNT(G15)&gt;0),G15/4*C15,"")</x:f>
        <x:v>0</x:v>
      </x:c>
      <x:c r="J15" s="32" t="str">
        <x:f>IF(E15="BELUM DITELAAH","PERIKSA BUKTI",IF(E15="BUKTI MEMADAI",IF(COUNT(G15)=0,"ISI SKOR",IF(F15="","TULIS TEMUAN/BUKTI",IF(H15="","TULIS ALASAN","OK"))),IF(OR(E15="BUKTI BELUM MEMADAI",E15="BELUM DAPAT DINILAI"),IF(COUNT(G15)&gt;0,"HAPUS SKOR","BELUM DIISI"),"PERIKSA STATUS")))</x:f>
        <x:v>OK</x:v>
      </x:c>
    </x:row>
    <x:row r="16">
      <x:c r="A16" s="32" t="str">
        <x:v>I4</x:v>
      </x:c>
      <x:c r="B16" s="32" t="str">
        <x:v>Kelengkapan dan konsolidasi eviden
Cara periksa: Buka bukti satu per satu. Periksa tanggal, konteks, kaitannya dengan naskah, lokasi penyimpanan resmi, indeks, dan keterlacakan.</x:v>
      </x:c>
      <x:c r="C16" s="32" t="n">
        <x:v>15</x:v>
      </x:c>
      <x:c r="D16" s="32" t="str">
        <x:f>"Eviden implementasi "&amp;'BASELINE STAI ANAMBAS'!F23&amp;". "&amp;'BASELINE STAI ANAMBAS'!J23</x:f>
        <x:v>Eviden implementasi BELUM TERSEDIA. Belum ada keterangan bukti pada sheet pelaksanaan</x:v>
      </x:c>
      <x:c r="E16" s="63" t="str">
        <x:v>BUKTI MEMADAI</x:v>
      </x:c>
      <x:c r="F16" s="63" t="str">
        <x:v>Baseline baris 23 — Eviden implementasi: TERVERIFIKASI. Belum pernah dilakukan kegiatan bersama institusi terkait</x:v>
      </x:c>
      <x:c r="G16" s="63" t="n">
        <x:v>0</x:v>
      </x:c>
      <x:c r="H16" s="63" t="str">
        <x:v>Sesuai skor 0: konfirmasi pada baseline membuktikan belum ada kegiatan dan belum ada eviden implementasi.</x:v>
      </x:c>
      <x:c r="I16" s="32" t="n">
        <x:f>IF(AND(E16="BUKTI MEMADAI",COUNT(G16)&gt;0),G16/4*C16,"")</x:f>
        <x:v>0</x:v>
      </x:c>
      <x:c r="J16" s="32" t="str">
        <x:f>IF(E16="BELUM DITELAAH","PERIKSA BUKTI",IF(E16="BUKTI MEMADAI",IF(COUNT(G16)=0,"ISI SKOR",IF(F16="","TULIS TEMUAN/BUKTI",IF(H16="","TULIS ALASAN","OK"))),IF(OR(E16="BUKTI BELUM MEMADAI",E16="BELUM DAPAT DINILAI"),IF(COUNT(G16)&gt;0,"HAPUS SKOR","BELUM DIISI"),"PERIKSA STATUS")))</x:f>
        <x:v>OK</x:v>
      </x:c>
    </x:row>
    <x:row r="17">
      <x:c r="A17" s="32" t="str">
        <x:v>I5</x:v>
      </x:c>
      <x:c r="B17" s="32" t="str">
        <x:v>Kontribusi terhadap kebutuhan kinerja organisasi
Cara periksa: Minta unit menetapkan target/kebutuhan. Cocokkan keluaran dan hasil dengan target serta data manfaat; jangan menyamakan kegiatan dengan hasil.</x:v>
      </x:c>
      <x:c r="C17" s="32" t="n">
        <x:v>20</x:v>
      </x:c>
      <x:c r="D17" s="32" t="str">
        <x:f>"Pelaksanaan/hasil "&amp;'BASELINE STAI ANAMBAS'!F22&amp;". "&amp;'BASELINE STAI ANAMBAS'!J22</x:f>
        <x:v>Pelaksanaan/hasil BELUM TERSEDIA. Belum ada kegiatan pada sheet pelaksanaan</x:v>
      </x:c>
      <x:c r="E17" s="63" t="str">
        <x:v>BUKTI MEMADAI</x:v>
      </x:c>
      <x:c r="F17" s="63" t="str">
        <x:v>Baseline baris 22 — Pelaksanaan dan hasil: TERVERIFIKASI. Belum pernah dilakukan kegiatan bersama institusi terkait Target, output, dan manfaat terukur belum tersedia.</x:v>
      </x:c>
      <x:c r="G17" s="63" t="n">
        <x:v>0</x:v>
      </x:c>
      <x:c r="H17" s="63" t="str">
        <x:v>Sesuai skor 0: konfirmasi pada baseline membuktikan belum ada kegiatan maupun hasil yang dapat dibuktikan.</x:v>
      </x:c>
      <x:c r="I17" s="32" t="n">
        <x:f>IF(AND(E17="BUKTI MEMADAI",COUNT(G17)&gt;0),G17/4*C17,"")</x:f>
        <x:v>0</x:v>
      </x:c>
      <x:c r="J17" s="32" t="str">
        <x:f>IF(E17="BELUM DITELAAH","PERIKSA BUKTI",IF(E17="BUKTI MEMADAI",IF(COUNT(G17)=0,"ISI SKOR",IF(F17="","TULIS TEMUAN/BUKTI",IF(H17="","TULIS ALASAN","OK"))),IF(OR(E17="BUKTI BELUM MEMADAI",E17="BELUM DAPAT DINILAI"),IF(COUNT(G17)&gt;0,"HAPUS SKOR","BELUM DIISI"),"PERIKSA STATUS")))</x:f>
        <x:v>OK</x:v>
      </x:c>
    </x:row>
    <x:row r="18">
      <x:c r="A18" s="32" t="str">
        <x:v>I6</x:v>
      </x:c>
      <x:c r="B18" s="32" t="str">
        <x:v>Keberlanjutan dan risiko
Cara periksa: Periksa masa berlaku, aktivitas terakhir, risiko, dampak, PIC, mitigasi, pemantauan, dan kejelasan keputusan lanjut/perpanjang/evaluasi/akhiri.</x:v>
      </x:c>
      <x:c r="C18" s="32" t="n">
        <x:v>10</x:v>
      </x:c>
      <x:c r="D18" s="32" t="str">
        <x:f>"Masa berlaku "&amp;'BASELINE STAI ANAMBAS'!F14&amp;"; PIC internal "&amp;'BASELINE STAI ANAMBAS'!F19&amp;"; PIC mitra "&amp;'BASELINE STAI ANAMBAS'!F20&amp;"; hambatan/gap "&amp;'BASELINE STAI ANAMBAS'!F24&amp;". "&amp;'BASELINE STAI ANAMBAS'!J24</x:f>
        <x:v>Masa berlaku TERVERIFIKASI; PIC internal BELUM TERSEDIA; PIC mitra BELUM TERSEDIA; hambatan/gap BELUM TERSEDIA. Belum ada kendala/catatan pada sheet pelaksanaan</x:v>
      </x:c>
      <x:c r="E18" s="63" t="str">
        <x:v>BUKTI MEMADAI</x:v>
      </x:c>
      <x:c r="F18" s="63" t="str">
        <x:v>Masa berlaku TERVERIFIKASI; PIC internal TERVERIFIKASI; PIC mitra TERVERIFIKASI; rencana tindak lanjut TERVERIFIKASI; hambatan/gap TERVERIFIKASI.</x:v>
      </x:c>
      <x:c r="G18" s="63" t="n">
        <x:v>1</x:v>
      </x:c>
      <x:c r="H18" s="63" t="str">
        <x:v>Sesuai skor 1: ketiadaan PIC, rencana tindak lanjut, kegiatan, dan respons penanganan yang telah dikonfirmasi menunjukkan risiko keberlanjutan tinggi dengan respons yang belum jelas.</x:v>
      </x:c>
      <x:c r="I18" s="32" t="n">
        <x:f>IF(AND(E18="BUKTI MEMADAI",COUNT(G18)&gt;0),G18/4*C18,"")</x:f>
        <x:v>2.5</x:v>
      </x:c>
      <x:c r="J18" s="32" t="str">
        <x:f>IF(E18="BELUM DITELAAH","PERIKSA BUKTI",IF(E18="BUKTI MEMADAI",IF(COUNT(G18)=0,"ISI SKOR",IF(F18="","TULIS TEMUAN/BUKTI",IF(H18="","TULIS ALASAN","OK"))),IF(OR(E18="BUKTI BELUM MEMADAI",E18="BELUM DAPAT DINILAI"),IF(COUNT(G18)&gt;0,"HAPUS SKOR","BELUM DIISI"),"PERIKSA STATUS")))</x:f>
        <x:v>OK</x:v>
      </x:c>
    </x:row>
    <x:row r="19">
      <x:c r="A19"/>
      <x:c r="B19"/>
      <x:c r="C19"/>
      <x:c r="D19"/>
      <x:c r="E19"/>
      <x:c r="F19"/>
      <x:c r="G19"/>
      <x:c r="H19"/>
      <x:c r="I19"/>
      <x:c r="J19"/>
    </x:row>
    <x:row r="20" ht="22" customHeight="1">
      <x:c r="A20" s="18" t="str">
        <x:v>C. RINGKASAN NILAI DAN VALIDASI</x:v>
      </x:c>
      <x:c r="B20" s="18" t="str">
        <x:v>C. RINGKASAN NILAI DAN VALIDASI</x:v>
      </x:c>
      <x:c r="C20" s="18" t="str">
        <x:v>C. RINGKASAN NILAI DAN VALIDASI</x:v>
      </x:c>
      <x:c r="D20" s="18" t="str">
        <x:v>C. RINGKASAN NILAI DAN VALIDASI</x:v>
      </x:c>
      <x:c r="E20" s="18" t="str">
        <x:v>C. RINGKASAN NILAI DAN VALIDASI</x:v>
      </x:c>
      <x:c r="F20" s="18" t="str">
        <x:v>C. RINGKASAN NILAI DAN VALIDASI</x:v>
      </x:c>
      <x:c r="G20" s="18" t="str">
        <x:v>C. RINGKASAN NILAI DAN VALIDASI</x:v>
      </x:c>
      <x:c r="H20" s="18" t="str">
        <x:v>C. RINGKASAN NILAI DAN VALIDASI</x:v>
      </x:c>
      <x:c r="I20" s="18" t="str">
        <x:v>C. RINGKASAN NILAI DAN VALIDASI</x:v>
      </x:c>
      <x:c r="J20" s="18" t="str">
        <x:v>C. RINGKASAN NILAI DAN VALIDASI</x:v>
      </x:c>
    </x:row>
    <x:row r="21">
      <x:c r="A21" s="32" t="str">
        <x:v>Nilai berjalan</x:v>
      </x:c>
      <x:c r="B21" s="35" t="n">
        <x:f>SUM(I13:I18)</x:f>
        <x:v>6.25</x:v>
      </x:c>
      <x:c r="C21" s="32" t="str">
        <x:v>Kelengkapan</x:v>
      </x:c>
      <x:c r="D21" s="37" t="n">
        <x:f>COUNT(G13:G18)/6</x:f>
        <x:v>1</x:v>
      </x:c>
      <x:c r="E21" s="32" t="str">
        <x:v>Kategori</x:v>
      </x:c>
      <x:c r="F21" s="32" t="str">
        <x:f>IF(D21&lt;1,"BELUM LENGKAP",IF(B21&gt;=75,"PRODUKTIF",IF(B21&gt;=50,"BERJALAN",IF(B21&gt;=25,"PERLU AKTIVASI","KRITIS"))))</x:f>
        <x:v>KRITIS</x:v>
      </x:c>
      <x:c r="G21" s="32" t="str">
        <x:v>Status Scorecard</x:v>
      </x:c>
      <x:c r="H21" s="32" t="str">
        <x:f>IF(D21&lt;1,"BELUM LENGKAP",IF(B22="DISETUJUI","FINAL/TERVALIDASI","SIAP DIVALIDASI"))</x:f>
        <x:v>SIAP DIVALIDASI</x:v>
      </x:c>
      <x:c r="I21" s="32"/>
      <x:c r="J21" s="32"/>
    </x:row>
    <x:row r="22">
      <x:c r="A22" s="32" t="str">
        <x:v>Validasi unit</x:v>
      </x:c>
      <x:c r="B22" s="63" t="str">
        <x:v>BELUM</x:v>
      </x:c>
      <x:c r="C22" s="63" t="str">
        <x:v>Validator</x:v>
      </x:c>
      <x:c r="D22" s="63"/>
      <x:c r="E22" s="32"/>
      <x:c r="F22" s="32" t="str">
        <x:v>Tanggal validasi</x:v>
      </x:c>
      <x:c r="G22" s="63"/>
      <x:c r="H22" s="63" t="str">
        <x:v>Catatan validator</x:v>
      </x:c>
      <x:c r="I22" s="63"/>
      <x:c r="J22" s="63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 t="str">
        <x:v>D. EARLY WARNING — TIDAK DITENTUKAN OLEH NILAI SCORECARD</x:v>
      </x:c>
      <x:c r="B24" t="str">
        <x:v>D. EARLY WARNING — TIDAK DITENTUKAN OLEH NILAI SCORECARD</x:v>
      </x:c>
      <x:c r="C24" t="str">
        <x:v>D. EARLY WARNING — TIDAK DITENTUKAN OLEH NILAI SCORECARD</x:v>
      </x:c>
      <x:c r="D24" t="str">
        <x:v>D. EARLY WARNING — TIDAK DITENTUKAN OLEH NILAI SCORECARD</x:v>
      </x:c>
      <x:c r="E24" t="str">
        <x:v>D. EARLY WARNING — TIDAK DITENTUKAN OLEH NILAI SCORECARD</x:v>
      </x:c>
      <x:c r="F24" t="str">
        <x:v>D. EARLY WARNING — TIDAK DITENTUKAN OLEH NILAI SCORECARD</x:v>
      </x:c>
      <x:c r="G24" t="str">
        <x:v>D. EARLY WARNING — TIDAK DITENTUKAN OLEH NILAI SCORECARD</x:v>
      </x:c>
      <x:c r="H24" t="str">
        <x:v>D. EARLY WARNING — TIDAK DITENTUKAN OLEH NILAI SCORECARD</x:v>
      </x:c>
      <x:c r="I24" t="str">
        <x:v>D. EARLY WARNING — TIDAK DITENTUKAN OLEH NILAI SCORECARD</x:v>
      </x:c>
      <x:c r="J24" t="str">
        <x:v>D. EARLY WARNING — TIDAK DITENTUKAN OLEH NILAI SCORECARD</x:v>
      </x:c>
    </x:row>
    <x:row r="25" ht="22" customHeight="1">
      <x:c r="A25" s="18" t="str">
        <x:v>Isi kondisi, fakta, tindakan, PIC, dan tenggat. Masa berlaku dihitung otomati...</x:v>
      </x:c>
      <x:c r="B25" s="18" t="str">
        <x:v>Isi kondisi, fakta, tindakan, PIC, dan tenggat. Masa berlaku dihitung otomati...</x:v>
      </x:c>
      <x:c r="C25" s="18" t="str">
        <x:v>Isi kondisi, fakta, tindakan, PIC, dan tenggat. Masa berlaku dihitung otomati...</x:v>
      </x:c>
      <x:c r="D25" s="18" t="str">
        <x:v>Isi kondisi, fakta, tindakan, PIC, dan tenggat. Masa berlaku dihitung otomati...</x:v>
      </x:c>
      <x:c r="E25" s="18" t="str">
        <x:v>Isi kondisi, fakta, tindakan, PIC, dan tenggat. Masa berlaku dihitung otomati...</x:v>
      </x:c>
      <x:c r="F25" s="18" t="str">
        <x:v>Isi kondisi, fakta, tindakan, PIC, dan tenggat. Masa berlaku dihitung otomati...</x:v>
      </x:c>
      <x:c r="G25" s="18" t="str">
        <x:v>Isi kondisi, fakta, tindakan, PIC, dan tenggat. Masa berlaku dihitung otomati...</x:v>
      </x:c>
      <x:c r="H25" s="18" t="str">
        <x:v>Isi kondisi, fakta, tindakan, PIC, dan tenggat. Masa berlaku dihitung otomati...</x:v>
      </x:c>
      <x:c r="I25" s="18" t="str">
        <x:v>Isi kondisi, fakta, tindakan, PIC, dan tenggat. Masa berlaku dihitung otomati...</x:v>
      </x:c>
      <x:c r="J25" s="18" t="str">
        <x:v>Isi kondisi, fakta, tindakan, PIC, dan tenggat. Masa berlaku dihitung otomati...</x:v>
      </x:c>
    </x:row>
    <x:row r="26">
      <x:c r="A26" s="49" t="str">
        <x:v>No</x:v>
      </x:c>
      <x:c r="B26" s="49" t="str">
        <x:v>Dimensi</x:v>
      </x:c>
      <x:c r="C26" s="49" t="str">
        <x:v>Kondisi</x:v>
      </x:c>
      <x:c r="D26" s="49" t="str">
        <x:v>Status</x:v>
      </x:c>
      <x:c r="E26" s="49" t="str">
        <x:v>Fakta/bukti</x:v>
      </x:c>
      <x:c r="F26" s="49" t="str">
        <x:v>Tindakan</x:v>
      </x:c>
      <x:c r="G26" s="49" t="str">
        <x:v>PIC</x:v>
      </x:c>
      <x:c r="H26" s="49" t="str">
        <x:v>Tenggat</x:v>
      </x:c>
      <x:c r="I26" s="49" t="str">
        <x:v>Progres</x:v>
      </x:c>
      <x:c r="J26" s="49" t="str">
        <x:v>Cek</x:v>
      </x:c>
    </x:row>
    <x:row r="27">
      <x:c r="A27" s="32" t="n">
        <x:v>1</x:v>
      </x:c>
      <x:c r="B27" s="32" t="str">
        <x:v>Masa berlaku</x:v>
      </x:c>
      <x:c r="C27" s="32" t="str">
        <x:f>IF(F9&lt;&gt;"TERVERIFIKASI","BELUM DAPAT DIPASTIKAN",IF(H9&lt;0,"SUDAH BERAKHIR",IF(H9&lt;=30,"H-30",IF(H9&lt;=90,"H-90",IF(H9&lt;=180,"H-180","&gt; H-180")))))</x:f>
        <x:v>&gt; H-180</x:v>
      </x:c>
      <x:c r="D27" s="32" t="str">
        <x:f>IF(C27="BELUM DAPAT DIPASTIKAN","V0 - DATA BELUM CUKUP",IF(OR(C27="SUDAH BERAKHIR",C27="H-30"),"E3 - MERAH",IF(C27="H-90","E2 - JINGGA",IF(C27="H-180","E1 - KUNING","E0 - HIJAU"))))</x:f>
        <x:v>E0 - HIJAU</x:v>
      </x:c>
      <x:c r="E27" s="32" t="str">
        <x:f>'BASELINE STAI ANAMBAS'!G14</x:f>
        <x:v>Entri P2MA yang ditemukan melalui kata kunci STAI Paduka menampilkan status Berlangsung, mulai 18 November 2025 dan berakhir 17 November 2030; tanggal sesuai data awal.</x:v>
      </x:c>
      <x:c r="F27" s="63"/>
      <x:c r="G27" s="63"/>
      <x:c r="H27" s="63"/>
      <x:c r="I27" s="63" t="str">
        <x:v>BELUM MULAI</x:v>
      </x:c>
      <x:c r="J27" s="32" t="str">
        <x:f>IF(D27="V0 - DATA BELUM CUKUP","LENGKAPI DATA",IF(OR(D27="E1 - KUNING",D27="E2 - JINGGA",D27="E3 - MERAH"),IF(OR(F27="",G27="",H27=""),"LENGKAPI TINDAKAN","OK"),"OK"))</x:f>
        <x:v>OK</x:v>
      </x:c>
    </x:row>
    <x:row r="28">
      <x:c r="A28" s="32" t="n">
        <x:v>2</x:v>
      </x:c>
      <x:c r="B28" s="32" t="str">
        <x:v>Aktivitas/tenggat</x:v>
      </x:c>
      <x:c r="C28" s="32" t="str">
        <x:f>IF((IF('PELAKSANAAN KEGIATAN'!B7&lt;&gt;"",1,0)+IF('PELAKSANAAN KEGIATAN'!B8&lt;&gt;"",1,0)+IF('PELAKSANAAN KEGIATAN'!B9&lt;&gt;"",1,0)+IF('PELAKSANAAN KEGIATAN'!B10&lt;&gt;"",1,0)+IF('PELAKSANAAN KEGIATAN'!B11&lt;&gt;"",1,0)+IF('PELAKSANAAN KEGIATAN'!B12&lt;&gt;"",1,0))=0,"TIDAK ADA AKTIVITAS &gt;180 HARI","ADA DATA KEGIATAN - PERLU VERIFIKASI")</x:f>
        <x:v>TIDAK ADA AKTIVITAS &gt;180 HARI</x:v>
      </x:c>
      <x:c r="D28" s="32" t="str">
        <x:f>IF(C28="TIDAK ADA AKTIVITAS &gt;180 HARI","E3 - MERAH","V0 - DATA BELUM CUKUP")</x:f>
        <x:v>E3 - MERAH</x:v>
      </x:c>
      <x:c r="E28" s="32" t="str">
        <x:f>'BASELINE STAI ANAMBAS'!J22</x:f>
        <x:v>Belum ada kegiatan pada sheet pelaksanaan</x:v>
      </x:c>
      <x:c r="F28" s="63" t="str">
        <x:v>Tetapkan PIC kedua pihak dan sepakati rencana aksi serta kegiatan awal.</x:v>
      </x:c>
      <x:c r="G28" s="63" t="str">
        <x:v>Unit pengampu / Project Leader</x:v>
      </x:c>
      <x:c r="H28" s="63"/>
      <x:c r="I28" s="63" t="str">
        <x:v>BELUM MULAI</x:v>
      </x:c>
      <x:c r="J28" s="32" t="str">
        <x:f>IF(D28="V0 - DATA BELUM CUKUP","LENGKAPI DATA",IF(OR(D28="E1 - KUNING",D28="E2 - JINGGA",D28="E3 - MERAH"),IF(OR(F28="",G28="",H28=""),"LENGKAPI TINDAKAN","OK"),"OK"))</x:f>
        <x:v>LENGKAPI TINDAKAN</x:v>
      </x:c>
    </x:row>
    <x:row r="29">
      <x:c r="A29" s="32" t="n">
        <x:v>3</x:v>
      </x:c>
      <x:c r="B29" s="32" t="str">
        <x:v>Data/eviden</x:v>
      </x:c>
      <x:c r="C29" s="32" t="str">
        <x:f>IF((IF('PELAKSANAAN KEGIATAN'!E7&lt;&gt;"",1,0)+IF('PELAKSANAAN KEGIATAN'!E8&lt;&gt;"",1,0)+IF('PELAKSANAAN KEGIATAN'!E9&lt;&gt;"",1,0)+IF('PELAKSANAAN KEGIATAN'!E10&lt;&gt;"",1,0)+IF('PELAKSANAAN KEGIATAN'!E11&lt;&gt;"",1,0)+IF('PELAKSANAAN KEGIATAN'!E12&lt;&gt;"",1,0))=0,"BELUM DIPERIKSA","ADA KETERANGAN BUKTI - PERLU VERIFIKASI")</x:f>
        <x:v>BELUM DIPERIKSA</x:v>
      </x:c>
      <x:c r="D29" s="32" t="str">
        <x:f>"V0 - DATA BELUM CUKUP"</x:f>
        <x:v>V0 - DATA BELUM CUKUP</x:v>
      </x:c>
      <x:c r="E29" s="32" t="str">
        <x:f>'BASELINE STAI ANAMBAS'!J23</x:f>
        <x:v>Belum ada keterangan bukti pada sheet pelaksanaan</x:v>
      </x:c>
      <x:c r="F29" s="63"/>
      <x:c r="G29" s="63"/>
      <x:c r="H29" s="63"/>
      <x:c r="I29" s="63" t="str">
        <x:v>BELUM MULAI</x:v>
      </x:c>
      <x:c r="J29" s="32" t="str">
        <x:f>IF(D29="V0 - DATA BELUM CUKUP","LENGKAPI DATA",IF(OR(D29="E1 - KUNING",D29="E2 - JINGGA",D29="E3 - MERAH"),IF(OR(F29="",G29="",H29=""),"LENGKAPI TINDAKAN","OK"),"OK"))</x:f>
        <x:v>LENGKAPI DATA</x:v>
      </x:c>
    </x:row>
    <x:row r="30">
      <x:c r="A30" s="32" t="n">
        <x:v>4</x:v>
      </x:c>
      <x:c r="B30" s="32" t="str">
        <x:v>PIC</x:v>
      </x:c>
      <x:c r="C30" s="32" t="str">
        <x:f>IF(OR('IDENTITAS &amp; PIC'!C11="",LEFT('IDENTITAS &amp; PIC'!C11,1)="&lt;"),"TIDAK AKTIF TANPA PENGGANTI","PIC MITRA TERSEDIA - PERLU VERIFIKASI")</x:f>
        <x:v>TIDAK AKTIF TANPA PENGGANTI</x:v>
      </x:c>
      <x:c r="D30" s="32" t="str">
        <x:f>IF(C30="TIDAK AKTIF TANPA PENGGANTI","E3 - MERAH","V0 - DATA BELUM CUKUP")</x:f>
        <x:v>E3 - MERAH</x:v>
      </x:c>
      <x:c r="E30" s="32" t="str">
        <x:f>'BASELINE STAI ANAMBAS'!J20</x:f>
        <x:v>Belum ada PIC mitra yang diisi</x:v>
      </x:c>
      <x:c r="F30" s="63" t="str">
        <x:v>Tetapkan PIC internal dan minta penunjukan PIC mitra secara tertulis.</x:v>
      </x:c>
      <x:c r="G30" s="63" t="str">
        <x:v>Unit pengampu / Project Leader</x:v>
      </x:c>
      <x:c r="H30" s="63"/>
      <x:c r="I30" s="63" t="str">
        <x:v>BELUM MULAI</x:v>
      </x:c>
      <x:c r="J30" s="32" t="str">
        <x:f>IF(D30="V0 - DATA BELUM CUKUP","LENGKAPI DATA",IF(OR(D30="E1 - KUNING",D30="E2 - JINGGA",D30="E3 - MERAH"),IF(OR(F30="",G30="",H30=""),"LENGKAPI TINDAKAN","OK"),"OK"))</x:f>
        <x:v>LENGKAPI TINDAKAN</x:v>
      </x:c>
    </x:row>
    <x:row r="31">
      <x:c r="A31"/>
      <x:c r="B31"/>
      <x:c r="C31"/>
      <x:c r="D31"/>
      <x:c r="E31"/>
      <x:c r="F31"/>
      <x:c r="G31"/>
      <x:c r="H31"/>
      <x:c r="I31"/>
      <x:c r="J31"/>
    </x:row>
    <x:row r="32">
      <x:c r="A32" s="32" t="str">
        <x:v>Warning tertinggi</x:v>
      </x:c>
      <x:c r="B32" s="32" t="str">
        <x:f>IF(OR(D27="E3 - MERAH",D28="E3 - MERAH",D29="E3 - MERAH",D30="E3 - MERAH"),"E3 - MERAH",IF(OR(D27="E2 - JINGGA",D28="E2 - JINGGA",D29="E2 - JINGGA",D30="E2 - JINGGA"),"E2 - JINGGA",IF(OR(D27="E1 - KUNING",D28="E1 - KUNING",D29="E1 - KUNING",D30="E1 - KUNING"),"E1 - KUNING",IF(OR(D27="V0 - DATA BELUM CUKUP",D28="V0 - DATA BELUM CUKUP",D29="V0 - DATA BELUM CUKUP",D30="V0 - DATA BELUM CUKUP"),"V0 - DATA BELUM CUKUP","E0 - HIJAU"))))</x:f>
        <x:v>E3 - MERAH</x:v>
      </x:c>
      <x:c r="C32" s="32" t="str">
        <x:v>Tingkat penanganan</x:v>
      </x:c>
      <x:c r="D32" s="32" t="str">
        <x:f>IF(B32="E3 - MERAH","PERLU KOORDINASI PROJECT LEADER",IF(OR(B32="E2 - JINGGA",B32="E1 - KUNING"),"DITANGANI PIC/UNIT",IF(B32="V0 - DATA BELUM CUKUP","LENGKAPI DATA","MONITORING RUTIN")))</x:f>
        <x:v>PERLU KOORDINASI PROJECT LEADER</x:v>
      </x:c>
      <x:c r="E32"/>
      <x:c r="F32"/>
      <x:c r="G32"/>
      <x:c r="H32"/>
      <x:c r="I32"/>
      <x:c r="J32"/>
    </x:row>
    <x:row r="33">
      <x:c r="A33"/>
      <x:c r="B33"/>
      <x:c r="C33"/>
      <x:c r="D33"/>
      <x:c r="E33"/>
      <x:c r="F33"/>
      <x:c r="G33"/>
      <x:c r="H33"/>
      <x:c r="I33"/>
      <x:c r="J33"/>
    </x:row>
    <x:row r="34">
      <x:c r="A34" t="str">
        <x:v>E. UJI KEBUTUHAN INTERVENSI PIMPINAN</x:v>
      </x:c>
      <x:c r="B34" t="str">
        <x:v>E. UJI KEBUTUHAN INTERVENSI PIMPINAN</x:v>
      </x:c>
      <x:c r="C34" t="str">
        <x:v>E. UJI KEBUTUHAN INTERVENSI PIMPINAN</x:v>
      </x:c>
      <x:c r="D34" t="str">
        <x:v>E. UJI KEBUTUHAN INTERVENSI PIMPINAN</x:v>
      </x:c>
      <x:c r="E34" t="str">
        <x:v>E. UJI KEBUTUHAN INTERVENSI PIMPINAN</x:v>
      </x:c>
      <x:c r="F34" t="str">
        <x:v>E. UJI KEBUTUHAN INTERVENSI PIMPINAN</x:v>
      </x:c>
      <x:c r="G34" t="str">
        <x:v>E. UJI KEBUTUHAN INTERVENSI PIMPINAN</x:v>
      </x:c>
      <x:c r="H34" t="str">
        <x:v>E. UJI KEBUTUHAN INTERVENSI PIMPINAN</x:v>
      </x:c>
      <x:c r="I34" t="str">
        <x:v>E. UJI KEBUTUHAN INTERVENSI PIMPINAN</x:v>
      </x:c>
      <x:c r="J34" t="str">
        <x:v>E. UJI KEBUTUHAN INTERVENSI PIMPINAN</x:v>
      </x:c>
    </x:row>
    <x:row r="35" ht="22" customHeight="1">
      <x:c r="A35" s="18" t="str">
        <x:v>Jawab YA hanya jika kondisi benar-benar terjadi dan berada di luar kewenangan...</x:v>
      </x:c>
      <x:c r="B35" s="18" t="str">
        <x:v>Jawab YA hanya jika kondisi benar-benar terjadi dan berada di luar kewenangan...</x:v>
      </x:c>
      <x:c r="C35" s="18" t="str">
        <x:v>Jawab YA hanya jika kondisi benar-benar terjadi dan berada di luar kewenangan...</x:v>
      </x:c>
      <x:c r="D35" s="18" t="str">
        <x:v>Jawab YA hanya jika kondisi benar-benar terjadi dan berada di luar kewenangan...</x:v>
      </x:c>
      <x:c r="E35" s="18" t="str">
        <x:v>Jawab YA hanya jika kondisi benar-benar terjadi dan berada di luar kewenangan...</x:v>
      </x:c>
      <x:c r="F35" s="18" t="str">
        <x:v>Jawab YA hanya jika kondisi benar-benar terjadi dan berada di luar kewenangan...</x:v>
      </x:c>
      <x:c r="G35" s="18" t="str">
        <x:v>Jawab YA hanya jika kondisi benar-benar terjadi dan berada di luar kewenangan...</x:v>
      </x:c>
      <x:c r="H35" s="18" t="str">
        <x:v>Jawab YA hanya jika kondisi benar-benar terjadi dan berada di luar kewenangan...</x:v>
      </x:c>
      <x:c r="I35" s="18" t="str">
        <x:v>Jawab YA hanya jika kondisi benar-benar terjadi dan berada di luar kewenangan...</x:v>
      </x:c>
      <x:c r="J35" s="18" t="str">
        <x:v>Jawab YA hanya jika kondisi benar-benar terjadi dan berada di luar kewenangan...</x:v>
      </x:c>
    </x:row>
    <x:row r="36">
      <x:c r="A36" s="49" t="str">
        <x:v>No</x:v>
      </x:c>
      <x:c r="B36" s="49" t="str">
        <x:v>Pemicu</x:v>
      </x:c>
      <x:c r="C36" s="49" t="str">
        <x:v>Ada?</x:v>
      </x:c>
      <x:c r="D36" s="49" t="str">
        <x:v>Bukti/alasan</x:v>
      </x:c>
      <x:c r="E36"/>
      <x:c r="F36"/>
      <x:c r="G36"/>
      <x:c r="H36"/>
      <x:c r="I36"/>
      <x:c r="J36"/>
    </x:row>
    <x:row r="37">
      <x:c r="A37" s="32" t="n">
        <x:v>1</x:v>
      </x:c>
      <x:c r="B37" s="32" t="str">
        <x:v>Perlu keputusan perpanjangan/addendum/evaluasi/pengakhiran</x:v>
      </x:c>
      <x:c r="C37" s="63" t="str">
        <x:v>BELUM DIPASTIKAN</x:v>
      </x:c>
      <x:c r="D37" s="63"/>
      <x:c r="E37"/>
      <x:c r="F37"/>
      <x:c r="G37"/>
      <x:c r="H37"/>
      <x:c r="I37"/>
      <x:c r="J37"/>
    </x:row>
    <x:row r="38">
      <x:c r="A38" s="32" t="n">
        <x:v>2</x:v>
      </x:c>
      <x:c r="B38" s="32" t="str">
        <x:v>Hambatan lintas unit di luar kewenangan PIC/unit</x:v>
      </x:c>
      <x:c r="C38" s="63" t="str">
        <x:v>BELUM DIPASTIKAN</x:v>
      </x:c>
      <x:c r="D38" s="63"/>
      <x:c r="E38"/>
      <x:c r="F38"/>
      <x:c r="G38"/>
      <x:c r="H38"/>
      <x:c r="I38"/>
      <x:c r="J38"/>
    </x:row>
    <x:row r="39">
      <x:c r="A39" s="32" t="n">
        <x:v>3</x:v>
      </x:c>
      <x:c r="B39" s="32" t="str">
        <x:v>Butuh anggaran/SDM/fasilitas di luar kewenangan unit</x:v>
      </x:c>
      <x:c r="C39" s="63" t="str">
        <x:v>BELUM DIPASTIKAN</x:v>
      </x:c>
      <x:c r="D39" s="63"/>
      <x:c r="E39"/>
      <x:c r="F39"/>
      <x:c r="G39"/>
      <x:c r="H39"/>
      <x:c r="I39"/>
      <x:c r="J39"/>
    </x:row>
    <x:row r="40">
      <x:c r="A40" s="32" t="n">
        <x:v>4</x:v>
      </x:c>
      <x:c r="B40" s="32" t="str">
        <x:v>Komitmen material mitra tidak dipenuhi</x:v>
      </x:c>
      <x:c r="C40" s="63" t="str">
        <x:v>BELUM DIPASTIKAN</x:v>
      </x:c>
      <x:c r="D40" s="63"/>
      <x:c r="E40"/>
      <x:c r="F40"/>
      <x:c r="G40"/>
      <x:c r="H40"/>
      <x:c r="I40"/>
      <x:c r="J40"/>
    </x:row>
    <x:row r="41">
      <x:c r="A41" s="32" t="n">
        <x:v>5</x:v>
      </x:c>
      <x:c r="B41" s="32" t="str">
        <x:v>Ada risiko hukum, reputasi, atau strategis yang material</x:v>
      </x:c>
      <x:c r="C41" s="63" t="str">
        <x:v>BELUM DIPASTIKAN</x:v>
      </x:c>
      <x:c r="D41" s="63"/>
      <x:c r="E41"/>
      <x:c r="F41"/>
      <x:c r="G41"/>
      <x:c r="H41"/>
      <x:c r="I41"/>
      <x:c r="J41"/>
    </x:row>
    <x:row r="42">
      <x:c r="A42"/>
      <x:c r="B42"/>
      <x:c r="C42"/>
      <x:c r="D42"/>
      <x:c r="E42"/>
      <x:c r="F42"/>
      <x:c r="G42"/>
      <x:c r="H42"/>
      <x:c r="I42"/>
      <x:c r="J42"/>
    </x:row>
    <x:row r="43">
      <x:c r="A43" s="32" t="str">
        <x:v>Hasil uji</x:v>
      </x:c>
      <x:c r="B43" s="32" t="str">
        <x:f>IF(OR(C37="BELUM DIPASTIKAN",C38="BELUM DIPASTIKAN",C39="BELUM DIPASTIKAN",C40="BELUM DIPASTIKAN",C41="BELUM DIPASTIKAN"),"LENGKAPI UJI INTERVENSI",IF(OR(C37="YA",C38="YA",C39="YA",C40="YA",C41="YA"),"PERLU INTERVENSI PIMPINAN","DITANGANI PIC/UNIT"))</x:f>
        <x:v>LENGKAPI UJI INTERVENSI</x:v>
      </x:c>
      <x:c r="C43"/>
      <x:c r="D43"/>
      <x:c r="E43"/>
      <x:c r="F43"/>
      <x:c r="G43"/>
      <x:c r="H43"/>
      <x:c r="I43"/>
      <x:c r="J43"/>
    </x:row>
    <x:row r="44">
      <x:c r="A44" s="32" t="str">
        <x:v>Upaya yang sudah dilakukan</x:v>
      </x:c>
      <x:c r="B44" s="63" t="str">
        <x:v>Upaya yang sudah dilakukan</x:v>
      </x:c>
      <x:c r="C44" t="str">
        <x:v>Upaya yang sudah dilakukan</x:v>
      </x:c>
      <x:c r="D44"/>
      <x:c r="E44"/>
      <x:c r="F44"/>
      <x:c r="G44"/>
      <x:c r="H44"/>
      <x:c r="I44"/>
      <x:c r="J44"/>
    </x:row>
    <x:row r="45">
      <x:c r="A45" s="32" t="str">
        <x:v>Keputusan spesifik yang diminta</x:v>
      </x:c>
      <x:c r="B45" s="63" t="str">
        <x:v>Keputusan spesifik yang diminta</x:v>
      </x:c>
      <x:c r="C45" t="str">
        <x:v>Keputusan spesifik yang diminta</x:v>
      </x:c>
      <x:c r="D45"/>
      <x:c r="E45"/>
      <x:c r="F45"/>
      <x:c r="G45"/>
      <x:c r="H45"/>
      <x:c r="I45"/>
      <x:c r="J45"/>
    </x:row>
    <x:row r="46">
      <x:c r="A46" s="32" t="str">
        <x:v>Cek usulan</x:v>
      </x:c>
      <x:c r="B46" s="32" t="str">
        <x:f>IF(B43="LENGKAPI UJI INTERVENSI","LENGKAPI UJI INTERVENSI",IF(B43="PERLU INTERVENSI PIMPINAN",IF(OR(B44="",B45=""),"LENGKAPI USULAN","SIAP DIBAWA KE FORUM"),"TIDAK PERLU USULAN PIMPINAN"))</x:f>
        <x:v>LENGKAPI UJI INTERVENSI</x:v>
      </x:c>
      <x:c r="C46" t="str">
        <x:v>Cek usulan</x:v>
      </x:c>
      <x:c r="D46" t="str">
        <x:f>IF(B43="LENGKAPI UJI INTERVENSI","LENGKAPI UJI INTERVENSI",IF(B43="PERLU INTERVENSI PIMPINAN",IF(OR(B44="",B45=""),"LENGKAPI USULAN","SIAP DIBAWA KE FORUM"),"TIDAK PERLU USULAN PIMPINAN"))</x:f>
        <x:v>LENGKAPI UJI INTERVENSI</x:v>
      </x:c>
      <x:c r="E46"/>
      <x:c r="F46"/>
      <x:c r="G46"/>
      <x:c r="H46"/>
      <x:c r="I46"/>
      <x:c r="J46"/>
    </x:row>
    <x:row r="47">
      <x:c r="A47"/>
      <x:c r="B47"/>
      <x:c r="C47"/>
      <x:c r="D47"/>
      <x:c r="E47"/>
      <x:c r="F47"/>
      <x:c r="G47"/>
      <x:c r="H47"/>
      <x:c r="I47"/>
      <x:c r="J47"/>
    </x:row>
    <x:row r="48">
      <x:c r="A48" s="53" t="str">
        <x:v>Pengingat: nilai, early warning, dan kebutuhan intervensi pimpinan adalah tig...</x:v>
      </x:c>
      <x:c r="B48" s="53"/>
      <x:c r="C48" s="53"/>
      <x:c r="D48" s="53"/>
      <x:c r="E48" s="53"/>
      <x:c r="F48" s="53"/>
      <x:c r="G48" s="53"/>
      <x:c r="H48" s="53"/>
      <x:c r="I48" s="53"/>
      <x:c r="J48" s="53"/>
    </x:row>
  </x:sheetData>
  <x:mergeCells>
    <x:mergeCell ref="A1:J1"/>
    <x:mergeCell ref="A2:J2"/>
    <x:mergeCell ref="A5:J5"/>
    <x:mergeCell ref="B8:J8"/>
    <x:mergeCell ref="A11:J11"/>
    <x:mergeCell ref="A20:J20"/>
    <x:mergeCell ref="A25:J25"/>
    <x:mergeCell ref="A35:J35"/>
    <x:mergeCell ref="A48:J48"/>
  </x:mergeCells>
  <x:conditionalFormatting sqref="J13:J18">
    <x:cfRule type="expression" dxfId="0" priority="1">
      <x:formula>J13="OK"</x:formula>
    </x:cfRule>
    <x:cfRule type="expression" dxfId="1" priority="2">
      <x:formula>J13&lt;&gt;"OK"</x:formula>
    </x:cfRule>
  </x:conditionalFormatting>
  <x:dataValidations count="4">
    <x:dataValidation type="list" sqref="E13:E18">
      <x:formula1>"BELUM DITELAAH,BUKTI MEMADAI,BUKTI BELUM MEMADAI,BELUM DAPAT DINILAI"</x:formula1>
    </x:dataValidation>
    <x:dataValidation type="list" sqref="G13:G18">
      <x:formula1>"0,1,2,3,4"</x:formula1>
    </x:dataValidation>
    <x:dataValidation type="list" sqref="B22">
      <x:formula1>"BELUM,DISETUJUI,PERLU PERBAIKAN"</x:formula1>
    </x:dataValidation>
    <x:dataValidation type="list" sqref="C37:C41">
      <x:formula1>"BELUM DIPASTIKAN,TIDAK,YA"</x:formula1>
    </x:dataValidation>
  </x:dataValidations>
  <x:pageMargins left="0.7" right="0.7" top="0.75" bottom="0.75" header="0.3" footer="0.3"/>
</x:worksheet>
</file>