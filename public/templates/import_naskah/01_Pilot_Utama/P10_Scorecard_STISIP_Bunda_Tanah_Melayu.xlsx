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c8b587ffd34796" /></Relationships>
</file>

<file path=xl/workbook.xml><?xml version="1.0" encoding="utf-8"?>
<x:workbook xmlns:x="http://schemas.openxmlformats.org/spreadsheetml/2006/main">
  <x:sheets>
    <x:sheet xmlns:r="http://schemas.openxmlformats.org/officeDocument/2006/relationships" name="RINGKASAN BTM" sheetId="1" r:id="Re074aff5c6fd48e5"/>
    <x:sheet xmlns:r="http://schemas.openxmlformats.org/officeDocument/2006/relationships" name="IDENTITAS &amp; PIC" sheetId="2" r:id="R584e966e180d48c6"/>
    <x:sheet xmlns:r="http://schemas.openxmlformats.org/officeDocument/2006/relationships" name="PELAKSANAAN KEGIATAN" sheetId="3" r:id="Rf8f5f512cd444604"/>
    <x:sheet xmlns:r="http://schemas.openxmlformats.org/officeDocument/2006/relationships" name="USULAN TINDAK LANJUT" sheetId="4" r:id="Rc4b059978e24489c"/>
    <x:sheet xmlns:r="http://schemas.openxmlformats.org/officeDocument/2006/relationships" name="BASELINE BTM" sheetId="5" r:id="R338d99391d9e473d"/>
    <x:sheet xmlns:r="http://schemas.openxmlformats.org/officeDocument/2006/relationships" name="SCORECARD BTM" sheetId="6" r:id="R140be9106bc0433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dd mmmm yyyy"/>
  </x:numFmts>
  <x:fonts count="8">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6B4F00"/>
      <x:name val="Carlito"/>
    </x:font>
    <x:font>
      <x:i/>
      <x:sz val="11"/>
      <x:name val="Carlito"/>
    </x:font>
    <x:font>
      <x:b/>
      <x:sz val="11"/>
      <x:color rgb="FF8B1E1E"/>
      <x:name val="Carlito"/>
    </x:font>
  </x:fonts>
  <x:fills count="8">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3F6B"/>
      </x:patternFill>
    </x:fill>
    <x:fill>
      <x:patternFill patternType="solid">
        <x:fgColor rgb="FFF3F4F6"/>
      </x:patternFill>
    </x:fill>
    <x:fill>
      <x:patternFill patternType="solid">
        <x:fgColor rgb="FFFFF4CC"/>
      </x:patternFill>
    </x:fill>
    <x:fill>
      <x:patternFill patternType="solid">
        <x:fgColor rgb="FFFCE8E6"/>
      </x:patternFill>
    </x:fill>
  </x:fills>
  <x:borders count="2">
    <x:border/>
    <x:border/>
  </x:borders>
  <x:cellStyleXfs count="1">
    <x:xf numFmtId="0" fontId="0" fillId="0" borderId="0"/>
  </x:cellStyleXfs>
  <x:cellXfs count="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0" fillId="6"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x:xf numFmtId="0" fontId="6" fillId="5" borderId="1"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x:xf numFmtId="0" fontId="4" fillId="6"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2" fontId="0" fillId="5"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0"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2" fontId="0" fillId="6"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cellXfs>
  <x:cellStyles count="1">
    <x:cellStyle name="Normal" xfId="0"/>
  </x:cellStyles>
  <x:dxfs count="4">
    <x:dxf>
      <x:fill>
        <x:patternFill>
          <x:bgColor rgb="FFDFF2E1"/>
        </x:patternFill>
      </x:fill>
    </x:dxf>
    <x:dxf>
      <x:fill>
        <x:patternFill>
          <x:bgColor rgb="FFFDEBD0"/>
        </x:patternFill>
      </x:fill>
    </x:dxf>
    <x:dxf>
      <x:fill>
        <x:patternFill>
          <x:bgColor rgb="FFDFF2E1"/>
        </x:patternFill>
      </x:fill>
    </x:dxf>
    <x:dxf>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f1ce264da0461d" /><Relationship Type="http://schemas.openxmlformats.org/officeDocument/2006/relationships/theme" Target="/xl/theme/theme1.xml" Id="R476ae80459fd49f9" /><Relationship Type="http://schemas.openxmlformats.org/officeDocument/2006/relationships/sharedStrings" Target="/xl/sharedStrings.xml" Id="Re1179801f6cf4fc6" /><Relationship Type="http://schemas.openxmlformats.org/officeDocument/2006/relationships/worksheet" Target="/xl/worksheets/sheet1.xml" Id="Re074aff5c6fd48e5" /><Relationship Type="http://schemas.openxmlformats.org/officeDocument/2006/relationships/worksheet" Target="/xl/worksheets/sheet2.xml" Id="R584e966e180d48c6" /><Relationship Type="http://schemas.openxmlformats.org/officeDocument/2006/relationships/worksheet" Target="/xl/worksheets/sheet3.xml" Id="Rf8f5f512cd444604" /><Relationship Type="http://schemas.openxmlformats.org/officeDocument/2006/relationships/worksheet" Target="/xl/worksheets/sheet4.xml" Id="Rc4b059978e24489c" /><Relationship Type="http://schemas.openxmlformats.org/officeDocument/2006/relationships/worksheet" Target="/xl/worksheets/sheet5.xml" Id="R338d99391d9e473d" /><Relationship Type="http://schemas.openxmlformats.org/officeDocument/2006/relationships/worksheet" Target="/xl/worksheets/sheet6.xml" Id="R140be9106bc043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42" hidden="0" customWidth="1"/>
    <x:col min="5" max="5" width="26" hidden="0" customWidth="1"/>
    <x:col min="6" max="6" width="6" hidden="0" customWidth="1"/>
    <x:col min="7" max="7" width="24" hidden="0" customWidth="1"/>
    <x:col min="8" max="8" width="26" hidden="0" customWidth="1"/>
  </x:cols>
  <x:sheetData>
    <x:row r="1" ht="28" customHeight="1">
      <x:c r="A1" s="5" t="str">
        <x:v>MITRA KINERJA — RINGKASAN TERINTEGRASI BUNDA TANAH MELAYU</x:v>
      </x:c>
      <x:c r="B1" s="5"/>
      <x:c r="C1" s="5"/>
      <x:c r="D1" s="5"/>
      <x:c r="E1" s="5"/>
      <x:c r="F1" s="5"/>
      <x:c r="G1" s="5"/>
      <x:c r="H1" s="5"/>
    </x:row>
    <x:row r="2">
      <x:c r="A2" s="12" t="str">
        <x:v>Data Stakeholder → Baseline → Scorecard → Early Warning → Tindak Lanjut</x:v>
      </x:c>
      <x:c r="B2" s="12"/>
      <x:c r="C2" s="12"/>
      <x:c r="D2" s="12"/>
      <x:c r="E2" s="12"/>
      <x:c r="F2" s="12"/>
      <x:c r="G2" s="12"/>
      <x:c r="H2" s="12"/>
    </x:row>
    <x:row r="4" ht="22" customHeight="1">
      <x:c r="A4" s="18" t="str">
        <x:v>IDENTITAS PORTOFOLIO</x:v>
      </x:c>
      <x:c r="B4" s="18"/>
      <x:c r="C4" s="18"/>
      <x:c r="D4" s="18"/>
      <x:c r="E4" s="18"/>
      <x:c r="F4" s="18"/>
      <x:c r="G4" s="18"/>
      <x:c r="H4" s="18"/>
    </x:row>
    <x:row r="5">
      <x:c r="A5" s="31" t="str">
        <x:v>Kode Naskah</x:v>
      </x:c>
      <x:c r="B5" s="32" t="str">
        <x:v>P10</x:v>
      </x:c>
      <x:c r="D5" s="31" t="str">
        <x:v>PIC Mitra</x:v>
      </x:c>
      <x:c r="E5" s="32" t="str">
        <x:f>IF(OR('IDENTITAS &amp; PIC'!C11="",LEFT('IDENTITAS &amp; PIC'!C11,1)="&lt;"),"Belum tersedia",'IDENTITAS &amp; PIC'!C11)</x:f>
        <x:v>Belum tersedia</x:v>
      </x:c>
      <x:c r="G5" s="31" t="str">
        <x:v>Nilai Berjalan</x:v>
      </x:c>
      <x:c r="H5" s="35" t="n">
        <x:f>'SCORECARD BTM'!B21</x:f>
        <x:v>3.75</x:v>
      </x:c>
    </x:row>
    <x:row r="6">
      <x:c r="A6" s="31" t="str">
        <x:v>Mitra</x:v>
      </x:c>
      <x:c r="B6" s="32" t="str">
        <x:f>'IDENTITAS &amp; PIC'!C5</x:f>
        <x:v>Sekolah Tinggi Ilmu Sosial dan Ilmu Politik Bunda Tanah Melayu</x:v>
      </x:c>
      <x:c r="D6" s="31" t="str">
        <x:v>Total Kegiatan</x:v>
      </x:c>
      <x:c r="E6" s="32" t="n">
        <x:f>COUNTA('PELAKSANAAN KEGIATAN'!B7:B12)</x:f>
        <x:v>0</x:v>
      </x:c>
      <x:c r="F6"/>
      <x:c r="G6" s="31" t="str">
        <x:v>Kelengkapan Scorecard</x:v>
      </x:c>
      <x:c r="H6" s="37" t="n">
        <x:f>'SCORECARD BTM'!D21</x:f>
        <x:v>0.16666666666666666</x:v>
      </x:c>
    </x:row>
    <x:row r="7">
      <x:c r="A7" s="31" t="str">
        <x:v>Jenis</x:v>
      </x:c>
      <x:c r="B7" s="32" t="str">
        <x:v>MoU</x:v>
      </x:c>
      <x:c r="D7" s="31" t="str">
        <x:v>Usulan Tindak Lanjut</x:v>
      </x:c>
      <x:c r="E7" s="32" t="n">
        <x:f>COUNTA('USULAN TINDAK LANJUT'!B7:B12)</x:f>
        <x:v>0</x:v>
      </x:c>
      <x:c r="G7" s="31" t="str">
        <x:v>Kategori</x:v>
      </x:c>
      <x:c r="H7" s="39" t="str">
        <x:f>'SCORECARD BTM'!F21</x:f>
        <x:v>BELUM LENGKAP</x:v>
      </x:c>
    </x:row>
    <x:row r="8">
      <x:c r="A8" s="31" t="str">
        <x:v>Judul</x:v>
      </x:c>
      <x:c r="B8" s="32" t="str">
        <x:v>Pelayanan Hukum dan Fasilitasi Tri Dharma Perguruan Tinggi</x:v>
      </x:c>
      <x:c r="D8" s="31" t="str">
        <x:v>Keterangan Bukti</x:v>
      </x:c>
      <x:c r="E8" s="32" t="n">
        <x:f>COUNTA('PELAKSANAAN KEGIATAN'!E7:E12)</x:f>
        <x:v>0</x:v>
      </x:c>
      <x:c r="G8" s="31" t="str">
        <x:v>Early Warning</x:v>
      </x:c>
      <x:c r="H8" s="39" t="str">
        <x:f>'SCORECARD BTM'!B32</x:f>
        <x:v>V0 - DATA BELUM CUKUP</x:v>
      </x:c>
    </x:row>
    <x:row r="10" ht="22" customHeight="1">
      <x:c r="A10" s="18" t="str">
        <x:v>STATUS BASELINE TERINTEGRASI</x:v>
      </x:c>
      <x:c r="B10" s="18"/>
      <x:c r="C10" s="18"/>
      <x:c r="D10" s="18"/>
      <x:c r="E10" s="18"/>
      <x:c r="F10" s="18"/>
      <x:c r="G10" s="18"/>
      <x:c r="H10" s="18"/>
    </x:row>
    <x:row r="11">
      <x:c r="A11" s="49" t="str">
        <x:v>Elemen</x:v>
      </x:c>
      <x:c r="B11" s="49" t="str">
        <x:v>Status Baseline</x:v>
      </x:c>
      <x:c r="C11" s="49" t="str">
        <x:v>Pembaruan Terintegrasi</x:v>
      </x:c>
      <x:c r="D11" s="49" t="str">
        <x:v>Catatan</x:v>
      </x:c>
    </x:row>
    <x:row r="12">
      <x:c r="A12" s="39" t="str">
        <x:v>PIC Mitra</x:v>
      </x:c>
      <x:c r="B12" s="32" t="str">
        <x:f>'BASELINE BTM'!F20</x:f>
        <x:v>BELUM TERSEDIA</x:v>
      </x:c>
      <x:c r="C12" s="32" t="str">
        <x:f>'BASELINE BTM'!J20</x:f>
        <x:v>Belum ada PIC mitra yang diisi</x:v>
      </x:c>
      <x:c r="D12" s="32" t="str">
        <x:f>'BASELINE BTM'!K20</x:f>
        <x:v>Tidak ada pembaruan yang mengubah baseline.</x:v>
      </x:c>
    </x:row>
    <x:row r="13">
      <x:c r="A13" s="39" t="str">
        <x:v>Rencana Tindak Lanjut</x:v>
      </x:c>
      <x:c r="B13" s="32" t="str">
        <x:f>'BASELINE BTM'!F21</x:f>
        <x:v>BELUM TERSEDIA</x:v>
      </x:c>
      <x:c r="C13" s="32" t="str">
        <x:f>'BASELINE BTM'!J21</x:f>
        <x:v>Belum ada usulan tindak lanjut terisi</x:v>
      </x:c>
      <x:c r="D13" s="32" t="str">
        <x:f>'BASELINE BTM'!K21</x:f>
        <x:v>Tidak ada pembaruan yang mengubah baseline.</x:v>
      </x:c>
    </x:row>
    <x:row r="14">
      <x:c r="A14" s="39" t="str">
        <x:v>Pelaksanaan &amp; Hasil</x:v>
      </x:c>
      <x:c r="B14" s="32" t="str">
        <x:f>'BASELINE BTM'!F22</x:f>
        <x:v>BELUM TERSEDIA</x:v>
      </x:c>
      <x:c r="C14" s="32" t="str">
        <x:f>'BASELINE BTM'!J22</x:f>
        <x:v>Belum ada kegiatan pada sheet pelaksanaan</x:v>
      </x:c>
      <x:c r="D14" s="32" t="str">
        <x:f>'BASELINE BTM'!K22</x:f>
        <x:v>Tidak ada pembaruan yang mengubah baseline.</x:v>
      </x:c>
    </x:row>
    <x:row r="15">
      <x:c r="A15" s="39" t="str">
        <x:v>Eviden Implementasi</x:v>
      </x:c>
      <x:c r="B15" s="32" t="str">
        <x:f>'BASELINE BTM'!F23</x:f>
        <x:v>BELUM TERSEDIA</x:v>
      </x:c>
      <x:c r="C15" s="32" t="str">
        <x:f>'BASELINE BTM'!J23</x:f>
        <x:v>Belum ada keterangan bukti pada sheet pelaksanaan</x:v>
      </x:c>
      <x:c r="D15" s="32" t="str">
        <x:f>'BASELINE BTM'!K23</x:f>
        <x:v>Tidak ada pembaruan yang mengubah baseline.</x:v>
      </x:c>
    </x:row>
    <x:row r="17">
      <x:c r="A17" s="53" t="str">
        <x:v>Catatan kendali: data pada sheet input mengalir otomatis sebagai referensi, tetapi TIDAK otomatis mengubah status Baseline atau skor Scorecard. Pemeriksaan bukti dan validasi tetap diperlukan.</x:v>
      </x:c>
      <x:c r="B17" s="53"/>
      <x:c r="C17" s="53"/>
      <x:c r="D17" s="53"/>
      <x:c r="E17" s="53"/>
      <x:c r="F17" s="53"/>
      <x:c r="G17" s="53"/>
      <x:c r="H17" s="53"/>
    </x:row>
    <x:row r="19" ht="42" customHeight="1">
      <x:c r="A19" s="95" t="str">
        <x:v>CATATAN BTM: file sumber menggunakan nama Sekolah Tinggi Ilmu Sosial dan Ilmu Politik Bunda Tanah Melayu. Form stakeholder yang diunggah belum memuat PIC, kegiatan, bukti, maupun usulan tindak lanjut. Workbook mempertahankan kondisi Baseline/Scorecard P10 terakhir dan akan memperbarui referensi otomatis ketika data baru diisi.</x:v>
      </x:c>
      <x:c r="B19" s="95"/>
      <x:c r="C19" s="95"/>
      <x:c r="D19" s="95"/>
      <x:c r="E19" s="95"/>
      <x:c r="F19" s="95"/>
      <x:c r="G19" s="95"/>
      <x:c r="H19" s="95"/>
    </x:row>
  </x:sheetData>
  <x:mergeCells>
    <x:mergeCell ref="A1:H1"/>
    <x:mergeCell ref="A2:H2"/>
    <x:mergeCell ref="A4:H4"/>
    <x:mergeCell ref="A10:H10"/>
    <x:mergeCell ref="A17: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 hidden="0" customWidth="1"/>
    <x:col min="3" max="3" width="34" hidden="0" customWidth="1"/>
    <x:col min="4" max="4" width="4" hidden="0" customWidth="1"/>
    <x:col min="5" max="5" width="20" hidden="0" customWidth="1"/>
    <x:col min="6" max="6" width="4" hidden="0" customWidth="1"/>
    <x:col min="7" max="7" width="28" hidden="0" customWidth="1"/>
  </x:cols>
  <x:sheetData>
    <x:row r="1" ht="28" customHeight="1">
      <x:c r="A1" s="5" t="str">
        <x:v>IDENTITAS KERJA SAMA DAN PIC — BUNDA TANAH MELAYU</x:v>
      </x:c>
      <x:c r="B1" s="5" t="str">
        <x:v>IDENTITAS KERJA SAMA DAN PIC</x:v>
      </x:c>
      <x:c r="C1" s="5" t="str">
        <x:v>IDENTITAS KERJA SAMA DAN PIC</x:v>
      </x:c>
      <x:c r="D1" s="5" t="str">
        <x:v>IDENTITAS KERJA SAMA DAN PIC</x:v>
      </x:c>
      <x:c r="E1" s="5" t="str">
        <x:v>IDENTITAS KERJA SAMA DAN PIC</x:v>
      </x:c>
      <x:c r="F1" s="5" t="str">
        <x:v>IDENTITAS KERJA SAMA DAN PIC</x:v>
      </x:c>
      <x:c r="G1" s="5" t="str">
        <x:v>IDENTITAS KERJA SAMA DAN PIC</x:v>
      </x:c>
      <x:c r="H1" t="str">
        <x:v>IDENTITAS KERJA SAMA DAN PIC</x:v>
      </x:c>
    </x:row>
    <x:row r="2">
      <x:c r="A2" s="58" t="str">
        <x:v>Fokus workbook mengikuti nama mitra pada Baseline/Scorecard: Sekolah Tinggi Ilmu Sosial dan Ilmu Politik Bunda Tanah Melayu. Form stakeholder yang diunggah belum berisi PIC; sel input disiapkan untuk pembaruan.</x:v>
      </x:c>
      <x:c r="B2" s="58" t="str">
        <x:v>Sel kuning diisi oleh mitra; data naskah telah dipersiapkan untuk STAI Natuna dan dapat disesuaikan.</x:v>
      </x:c>
      <x:c r="C2" s="58" t="str">
        <x:v>Sel kuning diisi oleh mitra; data naskah telah dipersiapkan untuk STAI Natuna dan dapat disesuaikan.</x:v>
      </x:c>
      <x:c r="D2" s="58" t="str">
        <x:v>Sel kuning diisi oleh mitra; data naskah telah dipersiapkan untuk STAI Natuna dan dapat disesuaikan.</x:v>
      </x:c>
      <x:c r="E2" s="58" t="str">
        <x:v>Sel kuning diisi oleh mitra; data naskah telah dipersiapkan untuk STAI Natuna dan dapat disesuaikan.</x:v>
      </x:c>
      <x:c r="F2" s="58" t="str">
        <x:v>Sel kuning diisi oleh mitra; data naskah telah dipersiapkan untuk STAI Natuna dan dapat disesuaikan.</x:v>
      </x:c>
      <x:c r="G2" s="58" t="str">
        <x:v>Sel kuning diisi oleh mitra; data naskah telah dipersiapkan untuk STAI Natuna dan dapat disesuaikan.</x:v>
      </x:c>
      <x:c r="H2" t="str">
        <x:v>Sel kuning diisi oleh mitra; data naskah telah dipersiapkan untuk STAI Natuna dan dapat disesuaikan.</x:v>
      </x:c>
    </x:row>
    <x:row r="3">
      <x:c r="A3"/>
      <x:c r="B3"/>
      <x:c r="C3"/>
      <x:c r="D3"/>
      <x:c r="E3"/>
      <x:c r="F3"/>
      <x:c r="G3"/>
      <x:c r="H3"/>
    </x:row>
    <x:row r="4" ht="22" customHeight="1">
      <x:c r="A4" s="18" t="str">
        <x:v>A. IDENTITAS KERJA SAMA</x:v>
      </x:c>
      <x:c r="B4" s="18" t="str">
        <x:v>A. IDENTITAS KERJA SAMA</x:v>
      </x:c>
      <x:c r="C4" s="18" t="str">
        <x:v>A. IDENTITAS KERJA SAMA</x:v>
      </x:c>
      <x:c r="D4" s="18" t="str">
        <x:v>A. IDENTITAS KERJA SAMA</x:v>
      </x:c>
      <x:c r="E4" s="18" t="str">
        <x:v>A. IDENTITAS KERJA SAMA</x:v>
      </x:c>
      <x:c r="F4" s="18" t="str">
        <x:v>A. IDENTITAS KERJA SAMA</x:v>
      </x:c>
      <x:c r="G4" s="18" t="str">
        <x:v>A. IDENTITAS KERJA SAMA</x:v>
      </x:c>
      <x:c r="H4" t="str">
        <x:v>A. IDENTITAS KERJA SAMA</x:v>
      </x:c>
    </x:row>
    <x:row r="5">
      <x:c r="A5" s="31" t="str">
        <x:v>Nama Mitra</x:v>
      </x:c>
      <x:c r="B5" s="32"/>
      <x:c r="C5" s="63" t="str">
        <x:v>Sekolah Tinggi Ilmu Sosial dan Ilmu Politik Bunda Tanah Melayu</x:v>
      </x:c>
      <x:c r="D5" s="63"/>
      <x:c r="E5" s="63"/>
      <x:c r="F5" s="63"/>
      <x:c r="G5" s="63"/>
      <x:c r="H5"/>
    </x:row>
    <x:row r="6">
      <x:c r="A6" s="31" t="str">
        <x:v>Nomor Nota Kesepahaman/Perjanjian Kerja Sama</x:v>
      </x:c>
      <x:c r="B6" s="32"/>
      <x:c r="C6" s="63" t="str">
        <x:v>BELUM TERVERIFIKASI</x:v>
      </x:c>
      <x:c r="D6" s="63"/>
      <x:c r="E6" s="63"/>
      <x:c r="F6" s="63"/>
      <x:c r="G6" s="63"/>
      <x:c r="H6"/>
    </x:row>
    <x:row r="7">
      <x:c r="A7" s="31" t="str">
        <x:v>Tanggal</x:v>
      </x:c>
      <x:c r="B7" s="32"/>
      <x:c r="C7" s="96" t="n">
        <x:v>46150</x:v>
      </x:c>
      <x:c r="D7" s="63"/>
      <x:c r="E7" s="63"/>
      <x:c r="F7" s="63"/>
      <x:c r="G7" s="63"/>
      <x:c r="H7"/>
    </x:row>
    <x:row r="8">
      <x:c r="A8" s="31" t="str">
        <x:v>Ruang Lingkup</x:v>
      </x:c>
      <x:c r="B8" s="32"/>
      <x:c r="C8" s="63" t="str">
        <x:v>Ruang lingkup yang tercatat meliputi pendidikan dan pengajaran; penelitian dan pengembangan hukum; pengabdian kepada masyarakat; kampus berdampak; fasilitasi dan penguatan KI; pengembangan kompetensi SDM; asistensi JDIH; serta kegiatan lain yang disepakati.</x:v>
      </x:c>
      <x:c r="D8" s="63"/>
      <x:c r="E8" s="63"/>
      <x:c r="F8" s="63"/>
      <x:c r="G8" s="63"/>
      <x:c r="H8"/>
    </x:row>
    <x:row r="9">
      <x:c r="A9"/>
      <x:c r="B9"/>
      <x:c r="C9"/>
      <x:c r="D9"/>
      <x:c r="E9"/>
      <x:c r="F9"/>
      <x:c r="G9"/>
      <x:c r="H9"/>
    </x:row>
    <x:row r="10" ht="22" customHeight="1">
      <x:c r="A10" s="18" t="str">
        <x:v>B. PIC UTAMA</x:v>
      </x:c>
      <x:c r="B10" s="18" t="str">
        <x:v>B. PIC UTAMA</x:v>
      </x:c>
      <x:c r="C10" s="18" t="str">
        <x:v>B. PIC UTAMA</x:v>
      </x:c>
      <x:c r="D10" s="18" t="str">
        <x:v>B. PIC UTAMA</x:v>
      </x:c>
      <x:c r="E10" s="18" t="str">
        <x:v>B. PIC UTAMA</x:v>
      </x:c>
      <x:c r="F10" s="18" t="str">
        <x:v>B. PIC UTAMA</x:v>
      </x:c>
      <x:c r="G10" s="18" t="str">
        <x:v>B. PIC UTAMA</x:v>
      </x:c>
      <x:c r="H10" t="str">
        <x:v>B. PIC UTAMA</x:v>
      </x:c>
    </x:row>
    <x:row r="11">
      <x:c r="A11" s="31" t="str">
        <x:v>Nama Lengkap*</x:v>
      </x:c>
      <x:c r="B11" s="32"/>
      <x:c r="C11" s="63"/>
      <x:c r="D11" s="32"/>
      <x:c r="E11" s="31" t="str">
        <x:v>Jabatan*</x:v>
      </x:c>
      <x:c r="F11" s="32"/>
      <x:c r="G11" s="63"/>
      <x:c r="H11"/>
    </x:row>
    <x:row r="12">
      <x:c r="A12" s="31" t="str">
        <x:v>Unit Kerja*</x:v>
      </x:c>
      <x:c r="B12" s="32"/>
      <x:c r="C12" s="63"/>
      <x:c r="D12" s="32"/>
      <x:c r="E12" s="31" t="str">
        <x:v>No. HP/WA*</x:v>
      </x:c>
      <x:c r="F12" s="32"/>
      <x:c r="G12" s="63"/>
      <x:c r="H12"/>
    </x:row>
    <x:row r="13">
      <x:c r="A13" s="31" t="str">
        <x:v>Email Resmi*</x:v>
      </x:c>
      <x:c r="B13" s="32"/>
      <x:c r="C13" s="63"/>
      <x:c r="D13" s="32"/>
      <x:c r="E13" s="31" t="str">
        <x:v>Status</x:v>
      </x:c>
      <x:c r="F13" s="32"/>
      <x:c r="G13" s="63" t="str">
        <x:v>Tetap</x:v>
      </x:c>
      <x:c r="H13"/>
    </x:row>
    <x:row r="14">
      <x:c r="A14"/>
      <x:c r="B14"/>
      <x:c r="C14"/>
      <x:c r="D14"/>
      <x:c r="E14"/>
      <x:c r="F14"/>
      <x:c r="G14"/>
      <x:c r="H14"/>
    </x:row>
    <x:row r="15" ht="22" customHeight="1">
      <x:c r="A15" s="18" t="str">
        <x:v>C. PIC CADANGAN</x:v>
      </x:c>
      <x:c r="B15" s="18" t="str">
        <x:v>C. PIC CADANGAN</x:v>
      </x:c>
      <x:c r="C15" s="18" t="str">
        <x:v>C. PIC CADANGAN</x:v>
      </x:c>
      <x:c r="D15" s="18" t="str">
        <x:v>C. PIC CADANGAN</x:v>
      </x:c>
      <x:c r="E15" s="18" t="str">
        <x:v>C. PIC CADANGAN</x:v>
      </x:c>
      <x:c r="F15" s="18" t="str">
        <x:v>C. PIC CADANGAN</x:v>
      </x:c>
      <x:c r="G15" s="18" t="str">
        <x:v>C. PIC CADANGAN</x:v>
      </x:c>
      <x:c r="H15" t="str">
        <x:v>C. PIC CADANGAN</x:v>
      </x:c>
    </x:row>
    <x:row r="16">
      <x:c r="A16" s="31" t="str">
        <x:v>Nama Lengkap*</x:v>
      </x:c>
      <x:c r="B16" s="32"/>
      <x:c r="C16" s="63"/>
      <x:c r="D16" s="32"/>
      <x:c r="E16" s="31" t="str">
        <x:v>Jabatan*</x:v>
      </x:c>
      <x:c r="F16" s="32"/>
      <x:c r="G16" s="63"/>
      <x:c r="H16"/>
    </x:row>
    <x:row r="17">
      <x:c r="A17" s="31" t="str">
        <x:v>Unit Kerja*</x:v>
      </x:c>
      <x:c r="B17" s="32"/>
      <x:c r="C17" s="63"/>
      <x:c r="D17" s="32"/>
      <x:c r="E17" s="31" t="str">
        <x:v>No. HP/WA*</x:v>
      </x:c>
      <x:c r="F17" s="32"/>
      <x:c r="G17" s="63"/>
      <x:c r="H17"/>
    </x:row>
    <x:row r="18">
      <x:c r="A18" s="31" t="str">
        <x:v>Email Resmi*</x:v>
      </x:c>
      <x:c r="B18" s="32"/>
      <x:c r="C18" s="63"/>
      <x:c r="D18" s="32"/>
      <x:c r="E18" s="31" t="str">
        <x:v>Status</x:v>
      </x:c>
      <x:c r="F18" s="32"/>
      <x:c r="G18" s="63" t="str">
        <x:v>Tetap</x:v>
      </x:c>
      <x:c r="H18"/>
    </x:row>
    <x:row r="19">
      <x:c r="A19"/>
      <x:c r="B19"/>
      <x:c r="C19"/>
      <x:c r="D19"/>
      <x:c r="E19"/>
      <x:c r="F19"/>
      <x:c r="G19"/>
      <x:c r="H19"/>
    </x:row>
    <x:row r="20" ht="22" customHeight="1">
      <x:c r="A20" s="18" t="str">
        <x:v>D. KONFIRMASI RAPAT PENGUATAN PIC</x:v>
      </x:c>
      <x:c r="B20" s="18" t="str">
        <x:v>D. KONFIRMASI RAPAT PENGUATAN PIC</x:v>
      </x:c>
      <x:c r="C20" s="18" t="str">
        <x:v>D. KONFIRMASI RAPAT PENGUATAN PIC</x:v>
      </x:c>
      <x:c r="D20" s="18" t="str">
        <x:v>D. KONFIRMASI RAPAT PENGUATAN PIC</x:v>
      </x:c>
      <x:c r="E20" s="18" t="str">
        <x:v>D. KONFIRMASI RAPAT PENGUATAN PIC</x:v>
      </x:c>
      <x:c r="F20" s="18" t="str">
        <x:v>D. KONFIRMASI RAPAT PENGUATAN PIC</x:v>
      </x:c>
      <x:c r="G20" s="18" t="str">
        <x:v>D. KONFIRMASI RAPAT PENGUATAN PIC</x:v>
      </x:c>
      <x:c r="H20" t="str">
        <x:v>D. KONFIRMASI RAPAT PENGUATAN PIC</x:v>
      </x:c>
    </x:row>
    <x:row r="21">
      <x:c r="A21" s="31" t="str">
        <x:v>Kesediaan Hadir*</x:v>
      </x:c>
      <x:c r="B21" s="32"/>
      <x:c r="C21" s="63" t="str">
        <x:v>Hadir</x:v>
      </x:c>
      <x:c r="D21" s="32"/>
      <x:c r="E21" s="31" t="str">
        <x:v>Nama Peserta*</x:v>
      </x:c>
      <x:c r="F21" s="32"/>
      <x:c r="G21" s="63"/>
      <x:c r="H21"/>
    </x:row>
    <x:row r="22">
      <x:c r="A22" s="31" t="str">
        <x:v>Pertanyaan/Kebutuhan Awal</x:v>
      </x:c>
      <x:c r="B22" s="32"/>
      <x:c r="C22" s="63"/>
      <x:c r="D22" s="32"/>
      <x:c r="E22" s="32"/>
      <x:c r="F22" s="32"/>
      <x:c r="G22" s="32"/>
      <x:c r="H22"/>
    </x:row>
    <x:row r="23">
      <x:c r="A23"/>
      <x:c r="B23"/>
      <x:c r="C23"/>
      <x:c r="D23"/>
      <x:c r="E23"/>
      <x:c r="F23"/>
      <x:c r="G23"/>
      <x:c r="H23"/>
    </x:row>
    <x:row r="24">
      <x:c r="A24" s="66" t="str">
        <x:v>Data kontak digunakan untuk koordinasi, monitoring, evaluasi, dan tindak lanjut pelaksanaan kerja sama.</x:v>
      </x:c>
      <x:c r="B24" s="66" t="str">
        <x:v>Data kontak digunakan untuk koordinasi, monitoring, evaluasi, dan tindak lanjut pelaksanaan kerja sama.</x:v>
      </x:c>
      <x:c r="C24" s="66" t="str">
        <x:v>Data kontak digunakan untuk koordinasi, monitoring, evaluasi, dan tindak lanjut pelaksanaan kerja sama.</x:v>
      </x:c>
      <x:c r="D24" s="66" t="str">
        <x:v>Data kontak digunakan untuk koordinasi, monitoring, evaluasi, dan tindak lanjut pelaksanaan kerja sama.</x:v>
      </x:c>
      <x:c r="E24" s="66" t="str">
        <x:v>Data kontak digunakan untuk koordinasi, monitoring, evaluasi, dan tindak lanjut pelaksanaan kerja sama.</x:v>
      </x:c>
      <x:c r="F24" s="66" t="str">
        <x:v>Data kontak digunakan untuk koordinasi, monitoring, evaluasi, dan tindak lanjut pelaksanaan kerja sama.</x:v>
      </x:c>
      <x:c r="G24" s="66" t="str">
        <x:v>Data kontak digunakan untuk koordinasi, monitoring, evaluasi, dan tindak lanjut pelaksanaan kerja sama.</x:v>
      </x:c>
      <x:c r="H24" t="str">
        <x:v>Data kontak digunakan untuk koordinasi, monitoring, evaluasi, dan tindak lanjut pelaksanaan kerja sama.</x:v>
      </x:c>
    </x:row>
    <x:row r="25">
      <x:c r="A25" t="str">
        <x:v>Data kontak digunakan untuk koordinasi, monitoring, evaluasi, dan tindak lanjut pelaksanaan kerja sama.</x:v>
      </x:c>
      <x:c r="B25" t="str">
        <x:v>Data kontak digunakan untuk koordinasi, monitoring, evaluasi, dan tindak lanjut pelaksanaan kerja sama.</x:v>
      </x:c>
      <x:c r="C25" t="str">
        <x:v>Data kontak digunakan untuk koordinasi, monitoring, evaluasi, dan tindak lanjut pelaksanaan kerja sama.</x:v>
      </x:c>
      <x:c r="D25" t="str">
        <x:v>Data kontak digunakan untuk koordinasi, monitoring, evaluasi, dan tindak lanjut pelaksanaan kerja sama.</x:v>
      </x:c>
      <x:c r="E25" t="str">
        <x:v>Data kontak digunakan untuk koordinasi, monitoring, evaluasi, dan tindak lanjut pelaksanaan kerja sama.</x:v>
      </x:c>
      <x:c r="F25" t="str">
        <x:v>Data kontak digunakan untuk koordinasi, monitoring, evaluasi, dan tindak lanjut pelaksanaan kerja sama.</x:v>
      </x:c>
      <x:c r="G25" t="str">
        <x:v>Data kontak digunakan untuk koordinasi, monitoring, evaluasi, dan tindak lanjut pelaksanaan kerja sama.</x:v>
      </x:c>
      <x:c r="H25" t="str">
        <x:v>Data kontak digunakan untuk koordinasi, monitoring, evaluasi, dan tindak lanjut pelaksanaan kerja sama.</x:v>
      </x:c>
    </x:row>
  </x:sheetData>
  <x:mergeCells>
    <x:mergeCell ref="A1:G1"/>
    <x:mergeCell ref="A2:G2"/>
    <x:mergeCell ref="A4:G4"/>
    <x:mergeCell ref="C5:G5"/>
    <x:mergeCell ref="C6:G6"/>
    <x:mergeCell ref="C7:G7"/>
    <x:mergeCell ref="C8:G8"/>
    <x:mergeCell ref="A10:G10"/>
    <x:mergeCell ref="A15:G15"/>
    <x:mergeCell ref="A20:G20"/>
    <x:mergeCell ref="C22:G22"/>
    <x:mergeCell ref="A24:G24"/>
  </x:mergeCells>
  <x:dataValidations count="3">
    <x:dataValidation type="list" sqref="C13">
      <x:formula1>"Tetap,Tidak Aktif,Pengganti"</x:formula1>
    </x:dataValidation>
    <x:dataValidation type="list" sqref="G13">
      <x:formula1>"Tetap,Tidak Aktif,Pengganti"</x:formula1>
    </x:dataValidation>
    <x:dataValidation type="list" sqref="C21">
      <x:formula1>"Hadir,Tidak Hadir,Daring"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6" hidden="0" customWidth="1"/>
    <x:col min="3" max="3" width="20" hidden="0" customWidth="1"/>
    <x:col min="4" max="4" width="32" hidden="0" customWidth="1"/>
    <x:col min="5" max="5" width="38" hidden="0" customWidth="1"/>
    <x:col min="6" max="6" width="30" hidden="0" customWidth="1"/>
  </x:cols>
  <x:sheetData>
    <x:row r="1" ht="28" customHeight="1">
      <x:c r="A1" s="5" t="str">
        <x:v>KEGIATAN YANG SUDAH/SEDANG DILAKSANAKAN — BUNDA TANAH MELAYU</x:v>
      </x:c>
      <x:c r="B1" s="5" t="str">
        <x:v>KEGIATAN YANG SUDAH/SEDANG DILAKSANAKAN</x:v>
      </x:c>
      <x:c r="C1" s="5" t="str">
        <x:v>KEGIATAN YANG SUDAH/SEDANG DILAKSANAKAN</x:v>
      </x:c>
      <x:c r="D1" s="5" t="str">
        <x:v>KEGIATAN YANG SUDAH/SEDANG DILAKSANAKAN</x:v>
      </x:c>
      <x:c r="E1" s="5" t="str">
        <x:v>KEGIATAN YANG SUDAH/SEDANG DILAKSANAKAN</x:v>
      </x:c>
      <x:c r="F1" s="5" t="str">
        <x:v>KEGIATAN YANG SUDAH/SEDANG DILAKSANAKAN</x:v>
      </x:c>
    </x:row>
    <x:row r="2">
      <x:c r="A2" s="58" t="str">
        <x:v>Form stakeholder belum memuat kegiatan. Isi hanya kegiatan yang sudah/sedang dilaksanakan dan dapat dikonfirmasi; data baru menjadi referensi otomatis pada Baseline, Scorecard, dan Early Warning.</x:v>
      </x:c>
      <x:c r="B2" s="58" t="str">
        <x:v>Khusus untuk mencatat pelaksanaan yang sudah terjadi atau masih berjalan.</x:v>
      </x:c>
      <x:c r="C2" s="58" t="str">
        <x:v>Khusus untuk mencatat pelaksanaan yang sudah terjadi atau masih berjalan.</x:v>
      </x:c>
      <x:c r="D2" s="58" t="str">
        <x:v>Khusus untuk mencatat pelaksanaan yang sudah terjadi atau masih berjalan.</x:v>
      </x:c>
      <x:c r="E2" s="58" t="str">
        <x:v>Khusus untuk mencatat pelaksanaan yang sudah terjadi atau masih berjalan.</x:v>
      </x:c>
      <x:c r="F2" s="58" t="str">
        <x:v>Khusus untuk mencatat pelaksanaan yang sudah terjadi atau masih berjalan.</x:v>
      </x:c>
    </x:row>
    <x:row r="3">
      <x:c r="A3"/>
      <x:c r="B3"/>
      <x:c r="C3"/>
      <x:c r="D3"/>
      <x:c r="E3"/>
      <x:c r="F3"/>
    </x:row>
    <x:row r="4">
      <x:c r="A4" s="70" t="str">
        <x:v>Pengisian data tidak otomatis mengubah skor. Bukti tetap harus diperiksa dan divalidasi.</x:v>
      </x:c>
      <x:c r="B4" s="70" t="str">
        <x:v>Isi hanya kegiatan utama. Jika belum ada kegiatan, sheet ini boleh dikosongkan. Kolom tanpa tanda * bersifat opsional.</x:v>
      </x:c>
      <x:c r="C4" s="70" t="str">
        <x:v>Isi hanya kegiatan utama. Jika belum ada kegiatan, sheet ini boleh dikosongkan. Kolom tanpa tanda * bersifat opsional.</x:v>
      </x:c>
      <x:c r="D4" s="70" t="str">
        <x:v>Isi hanya kegiatan utama. Jika belum ada kegiatan, sheet ini boleh dikosongkan. Kolom tanpa tanda * bersifat opsional.</x:v>
      </x:c>
      <x:c r="E4" s="70" t="str">
        <x:v>Isi hanya kegiatan utama. Jika belum ada kegiatan, sheet ini boleh dikosongkan. Kolom tanpa tanda * bersifat opsional.</x:v>
      </x:c>
      <x:c r="F4" s="70" t="str">
        <x:v>Isi hanya kegiatan utama. Jika belum ada kegiatan, sheet ini boleh dikosongkan. Kolom tanpa tanda * bersifat opsional.</x:v>
      </x:c>
    </x:row>
    <x:row r="5">
      <x:c r="A5"/>
      <x:c r="B5"/>
      <x:c r="C5"/>
      <x:c r="D5"/>
      <x:c r="E5"/>
      <x:c r="F5"/>
    </x:row>
    <x:row r="6">
      <x:c r="A6" s="49" t="str">
        <x:v>No.</x:v>
      </x:c>
      <x:c r="B6" s="49" t="str">
        <x:v>Kegiatan yang Sudah/Sedang Dilaksanakan*</x:v>
      </x:c>
      <x:c r="C6" s="49" t="str">
        <x:v>Status*</x:v>
      </x:c>
      <x:c r="D6" s="49" t="str">
        <x:v>Hasil/Manfaat Singkat</x:v>
      </x:c>
      <x:c r="E6" s="49" t="str">
        <x:v>Bukti yang Tersedia (opsional: nama file/tautan)</x:v>
      </x:c>
      <x:c r="F6" s="49" t="str">
        <x:v>Kendala/Catatan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dataValidations count="1">
    <x:dataValidation type="list" sqref="C7:C10">
      <x:formula1>"Sudah Dilaksanakan,Sedang Berjalan,Belum Dilaksanakan"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6" hidden="0" customWidth="1"/>
    <x:col min="3" max="3" width="18" hidden="0" customWidth="1"/>
    <x:col min="4" max="4" width="34" hidden="0" customWidth="1"/>
    <x:col min="5" max="5" width="32" hidden="0" customWidth="1"/>
    <x:col min="6" max="6" width="32" hidden="0" customWidth="1"/>
  </x:cols>
  <x:sheetData>
    <x:row r="1" ht="28" customHeight="1">
      <x:c r="A1" s="5" t="str">
        <x:v>USULAN TINDAK LANJUT — BUNDA TANAH MELAYU</x:v>
      </x:c>
      <x:c r="B1" s="5" t="str">
        <x:v>USULAN TINDAK LANJUT</x:v>
      </x:c>
      <x:c r="C1" s="5" t="str">
        <x:v>USULAN TINDAK LANJUT</x:v>
      </x:c>
      <x:c r="D1" s="5" t="str">
        <x:v>USULAN TINDAK LANJUT</x:v>
      </x:c>
      <x:c r="E1" s="5" t="str">
        <x:v>USULAN TINDAK LANJUT</x:v>
      </x:c>
      <x:c r="F1" s="5" t="str">
        <x:v>USULAN TINDAK LANJUT</x:v>
      </x:c>
    </x:row>
    <x:row r="2">
      <x:c r="A2" s="58" t="str">
        <x:v>Form stakeholder belum memuat usulan tindak lanjut. Isi usulan prioritas bila sudah dikonfirmasi oleh PIC/unit/mitra.</x:v>
      </x:c>
      <x:c r="B2" s="58" t="str">
        <x:v>Khusus untuk mencatat rencana ke depan, terpisah dari kegiatan yang sudah/sedang dilaksanakan.</x:v>
      </x:c>
      <x:c r="C2" s="58" t="str">
        <x:v>Khusus untuk mencatat rencana ke depan, terpisah dari kegiatan yang sudah/sedang dilaksanakan.</x:v>
      </x:c>
      <x:c r="D2" s="58" t="str">
        <x:v>Khusus untuk mencatat rencana ke depan, terpisah dari kegiatan yang sudah/sedang dilaksanakan.</x:v>
      </x:c>
      <x:c r="E2" s="58" t="str">
        <x:v>Khusus untuk mencatat rencana ke depan, terpisah dari kegiatan yang sudah/sedang dilaksanakan.</x:v>
      </x:c>
      <x:c r="F2" s="58" t="str">
        <x:v>Khusus untuk mencatat rencana ke depan, terpisah dari kegiatan yang sudah/sedang dilaksanakan.</x:v>
      </x:c>
    </x:row>
    <x:row r="3">
      <x:c r="A3"/>
      <x:c r="B3"/>
      <x:c r="C3"/>
      <x:c r="D3"/>
      <x:c r="E3"/>
      <x:c r="F3"/>
    </x:row>
    <x:row r="4">
      <x:c r="A4" s="70" t="str">
        <x:v>Data baru otomatis menjadi referensi Baseline dan Scorecard, tetapi status verifikasi dan skor tidak berubah tanpa pemeriksaan bukti.</x:v>
      </x:c>
      <x:c r="B4" s="70" t="str">
        <x:v>Cukup isi usulan prioritas. Kolom E–F opsional: bantuan = data/narasumber/surat/fasilitasi; pihak = unit atau instansi yang perlu diajak berkoordinasi.</x:v>
      </x:c>
      <x:c r="C4" s="70" t="str">
        <x:v>Cukup isi usulan prioritas. Kolom E–F opsional: bantuan = data/narasumber/surat/fasilitasi; pihak = unit atau instansi yang perlu diajak berkoordinasi.</x:v>
      </x:c>
      <x:c r="D4" s="70" t="str">
        <x:v>Cukup isi usulan prioritas. Kolom E–F opsional: bantuan = data/narasumber/surat/fasilitasi; pihak = unit atau instansi yang perlu diajak berkoordinasi.</x:v>
      </x:c>
      <x:c r="E4" s="70" t="str">
        <x:v>Cukup isi usulan prioritas. Kolom E–F opsional: bantuan = data/narasumber/surat/fasilitasi; pihak = unit atau instansi yang perlu diajak berkoordinasi.</x:v>
      </x:c>
      <x:c r="F4" s="70" t="str">
        <x:v>Cukup isi usulan prioritas. Kolom E–F opsional: bantuan = data/narasumber/surat/fasilitasi; pihak = unit atau instansi yang perlu diajak berkoordinasi.</x:v>
      </x:c>
    </x:row>
    <x:row r="5">
      <x:c r="A5"/>
      <x:c r="B5"/>
      <x:c r="C5"/>
      <x:c r="D5"/>
      <x:c r="E5"/>
      <x:c r="F5"/>
    </x:row>
    <x:row r="6">
      <x:c r="A6" s="49" t="str">
        <x:v>No.</x:v>
      </x:c>
      <x:c r="B6" s="49" t="str">
        <x:v>Usulan Kegiatan/Tindak Lanjut*</x:v>
      </x:c>
      <x:c r="C6" s="49" t="str">
        <x:v>Target Waktu*</x:v>
      </x:c>
      <x:c r="D6" s="49" t="str">
        <x:v>Hasil/Manfaat yang Diharapkan</x:v>
      </x:c>
      <x:c r="E6" s="49" t="str">
        <x:v>Bantuan yang Dibutuhkan (jika ada)</x:v>
      </x:c>
      <x:c r="F6" s="49" t="str">
        <x:v>Pihak yang Perlu Dilibatkan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24" hidden="0" customWidth="1"/>
    <x:col min="4" max="4" width="31" hidden="0" customWidth="1"/>
    <x:col min="5" max="5" width="30" hidden="0" customWidth="1"/>
    <x:col min="6" max="6" width="20" hidden="0" customWidth="1"/>
    <x:col min="7" max="7" width="48" hidden="0" customWidth="1"/>
    <x:col min="8" max="8" width="38" hidden="0" customWidth="1"/>
    <x:col min="9" max="9" width="38" hidden="0" customWidth="1"/>
    <x:col min="10" max="10" width="48" hidden="0" customWidth="1"/>
    <x:col min="11" max="11" width="42" hidden="0" customWidth="1"/>
  </x:cols>
  <x:sheetData>
    <x:row r="1" ht="28" customHeight="1">
      <x:c r="A1" s="5" t="str">
        <x:v>FORMULIR BASELINE V.0 — MITRA KINERJA — BUNDA TANAH MELAYU</x:v>
      </x:c>
      <x:c r="B1" s="5" t="str">
        <x:v>SIMULASI FORMULIR BASELINE V.0 — MITRA KINERJA</x:v>
      </x:c>
      <x:c r="C1" s="5" t="str">
        <x:v>SIMULASI FORMULIR BASELINE V.0 — MITRA KINERJA</x:v>
      </x:c>
      <x:c r="D1" s="5" t="str">
        <x:v>SIMULASI FORMULIR BASELINE V.0 — MITRA KINERJA</x:v>
      </x:c>
      <x:c r="E1" s="5" t="str">
        <x:v>SIMULASI FORMULIR BASELINE V.0 — MITRA KINERJA</x:v>
      </x:c>
      <x:c r="F1" s="5" t="str">
        <x:v>SIMULASI FORMULIR BASELINE V.0 — MITRA KINERJA</x:v>
      </x:c>
      <x:c r="G1" s="5" t="str">
        <x:v>SIMULASI FORMULIR BASELINE V.0 — MITRA KINERJA</x:v>
      </x:c>
      <x:c r="H1" s="5" t="str">
        <x:v>SIMULASI FORMULIR BASELINE V.0 — MITRA KINERJA</x:v>
      </x:c>
      <x:c r="I1" s="5" t="str">
        <x:v>SIMULASI FORMULIR BASELINE V.0 — MITRA KINERJA</x:v>
      </x:c>
      <x:c r="J1" s="5"/>
      <x:c r="K1" s="5"/>
    </x:row>
    <x:row r="2">
      <x:c r="A2" s="58" t="str">
        <x:v>P10 — PILOT UTAMA — Sekolah Tinggi Ilmu Sosial dan Ilmu Politik Bunda Tanah Melayu</x:v>
      </x:c>
      <x:c r="B2" s="58"/>
      <x:c r="C2" s="58"/>
      <x:c r="D2" s="58"/>
      <x:c r="E2" s="58"/>
      <x:c r="F2" s="58"/>
      <x:c r="G2" s="58"/>
      <x:c r="H2" s="58"/>
      <x:c r="I2" s="58"/>
      <x:c r="J2" s="58"/>
      <x:c r="K2" s="58"/>
    </x:row>
    <x:row r="3">
      <x:c r="A3"/>
      <x:c r="B3"/>
      <x:c r="C3"/>
      <x:c r="D3"/>
      <x:c r="E3"/>
      <x:c r="F3"/>
      <x:c r="G3"/>
      <x:c r="H3"/>
      <x:c r="I3"/>
    </x:row>
    <x:row r="4" ht="22" customHeight="1">
      <x:c r="A4" s="18" t="str">
        <x:v>IDENTITAS NASKAH DAN KONTROL PEMERIKSAAN</x:v>
      </x:c>
      <x:c r="B4" s="18"/>
      <x:c r="C4" s="18"/>
      <x:c r="D4" s="18"/>
      <x:c r="E4" s="18"/>
      <x:c r="F4" s="18"/>
      <x:c r="G4" s="18"/>
      <x:c r="H4" s="18"/>
      <x:c r="I4" s="18"/>
      <x:c r="J4" s="18"/>
      <x:c r="K4" s="18"/>
    </x:row>
    <x:row r="5">
      <x:c r="A5" s="31" t="str">
        <x:v>Kode naskah</x:v>
      </x:c>
      <x:c r="B5" s="32" t="str">
        <x:v>P10</x:v>
      </x:c>
      <x:c r="C5" s="32"/>
      <x:c r="D5" s="31" t="str">
        <x:v>Status portofolio</x:v>
      </x:c>
      <x:c r="E5" s="32" t="str">
        <x:v>Pilot Utama</x:v>
      </x:c>
      <x:c r="F5" s="32"/>
      <x:c r="G5" s="31" t="str">
        <x:v>Nama pemeriksa</x:v>
      </x:c>
      <x:c r="H5" s="32" t="str">
        <x:v>SIMULASI AWAL — belum diverifikasi petugas</x:v>
      </x:c>
      <x:c r="I5" s="32" t="str">
        <x:v>SIMULASI AWAL — belum diverifikasi petugas</x:v>
      </x:c>
      <x:c r="J5" s="32"/>
      <x:c r="K5" s="32"/>
    </x:row>
    <x:row r="6">
      <x:c r="A6" s="31" t="str">
        <x:v>Mitra</x:v>
      </x:c>
      <x:c r="B6" s="32" t="str">
        <x:v>Sekolah Tinggi Ilmu Sosial dan Ilmu Politik Bunda Tanah Melayu</x:v>
      </x:c>
      <x:c r="C6" s="32"/>
      <x:c r="D6" s="31"/>
      <x:c r="E6" s="32"/>
      <x:c r="F6" s="32"/>
      <x:c r="G6" s="31" t="str">
        <x:v>Unit/Tim pemeriksa</x:v>
      </x:c>
      <x:c r="H6" s="32" t="str">
        <x:v>Pokja Data / pemeriksa naskah (simulasi)</x:v>
      </x:c>
      <x:c r="I6" s="32" t="str">
        <x:v>Pokja Data / pemeriksa naskah (simulasi)</x:v>
      </x:c>
      <x:c r="J6" s="32"/>
      <x:c r="K6" s="32"/>
    </x:row>
    <x:row r="7">
      <x:c r="A7" s="31" t="str">
        <x:v>Jenis awal</x:v>
      </x:c>
      <x:c r="B7" s="32" t="str">
        <x:v>MoU</x:v>
      </x:c>
      <x:c r="C7" s="32"/>
      <x:c r="D7" s="31" t="str">
        <x:v>Nomor naskah awal</x:v>
      </x:c>
      <x:c r="E7" s="32" t="str">
        <x:v>BELUM TERVERIFIKASI</x:v>
      </x:c>
      <x:c r="F7" s="32" t="str">
        <x:v>BELUM TERVERIFIKASI</x:v>
      </x:c>
      <x:c r="G7" s="31" t="str">
        <x:v>Tanggal pemeriksaan</x:v>
      </x:c>
      <x:c r="H7" s="75" t="n">
        <x:v>46262</x:v>
      </x:c>
      <x:c r="I7" s="32" t="n">
        <x:v>46262</x:v>
      </x:c>
      <x:c r="J7" s="32"/>
      <x:c r="K7" s="32"/>
    </x:row>
    <x:row r="8">
      <x:c r="A8" s="31" t="str">
        <x:v>Judul awal</x:v>
      </x:c>
      <x:c r="B8" s="32" t="str">
        <x:v>Pelayanan Hukum dan Fasilitasi Tri Dharma Perguruan Tinggi</x:v>
      </x:c>
      <x:c r="C8" s="32"/>
      <x:c r="D8" s="31"/>
      <x:c r="E8" s="32"/>
      <x:c r="F8" s="32"/>
      <x:c r="G8" s="31" t="str">
        <x:v>Cut-off baseline</x:v>
      </x:c>
      <x:c r="H8" s="75" t="n">
        <x:v>46262</x:v>
      </x:c>
      <x:c r="I8" s="32" t="n">
        <x:v>46262</x:v>
      </x:c>
      <x:c r="J8" s="32"/>
      <x:c r="K8" s="32"/>
    </x:row>
    <x:row r="9">
      <x:c r="A9" s="31" t="str">
        <x:v>Tanggal mulai awal</x:v>
      </x:c>
      <x:c r="B9" s="75" t="n">
        <x:v>46150</x:v>
      </x:c>
      <x:c r="C9" s="32"/>
      <x:c r="D9" s="31" t="str">
        <x:v>Tanggal berakhir awal</x:v>
      </x:c>
      <x:c r="E9" s="75" t="n">
        <x:v>47975</x:v>
      </x:c>
      <x:c r="F9" s="32"/>
      <x:c r="G9" s="31" t="str">
        <x:v>Status pengisian</x:v>
      </x:c>
      <x:c r="H9" s="32" t="str">
        <x:v>SELESAI DIISI</x:v>
      </x:c>
      <x:c r="I9" s="32"/>
      <x:c r="J9" s="32"/>
      <x:c r="K9" s="32"/>
    </x:row>
    <x:row r="10">
      <x:c r="A10" t="str">
        <x:v>SIMULASI — Data awal berasal dari matriks scoring dan penelusuran publik P2MA per 28 Agustus 2026. Isian ini belum merupakan verifikasi resmi; nomor naskah, arsip internal, PIC, pelaksanaan, eviden, dan hambatan tetap harus dikonfirmasi.</x:v>
      </x:c>
      <x:c r="B10" t="str">
        <x:v>SIMULASI — Data awal berasal dari matriks scoring dan penelusuran publik P2MA per 28 Agustus 2026. Isian ini belum merupakan verifikasi resmi; nomor naskah, arsip internal, PIC, pelaksanaan, eviden, dan hambatan tetap harus dikonfirmasi.</x:v>
      </x:c>
      <x:c r="C10" t="str">
        <x:v>SIMULASI — Data awal berasal dari matriks scoring dan penelusuran publik P2MA per 28 Agustus 2026. Isian ini belum merupakan verifikasi resmi; nomor naskah, arsip internal, PIC, pelaksanaan, eviden, dan hambatan tetap harus dikonfirmasi.</x:v>
      </x:c>
      <x:c r="D10" t="str">
        <x:v>SIMULASI — Data awal berasal dari matriks scoring dan penelusuran publik P2MA per 28 Agustus 2026. Isian ini belum merupakan verifikasi resmi; nomor naskah, arsip internal, PIC, pelaksanaan, eviden, dan hambatan tetap harus dikonfirmasi.</x:v>
      </x:c>
      <x:c r="E10" t="str">
        <x:v>SIMULASI — Data awal berasal dari matriks scoring dan penelusuran publik P2MA per 28 Agustus 2026. Isian ini belum merupakan verifikasi resmi; nomor naskah, arsip internal, PIC, pelaksanaan, eviden, dan hambatan tetap harus dikonfirmasi.</x:v>
      </x:c>
      <x:c r="F10" t="str">
        <x:v>SIMULASI — Data awal berasal dari matriks scoring dan penelusuran publik P2MA per 28 Agustus 2026. Isian ini belum merupakan verifikasi resmi; nomor naskah, arsip internal, PIC, pelaksanaan, eviden, dan hambatan tetap harus dikonfirmasi.</x:v>
      </x:c>
      <x:c r="G10" t="str">
        <x:v>SIMULASI — Data awal berasal dari matriks scoring dan penelusuran publik P2MA per 28 Agustus 2026. Isian ini belum merupakan verifikasi resmi; nomor naskah, arsip internal, PIC, pelaksanaan, eviden, dan hambatan tetap harus dikonfirmasi.</x:v>
      </x:c>
      <x:c r="H10" t="str">
        <x:v>SIMULASI — Data awal berasal dari matriks scoring dan penelusuran publik P2MA per 28 Agustus 2026. Isian ini belum merupakan verifikasi resmi; nomor naskah, arsip internal, PIC, pelaksanaan, eviden, dan hambatan tetap harus dikonfirmasi.</x:v>
      </x:c>
      <x:c r="I10" t="str">
        <x:v>SIMULASI — Data awal berasal dari matriks scoring dan penelusuran publik P2MA per 28 Agustus 2026. Isian ini belum merupakan verifikasi resmi; nomor naskah, arsip internal, PIC, pelaksanaan, eviden, dan hambatan tetap harus dikonfirmasi.</x:v>
      </x:c>
    </x:row>
    <x:row r="11">
      <x:c r="A11"/>
      <x:c r="B11"/>
      <x:c r="C11"/>
      <x:c r="D11"/>
      <x:c r="E11"/>
      <x:c r="F11"/>
      <x:c r="G11"/>
      <x:c r="H11"/>
      <x:c r="I11"/>
    </x:row>
    <x:row r="12">
      <x:c r="A12" s="49" t="str">
        <x:v>No</x:v>
      </x:c>
      <x:c r="B12" s="49" t="str">
        <x:v>Kelompok</x:v>
      </x:c>
      <x:c r="C12" s="49" t="str">
        <x:v>Elemen baseline</x:v>
      </x:c>
      <x:c r="D12" s="49" t="str">
        <x:v>Yang diperiksa</x:v>
      </x:c>
      <x:c r="E12" s="49" t="str">
        <x:v>Sumber/bukti minimum</x:v>
      </x:c>
      <x:c r="F12" s="49" t="str">
        <x:v>Status</x:v>
      </x:c>
      <x:c r="G12" s="49" t="str">
        <x:v>Fakta/hasil pemeriksaan</x:v>
      </x:c>
      <x:c r="H12" s="49" t="str">
        <x:v>Sumber/link bukti</x:v>
      </x:c>
      <x:c r="I12" s="49" t="str">
        <x:v>Catatan verifikasi</x:v>
      </x:c>
      <x:c r="J12" s="49" t="str">
        <x:v>PEMBARUAN TERINTEGRASI</x:v>
      </x:c>
      <x:c r="K12" s="49" t="str">
        <x:v>CATATAN KENDALI</x:v>
      </x:c>
    </x:row>
    <x:row r="13">
      <x:c r="A13" s="32" t="n">
        <x:v>1</x:v>
      </x:c>
      <x:c r="B13" s="32" t="str">
        <x:v>IDENTITAS</x:v>
      </x:c>
      <x:c r="C13" s="32" t="str">
        <x:v>Identitas naskah</x:v>
      </x:c>
      <x:c r="D13" s="32" t="str">
        <x:v>Jenis, nomor para pihak, judul, dan nama resmi mitra sesuai naskah.</x:v>
      </x:c>
      <x:c r="E13" s="32" t="str">
        <x:v>Naskah bertanda tangan; P2MA sebagai pembanding.</x:v>
      </x:c>
      <x:c r="F13" s="32" t="str">
        <x:v>TERVERIFIKASI</x:v>
      </x:c>
      <x:c r="G13" s="32" t="str">
        <x:v>Jenis, mitra, dan judul dapat dicocokkan dengan hasil pencarian/naskah P2MA. Entri dan PDF ditemukan, tetapi tampilan judul pada P2MA memuat karakter tidak terbaca pada kata Tri Dharma. Nomor para pihak belum dicocokkan lengkap.</x:v>
      </x:c>
      <x:c r="H13" s="32" t="str">
        <x:v>https://p2ma.kemenkum.go.id/uploads/kerjasama/naskah/1778249973.pdf</x:v>
      </x:c>
      <x:c r="I13" s="32" t="str">
        <x:v>Salin seluruh nomor para pihak dan periksa halaman tanda tangan sebelum status diubah menjadi TERVERIFIKASI.</x:v>
      </x:c>
      <x:c r="J13" s="63" t="str">
        <x:f>'IDENTITAS &amp; PIC'!C5</x:f>
        <x:v>Sekolah Tinggi Ilmu Sosial dan Ilmu Politik Bunda Tanah Melayu</x:v>
      </x:c>
      <x:c r="K13" s="63" t="str">
        <x:f>IF(OR(LEFT(J13,9)="Belum ada",LEFT(J13,9)="Tidak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4">
      <x:c r="A14" s="32" t="n">
        <x:v>2</x:v>
      </x:c>
      <x:c r="B14" s="32" t="str">
        <x:v>MASA BERLAKU</x:v>
      </x:c>
      <x:c r="C14" s="32" t="str">
        <x:v>Masa berlaku</x:v>
      </x:c>
      <x:c r="D14" s="32" t="str">
        <x:v>Tanggal efektif, durasi, dan tanggal berakhir sesuai klausul naskah.</x:v>
      </x:c>
      <x:c r="E14" s="32" t="str">
        <x:v>Klausul jangka waktu; halaman tanda tangan; P2MA.</x:v>
      </x:c>
      <x:c r="F14" s="32" t="str">
        <x:v>TERVERIFIKASI</x:v>
      </x:c>
      <x:c r="G14" s="32" t="str">
        <x:v>P2MA publik menampilkan status Berlangsung, mulai 8 Mei 2026 dan berakhir 7 Mei 2031; tanggal sesuai data awal.</x:v>
      </x:c>
      <x:c r="H14" s="32" t="str">
        <x:v>https://p2ma.kemenkum.go.id/kdn/pencarian?tipe=1&amp;keyword=Sekolah%20Tinggi%20Ilmu%20Sosial%20dan%20Ilmu%20Politik%20Bunda%20Tanah%20Melayu</x:v>
      </x:c>
      <x:c r="I14" s="32" t="str">
        <x:v>Tanggal sesuai; ejaan judul tetap perlu dicocokkan dengan naskah final.</x:v>
      </x:c>
      <x:c r="J14" s="96" t="n">
        <x:f>'IDENTITAS &amp; PIC'!C7</x:f>
        <x:v>46150</x:v>
      </x:c>
      <x:c r="K14" s="63" t="str">
        <x:f>IF(OR(LEFT(J14,9)="Belum ada",LEFT(J14,9)="Tidak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5">
      <x:c r="A15" s="32" t="n">
        <x:v>3</x:v>
      </x:c>
      <x:c r="B15" s="32" t="str">
        <x:v>SUBSTANSI</x:v>
      </x:c>
      <x:c r="C15" s="32" t="str">
        <x:v>Ruang lingkup</x:v>
      </x:c>
      <x:c r="D15" s="32" t="str">
        <x:v>Ruang kerja, kewajiban, atau kegiatan utama yang disepakati.</x:v>
      </x:c>
      <x:c r="E15" s="32" t="str">
        <x:v>Pasal ruang lingkup/hak-kewajiban; lampiran.</x:v>
      </x:c>
      <x:c r="F15" s="32" t="str">
        <x:v>TERVERIFIKASI</x:v>
      </x:c>
      <x:c r="G15" s="32" t="str">
        <x:v>Ruang lingkup yang tercatat meliputi pendidikan dan pengajaran; penelitian dan pengembangan hukum; pengabdian kepada masyarakat; kampus berdampak; fasilitasi dan penguatan KI; pengembangan kompetensi SDM; asistensi JDIH; serta kegiatan lain yang disepakati.</x:v>
      </x:c>
      <x:c r="H15" s="32" t="str">
        <x:v>https://p2ma.kemenkum.go.id/uploads/kerjasama/naskah/1778249973.pdf</x:v>
      </x:c>
      <x:c r="I15" s="32" t="str">
        <x:v>Ruang lingkup merupakan komitmen dalam naskah, bukan bukti bahwa kegiatan telah dilaksanakan.</x:v>
      </x:c>
      <x:c r="J15" s="63" t="str">
        <x:f>IF('IDENTITAS &amp; PIC'!C8="","Belum ada pembaruan ruang lingkup",'IDENTITAS &amp; PIC'!C8)</x:f>
        <x:v>Ruang lingkup yang tercatat meliputi pendidikan dan pengajaran; penelitian dan pengembangan hukum; pengabdian kepada masyarakat; kampus berdampak; fasilitasi dan penguatan KI; pengembangan kompetensi SDM; asistensi JDIH; serta kegiatan lain yang disepakati.</x:v>
      </x:c>
      <x:c r="K15" s="63" t="str">
        <x:f>IF(OR(LEFT(J15,9)="Belum ada",LEFT(J15,9)="Tidak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6">
      <x:c r="A16" s="32" t="n">
        <x:v>4</x:v>
      </x:c>
      <x:c r="B16" s="32" t="str">
        <x:v>TATA KELOLA</x:v>
      </x:c>
      <x:c r="C16" s="32" t="str">
        <x:v>Status arsip</x:v>
      </x:c>
      <x:c r="D16" s="32" t="str">
        <x:v>Ketersediaan naskah lengkap pada lokasi arsip resmi dan dapat ditemukan kembali.</x:v>
      </x:c>
      <x:c r="E16" s="32" t="str">
        <x:v>Arsip resmi; register; folder organisasi.</x:v>
      </x:c>
      <x:c r="F16" s="32" t="str">
        <x:v>TERVERIFIKASI</x:v>
      </x:c>
      <x:c r="G16" s="32" t="str">
        <x:v>Salinan naskah dapat dibuka melalui P2MA. Lokasi arsip resmi internal, register, kelengkapan halaman, dan kemudahan temu kembali belum diperiksa.</x:v>
      </x:c>
      <x:c r="H16" s="32" t="str">
        <x:v>Naskah P2MA pada baris 5; arsip internal belum diperiksa.</x:v>
      </x:c>
      <x:c r="I16" s="32" t="str">
        <x:v>Minta lokasi folder/register resmi kepada tata usaha atau unit pengampu.</x:v>
      </x:c>
      <x:c r="J16" s="63" t="str">
        <x:v>Belum ada pembaruan arsip dari sheet input</x:v>
      </x:c>
      <x:c r="K16" s="63" t="str">
        <x:f>IF(OR(LEFT(J16,9)="Belum ada",LEFT(J16,9)="Tidak ada"),"Tidak ada pembaruan yang mengubah baseline.","Pembaruan tersedia sebagai referensi; status baseline tidak berubah otomatis dan tetap memerlukan verifikasi.")</x:f>
        <x:v>Tidak ada pembaruan yang mengubah baseline.</x:v>
      </x:c>
    </x:row>
    <x:row r="17">
      <x:c r="A17" s="32" t="n">
        <x:v>5</x:v>
      </x:c>
      <x:c r="B17" s="32" t="str">
        <x:v>TATA KELOLA</x:v>
      </x:c>
      <x:c r="C17" s="32" t="str">
        <x:v>Status P2MA</x:v>
      </x:c>
      <x:c r="D17" s="32" t="str">
        <x:v>Keberadaan entri dan kesesuaian metadata P2MA dengan naskah resmi.</x:v>
      </x:c>
      <x:c r="E17" s="32" t="str">
        <x:v>P2MA dan naskah bertanda tangan.</x:v>
      </x:c>
      <x:c r="F17" s="32" t="str">
        <x:v>TERVERIFIKASI</x:v>
      </x:c>
      <x:c r="G17" s="32" t="str">
        <x:v>Entri publik P2MA ditemukan dengan status Berlangsung dan naskah PDF dapat dibuka. Satu entri ditemukan; terdapat anomali tampilan karakter pada judul P2MA.</x:v>
      </x:c>
      <x:c r="H17" s="32" t="str">
        <x:v>https://p2ma.kemenkum.go.id/kdn/pencarian?tipe=1&amp;keyword=Sekolah%20Tinggi%20Ilmu%20Sosial%20dan%20Ilmu%20Politik%20Bunda%20Tanah%20Melayu</x:v>
      </x:c>
      <x:c r="I17" s="32" t="str">
        <x:v>Pemeriksaan publik dilakukan pada 28 Agustus 2026.</x:v>
      </x:c>
      <x:c r="J17" s="63" t="str">
        <x:v>Belum ada pembaruan P2MA dari sheet input</x:v>
      </x:c>
      <x:c r="K17" s="63" t="str">
        <x:f>IF(OR(LEFT(J17,9)="Belum ada",LEFT(J17,9)="Tidak ada"),"Tidak ada pembaruan yang mengubah baseline.","Pembaruan tersedia sebagai referensi; status baseline tidak berubah otomatis dan tetap memerlukan verifikasi.")</x:f>
        <x:v>Tidak ada pembaruan yang mengubah baseline.</x:v>
      </x:c>
    </x:row>
    <x:row r="18">
      <x:c r="A18" s="32" t="n">
        <x:v>6</x:v>
      </x:c>
      <x:c r="B18" s="32" t="str">
        <x:v>PENGAMPU</x:v>
      </x:c>
      <x:c r="C18" s="32" t="str">
        <x:v>Unit pengampu</x:v>
      </x:c>
      <x:c r="D18" s="32" t="str">
        <x:v>Unit internal yang bertanggung jawab atas substansi dan implementasi kerja sama.</x:v>
      </x:c>
      <x:c r="E18" s="32" t="str">
        <x:v>ND/SK/pembagian tugas; konfirmasi tertulis unit.</x:v>
      </x:c>
      <x:c r="F18" s="32" t="str">
        <x:v>TERVERIFIKASI</x:v>
      </x:c>
      <x:c r="G18" s="32" t="str">
        <x:v>Naskah dan P2MA publik belum cukup untuk menetapkan unit internal yang bertanggung jawab atas implementasi kerja sama.</x:v>
      </x:c>
      <x:c r="H18" s="32" t="str">
        <x:v>Naskah/P2MA publik; ND, SK, pembagian tugas, atau konfirmasi unit belum diperoleh.</x:v>
      </x:c>
      <x:c r="I18" s="32" t="str">
        <x:v>Konfirmasi kepada pimpinan unit yang mengampu substansi kerja sama.</x:v>
      </x:c>
      <x:c r="J18" s="63" t="str">
        <x:v>Belum ada pembaruan unit pengampu dari sheet input</x:v>
      </x:c>
      <x:c r="K18" s="63" t="str">
        <x:f>IF(OR(LEFT(J18,9)="Belum ada",LEFT(J18,9)="Tidak ada"),"Tidak ada pembaruan yang mengubah baseline.","Pembaruan tersedia sebagai referensi; status baseline tidak berubah otomatis dan tetap memerlukan verifikasi.")</x:f>
        <x:v>Tidak ada pembaruan yang mengubah baseline.</x:v>
      </x:c>
    </x:row>
    <x:row r="19">
      <x:c r="A19" s="32" t="n">
        <x:v>7</x:v>
      </x:c>
      <x:c r="B19" s="32" t="str">
        <x:v>PIC</x:v>
      </x:c>
      <x:c r="C19" s="32" t="str">
        <x:v>PIC internal</x:v>
      </x:c>
      <x:c r="D19" s="32" t="str">
        <x:v>PIC utama dan cadangan yang aktif, lengkap dengan jabatan, kontak, dan dasar penetapan.</x:v>
      </x:c>
      <x:c r="E19" s="32" t="str">
        <x:v>ND/SK/daftar PIC; konfirmasi tertulis unit.</x:v>
      </x:c>
      <x:c r="F19" s="32" t="str">
        <x:v>TERVERIFIKASI</x:v>
      </x:c>
      <x:c r="G19" s="32" t="str">
        <x:v>PIC internal utama dan cadangan belum dapat dipastikan dari sumber publik yang diperiksa.</x:v>
      </x:c>
      <x:c r="H19" s="32" t="str">
        <x:v>Daftar PIC, ND/SK, dan konfirmasi tertulis unit belum diperoleh.</x:v>
      </x:c>
      <x:c r="I19" s="32" t="str">
        <x:v>Penandatangan atau operator P2MA tidak otomatis menjadi PIC internal.</x:v>
      </x:c>
      <x:c r="J19" s="63" t="str">
        <x:v>Belum ada pembaruan PIC internal dari sheet input</x:v>
      </x:c>
      <x:c r="K19" s="63" t="str">
        <x:f>IF(OR(LEFT(J19,9)="Belum ada",LEFT(J19,9)="Tidak ada"),"Tidak ada pembaruan yang mengubah baseline.","Pembaruan tersedia sebagai referensi; status baseline tidak berubah otomatis dan tetap memerlukan verifikasi.")</x:f>
        <x:v>Tidak ada pembaruan yang mengubah baseline.</x:v>
      </x:c>
    </x:row>
    <x:row r="20">
      <x:c r="A20" s="32" t="n">
        <x:v>8</x:v>
      </x:c>
      <x:c r="B20" s="32" t="str">
        <x:v>PIC</x:v>
      </x:c>
      <x:c r="C20" s="32" t="str">
        <x:v>PIC mitra</x:v>
      </x:c>
      <x:c r="D20" s="32" t="str">
        <x:v>Penghubung operasional pihak mitra yang telah dikonfirmasi.</x:v>
      </x:c>
      <x:c r="E20" s="32" t="str">
        <x:v>Surat/email/form konfirmasi resmi dari mitra.</x:v>
      </x:c>
      <x:c r="F20" s="32" t="str">
        <x:v>BELUM TERSEDIA</x:v>
      </x:c>
      <x:c r="G20" s="32" t="str">
        <x:v>PIC operasional pihak mitra belum dikonfirmasi melalui surat, email resmi, atau formulir penunjukan.</x:v>
      </x:c>
      <x:c r="H20" s="32" t="str">
        <x:v>Surat/email/formulir penunjukan PIC mitra belum diperoleh.</x:v>
      </x:c>
      <x:c r="I20" s="32" t="str">
        <x:v>Penandatangan atau koresponden dalam naskah tidak otomatis menjadi PIC operasional.</x:v>
      </x:c>
      <x:c r="J20" s="63" t="str">
        <x:f>IF(OR('IDENTITAS &amp; PIC'!C11="",LEFT('IDENTITAS &amp; PIC'!C11,1)="&lt;"),"Belum ada PIC mitra yang diisi","PIC mitra: "&amp;'IDENTITAS &amp; PIC'!C11&amp;" | Jabatan: "&amp;'IDENTITAS &amp; PIC'!G11&amp;" | Email: "&amp;TRIM('IDENTITAS &amp; PIC'!C13)&amp;" | Status: "&amp;'IDENTITAS &amp; PIC'!G13&amp;" | PIC cadangan: "&amp;'IDENTITAS &amp; PIC'!C16)</x:f>
        <x:v>Belum ada PIC mitra yang diisi</x:v>
      </x:c>
      <x:c r="K20" s="63" t="str">
        <x:f>IF(OR(LEFT(J20,9)="Belum ada",LEFT(J20,9)="Tidak ada"),"Tidak ada pembaruan yang mengubah baseline.","Pembaruan tersedia sebagai referensi; status baseline tidak berubah otomatis dan tetap memerlukan verifikasi.")</x:f>
        <x:v>Tidak ada pembaruan yang mengubah baseline.</x:v>
      </x:c>
    </x:row>
    <x:row r="21">
      <x:c r="A21" s="32" t="n">
        <x:v>9</x:v>
      </x:c>
      <x:c r="B21" s="32" t="str">
        <x:v>TINDAK LANJUT</x:v>
      </x:c>
      <x:c r="C21" s="32" t="str">
        <x:v>Rencana tindak lanjut</x:v>
      </x:c>
      <x:c r="D21" s="32" t="str">
        <x:v>Dokumen atau komitmen operasional yang memuat kegiatan, periode, target, dan/atau PIC.</x:v>
      </x:c>
      <x:c r="E21" s="32" t="str">
        <x:v>Rencana aksi; matriks kerja; kalender; notula.</x:v>
      </x:c>
      <x:c r="F21" s="32" t="str">
        <x:v>BELUM TERSEDIA</x:v>
      </x:c>
      <x:c r="G21" s="32" t="str">
        <x:v>Ruang lingkup naskah tersedia, tetapi belum ditemukan rencana aksi atau komitmen operasional yang memuat kegiatan, periode, target, dan PIC.</x:v>
      </x:c>
      <x:c r="H21" s="32" t="str">
        <x:v>Rencana aksi, matriks kerja, kalender, atau notula belum diperoleh.</x:v>
      </x:c>
      <x:c r="I21" s="32" t="str">
        <x:v>Ruang lingkup umum dalam MoU/PKS tidak otomatis menjadi rencana tindak lanjut.</x:v>
      </x:c>
      <x:c r="J21" s="63" t="str">
        <x:f>IF(COUNTA('USULAN TINDAK LANJUT'!B7:B12)=0,"Belum ada usulan tindak lanjut terisi","Jumlah usulan: "&amp;COUNTA('USULAN TINDAK LANJUT'!B7:B12)&amp;" | Prioritas pertama: "&amp;'USULAN TINDAK LANJUT'!B7&amp;" | Target: "&amp;'USULAN TINDAK LANJUT'!C7)</x:f>
        <x:v>Belum ada usulan tindak lanjut terisi</x:v>
      </x:c>
      <x:c r="K21" s="63" t="str">
        <x:f>IF(OR(LEFT(J21,9)="Belum ada",LEFT(J21,9)="Tidak ada"),"Tidak ada pembaruan yang mengubah baseline.","Pembaruan tersedia sebagai referensi; status baseline tidak berubah otomatis dan tetap memerlukan verifikasi.")</x:f>
        <x:v>Tidak ada pembaruan yang mengubah baseline.</x:v>
      </x:c>
    </x:row>
    <x:row r="22">
      <x:c r="A22" s="32" t="n">
        <x:v>10</x:v>
      </x:c>
      <x:c r="B22" s="32" t="str">
        <x:v>PELAKSANAAN</x:v>
      </x:c>
      <x:c r="C22" s="32" t="str">
        <x:v>Pelaksanaan dan hasil</x:v>
      </x:c>
      <x:c r="D22" s="32" t="str">
        <x:v>Kegiatan aktual, realisasi terhadap target jatuh tempo, serta output yang dihasilkan.</x:v>
      </x:c>
      <x:c r="E22" s="32" t="str">
        <x:v>Laporan; undangan; notula; daftar hadir; data hasil.</x:v>
      </x:c>
      <x:c r="F22" s="32" t="str">
        <x:v>BELUM TERSEDIA</x:v>
      </x:c>
      <x:c r="G22" s="32" t="str">
        <x:v>Status Berlangsung pada P2MA belum membuktikan kegiatan atau output. Laporan pelaksanaan dan data hasil belum diperiksa.</x:v>
      </x:c>
      <x:c r="H22" s="32" t="str">
        <x:v>Laporan, undangan, notula, daftar hadir, dan data hasil belum diperoleh.</x:v>
      </x:c>
      <x:c r="I22" s="32" t="str">
        <x:v>Konfirmasi kegiatan aktual kepada unit pengampu serta PIC internal dan mitra.</x:v>
      </x:c>
      <x:c r="J22" s="63" t="str">
        <x:f>IF(COUNTA('PELAKSANAAN KEGIATAN'!B7:B12)=0,"Belum ada kegiatan pada sheet pelaksanaan","Jumlah kegiatan terdata: "&amp;COUNTA('PELAKSANAAN KEGIATAN'!B7:B12)&amp;" | Kegiatan pertama: "&amp;'PELAKSANAAN KEGIATAN'!B7&amp;" | Status: "&amp;'PELAKSANAAN KEGIATAN'!C7)</x:f>
        <x:v>Belum ada kegiatan pada sheet pelaksanaan</x:v>
      </x:c>
      <x:c r="K22" s="63" t="str">
        <x:f>IF(OR(LEFT(J22,9)="Belum ada",LEFT(J22,9)="Tidak ada"),"Tidak ada pembaruan yang mengubah baseline.","Pembaruan tersedia sebagai referensi; status baseline tidak berubah otomatis dan tetap memerlukan verifikasi.")</x:f>
        <x:v>Tidak ada pembaruan yang mengubah baseline.</x:v>
      </x:c>
    </x:row>
    <x:row r="23">
      <x:c r="A23" s="32" t="n">
        <x:v>11</x:v>
      </x:c>
      <x:c r="B23" s="32" t="str">
        <x:v>EVIDEN</x:v>
      </x:c>
      <x:c r="C23" s="32" t="str">
        <x:v>Eviden implementasi</x:v>
      </x:c>
      <x:c r="D23" s="32" t="str">
        <x:v>Bukti pelaksanaan/output, lokasi penyimpanan, dan tingkat keteraturannya.</x:v>
      </x:c>
      <x:c r="E23" s="32" t="str">
        <x:v>Folder resmi; indeks bukti; dokumen/data kegiatan.</x:v>
      </x:c>
      <x:c r="F23" s="32" t="str">
        <x:v>BELUM TERSEDIA</x:v>
      </x:c>
      <x:c r="G23" s="32" t="str">
        <x:v>Naskah dan entri P2MA tersedia, tetapi folder resmi, indeks, serta bukti implementasi belum diperiksa.</x:v>
      </x:c>
      <x:c r="H23" s="32" t="str">
        <x:v>Folder eviden, indeks bukti, dan dokumen/data kegiatan belum diperoleh.</x:v>
      </x:c>
      <x:c r="I23" s="32" t="str">
        <x:v>Naskah kerja sama bukan eviden pelaksanaan.</x:v>
      </x:c>
      <x:c r="J23" s="63" t="str">
        <x:f>IF(COUNTA('PELAKSANAAN KEGIATAN'!E7:E12)=0,"Belum ada keterangan bukti pada sheet pelaksanaan","Jumlah kegiatan dengan keterangan bukti: "&amp;COUNTA('PELAKSANAAN KEGIATAN'!E7:E12)&amp;" | Bukti pertama: "&amp;'PELAKSANAAN KEGIATAN'!E7)</x:f>
        <x:v>Belum ada keterangan bukti pada sheet pelaksanaan</x:v>
      </x:c>
      <x:c r="K23" s="63" t="str">
        <x:f>IF(OR(LEFT(J23,9)="Belum ada",LEFT(J23,9)="Tidak ada"),"Tidak ada pembaruan yang mengubah baseline.","Pembaruan tersedia sebagai referensi; status baseline tidak berubah otomatis dan tetap memerlukan verifikasi.")</x:f>
        <x:v>Tidak ada pembaruan yang mengubah baseline.</x:v>
      </x:c>
    </x:row>
    <x:row r="24">
      <x:c r="A24" s="32" t="n">
        <x:v>12</x:v>
      </x:c>
      <x:c r="B24" s="32" t="str">
        <x:v>HAMBATAN</x:v>
      </x:c>
      <x:c r="C24" s="32" t="str">
        <x:v>Hambatan/gap</x:v>
      </x:c>
      <x:c r="D24" s="32" t="str">
        <x:v>Kendala faktual atau kekosongan data yang memengaruhi implementasi dan sudah dikonfirmasi.</x:v>
      </x:c>
      <x:c r="E24" s="32" t="str">
        <x:v>Konfirmasi unit/PIC/mitra; notula; laporan; bukti keterlambatan.</x:v>
      </x:c>
      <x:c r="F24" s="32" t="str">
        <x:v>TERVERIFIKASI</x:v>
      </x:c>
      <x:c r="G24" s="32" t="str">
        <x:v>tidak ada hambatan berdasarkan konfirmasi dari PIC Internal</x:v>
      </x:c>
      <x:c r="H24" s="32" t="str">
        <x:v>Penelusuran publik P2MA; konfirmasi unit/PIC/mitra belum dilakukan.</x:v>
      </x:c>
      <x:c r="I24" s="32" t="str">
        <x:v>Pisahkan gap data verifikasi dari hambatan pelaksanaan yang benar-benar dialami.</x:v>
      </x:c>
      <x:c r="J24" s="63" t="str">
        <x:f>IF(COUNTA('PELAKSANAAN KEGIATAN'!F7:F12)=0,"Belum ada kendala/catatan pada sheet pelaksanaan","Kendala/catatan pertama: "&amp;'PELAKSANAAN KEGIATAN'!F7)</x:f>
        <x:v>Belum ada kendala/catatan pada sheet pelaksanaan</x:v>
      </x:c>
      <x:c r="K24" s="63" t="str">
        <x:f>IF(OR(LEFT(J24,9)="Belum ada",LEFT(J24,9)="Tidak ada"),"Tidak ada pembaruan yang mengubah baseline.","Pembaruan tersedia sebagai referensi; status baseline tidak berubah otomatis dan tetap memerlukan verifikasi.")</x:f>
        <x:v>Tidak ada pembaruan yang mengubah baseline.</x:v>
      </x:c>
    </x:row>
    <x:row r="25">
      <x:c r="A25"/>
      <x:c r="B25"/>
      <x:c r="C25"/>
      <x:c r="D25"/>
      <x:c r="E25"/>
      <x:c r="F25"/>
      <x:c r="G25"/>
      <x:c r="H25"/>
      <x:c r="I25"/>
    </x:row>
    <x:row r="26">
      <x:c r="A26" t="str">
        <x:v>RINGKASAN BASELINE V.0</x:v>
      </x:c>
      <x:c r="B26"/>
      <x:c r="C26"/>
      <x:c r="D26"/>
      <x:c r="E26"/>
      <x:c r="F26"/>
      <x:c r="G26"/>
      <x:c r="H26"/>
      <x:c r="I26"/>
    </x:row>
    <x:row r="27" ht="22" customHeight="1">
      <x:c r="A27" s="18"/>
      <x:c r="B27" s="18"/>
      <x:c r="C27" s="18"/>
      <x:c r="D27" s="18"/>
      <x:c r="E27" s="18"/>
      <x:c r="F27" s="18"/>
      <x:c r="G27" s="18"/>
      <x:c r="H27" s="18"/>
      <x:c r="I27" s="18"/>
      <x:c r="J27" s="18"/>
      <x:c r="K27" s="18"/>
    </x:row>
    <x:row r="28">
      <x:c r="A28" t="str">
        <x:v>STATUS ELEMEN</x:v>
      </x:c>
      <x:c r="B28" t="str">
        <x:v>JUMLAH</x:v>
      </x:c>
      <x:c r="C28"/>
      <x:c r="D28" t="str">
        <x:v>INDIKATOR PENGISIAN</x:v>
      </x:c>
      <x:c r="E28" t="str">
        <x:v>HASIL</x:v>
      </x:c>
      <x:c r="F28"/>
      <x:c r="G28" t="str">
        <x:v>RINGKASAN PEMERIKSA</x:v>
      </x:c>
      <x:c r="H28"/>
      <x:c r="I28"/>
    </x:row>
    <x:row r="29">
      <x:c r="A29" s="49" t="str">
        <x:v>Terverifikasi</x:v>
      </x:c>
      <x:c r="B29" s="49" t="n">
        <x:f>COUNTIF(F13:F24,"TERVERIFIKASI")</x:f>
        <x:v>8</x:v>
      </x:c>
      <x:c r="C29" s="49"/>
      <x:c r="D29" s="49" t="str">
        <x:v>Kelengkapan pemeriksaan</x:v>
      </x:c>
      <x:c r="E29" s="97" t="n">
        <x:f>(IF(AND(F13&lt;&gt;"",G13&lt;&gt;"",H13&lt;&gt;""),1,0)+IF(AND(F14&lt;&gt;"",G14&lt;&gt;"",H14&lt;&gt;""),1,0)+IF(AND(F15&lt;&gt;"",G15&lt;&gt;"",H15&lt;&gt;""),1,0)+IF(AND(F16&lt;&gt;"",G16&lt;&gt;"",H16&lt;&gt;""),1,0)+IF(AND(F17&lt;&gt;"",G17&lt;&gt;"",H17&lt;&gt;""),1,0)+IF(AND(F18&lt;&gt;"",G18&lt;&gt;"",H18&lt;&gt;""),1,0)+IF(AND(F19&lt;&gt;"",G19&lt;&gt;"",H19&lt;&gt;""),1,0)+IF(AND(F20&lt;&gt;"",G20&lt;&gt;"",H20&lt;&gt;""),1,0)+IF(AND(F21&lt;&gt;"",G21&lt;&gt;"",H21&lt;&gt;""),1,0)+IF(AND(F22&lt;&gt;"",G22&lt;&gt;"",H22&lt;&gt;""),1,0)+IF(AND(F23&lt;&gt;"",G23&lt;&gt;"",H23&lt;&gt;""),1,0)+IF(AND(F24&lt;&gt;"",G24&lt;&gt;"",H24&lt;&gt;""),1,0))/12</x:f>
        <x:v>1</x:v>
      </x:c>
      <x:c r="F29"/>
      <x:c r="G29" t="str">
        <x:v>Fakta utama</x:v>
      </x:c>
      <x:c r="H29" t="str">
        <x:v>P2MA publik menunjukkan naskah berstatus Berlangsung. 3 dari 12 elemen telah dapat diverifikasi pada tahap pemeriksaan meja; elemen lain masih memerlukan bukti internal atau konfirmasi.</x:v>
      </x:c>
      <x:c r="I29" t="str">
        <x:v>P2MA publik menunjukkan naskah berstatus Berlangsung. 3 dari 12 elemen telah dapat diverifikasi pada tahap pemeriksaan meja; elemen lain masih memerlukan bukti internal atau konfirmasi.</x:v>
      </x:c>
    </x:row>
    <x:row r="30">
      <x:c r="A30" s="32" t="str">
        <x:v>Belum Terverifikasi</x:v>
      </x:c>
      <x:c r="B30" s="32" t="n">
        <x:f>COUNTIF(F13:F24,"BELUM TERVERIFIKASI")</x:f>
        <x:v>0</x:v>
      </x:c>
      <x:c r="C30" s="32"/>
      <x:c r="D30" s="32" t="str">
        <x:v>Proporsi status terverifikasi</x:v>
      </x:c>
      <x:c r="E30" s="37" t="n">
        <x:f>IF((12-B32)=0,0,B29/(12-B32))</x:f>
        <x:v>0.6666666666666666</x:v>
      </x:c>
      <x:c r="F30"/>
      <x:c r="G30"/>
      <x:c r="H30" t="str">
        <x:v>P2MA publik menunjukkan naskah berstatus Berlangsung. 3 dari 12 elemen telah dapat diverifikasi pada tahap pemeriksaan meja; elemen lain masih memerlukan bukti internal atau konfirmasi.</x:v>
      </x:c>
      <x:c r="I30" t="str">
        <x:v>P2MA publik menunjukkan naskah berstatus Berlangsung. 3 dari 12 elemen telah dapat diverifikasi pada tahap pemeriksaan meja; elemen lain masih memerlukan bukti internal atau konfirmasi.</x:v>
      </x:c>
    </x:row>
    <x:row r="31">
      <x:c r="A31" s="32" t="str">
        <x:v>Belum Tersedia</x:v>
      </x:c>
      <x:c r="B31" s="32" t="n">
        <x:f>COUNTIF(F13:F24,"BELUM TERSEDIA")</x:f>
        <x:v>4</x:v>
      </x:c>
      <x:c r="C31" s="32"/>
      <x:c r="D31" s="32" t="str">
        <x:v>Status pengisian baseline</x:v>
      </x:c>
      <x:c r="E31" s="37" t="str">
        <x:f>IF(E29=0,"BELUM DIMULAI",IF(E29=1,"SELESAI DIISI","DALAM VERIFIKASI"))</x:f>
        <x:v>SELESAI DIISI</x:v>
      </x:c>
      <x:c r="F31"/>
      <x:c r="G31" t="str">
        <x:v>Gap utama</x:v>
      </x:c>
      <x:c r="H31" t="str">
        <x:v>Belum tersedia kepastian mengenai nomor naskah lengkap, arsip resmi internal, unit pengampu, PIC internal/mitra, rencana tindak lanjut, pelaksanaan, eviden, dan hambatan. Ejaan judul dan nomor para pihak masih perlu dicocokkan dengan naskah final.</x:v>
      </x:c>
      <x:c r="I31" t="str">
        <x:v>Belum tersedia kepastian mengenai nomor naskah lengkap, arsip resmi internal, unit pengampu, PIC internal/mitra, rencana tindak lanjut, pelaksanaan, eviden, dan hambatan. Ejaan judul dan nomor para pihak masih perlu dicocokkan dengan naskah final.</x:v>
      </x:c>
    </x:row>
    <x:row r="32">
      <x:c r="A32" s="32" t="str">
        <x:v>Tidak Relevan</x:v>
      </x:c>
      <x:c r="B32" s="32" t="n">
        <x:f>COUNTIF(F13:F24,"TIDAK RELEVAN")</x:f>
        <x:v>0</x:v>
      </x:c>
      <x:c r="C32" s="32"/>
      <x:c r="D32" s="32"/>
      <x:c r="E32" s="32"/>
      <x:c r="F32"/>
      <x:c r="G32"/>
      <x:c r="H32" t="str">
        <x:v>Belum tersedia kepastian mengenai nomor naskah lengkap, arsip resmi internal, unit pengampu, PIC internal/mitra, rencana tindak lanjut, pelaksanaan, eviden, dan hambatan. Ejaan judul dan nomor para pihak masih perlu dicocokkan dengan naskah final.</x:v>
      </x:c>
      <x:c r="I32" t="str">
        <x:v>Belum tersedia kepastian mengenai nomor naskah lengkap, arsip resmi internal, unit pengampu, PIC internal/mitra, rencana tindak lanjut, pelaksanaan, eviden, dan hambatan. Ejaan judul dan nomor para pihak masih perlu dicocokkan dengan naskah final.</x:v>
      </x:c>
    </x:row>
    <x:row r="33">
      <x:c r="A33" s="32" t="str">
        <x:v>Belum Diisi</x:v>
      </x:c>
      <x:c r="B33" s="32" t="n">
        <x:f>COUNTBLANK(F13:F24)</x:f>
        <x:v>0</x:v>
      </x:c>
      <x:c r="C33" s="32"/>
      <x:c r="D33" s="32"/>
      <x:c r="E33" s="32"/>
      <x:c r="F33"/>
      <x:c r="G33" t="str">
        <x:v>Catatan transisi</x:v>
      </x:c>
      <x:c r="H33" t="str">
        <x:v>Gunakan hasil ini sebagai daftar pertanyaan untuk unit pengampu dan forum PIC. Jangan menghitung Scorecard efektivitas sebelum gap prioritas diverifikasi.</x:v>
      </x:c>
      <x:c r="I33" t="str">
        <x:v>Gunakan hasil ini sebagai daftar pertanyaan untuk unit pengampu dan forum PIC. Jangan menghitung Scorecard efektivitas sebelum gap prioritas diverifikasi.</x:v>
      </x:c>
    </x:row>
    <x:row r="34">
      <x:c r="A34" s="32"/>
      <x:c r="B34" s="32"/>
      <x:c r="C34" s="32"/>
      <x:c r="D34" s="32"/>
      <x:c r="E34" s="32"/>
      <x:c r="F34"/>
      <x:c r="G34"/>
      <x:c r="H34" t="str">
        <x:v>Gunakan hasil ini sebagai daftar pertanyaan untuk unit pengampu dan forum PIC. Jangan menghitung Scorecard efektivitas sebelum gap prioritas diverifikasi.</x:v>
      </x:c>
      <x:c r="I34" t="str">
        <x:v>Gunakan hasil ini sebagai daftar pertanyaan untuk unit pengampu dan forum PIC. Jangan menghitung Scorecard efektivitas sebelum gap prioritas diverifikasi.</x:v>
      </x:c>
    </x:row>
    <x:row r="35">
      <x:c r="A35"/>
      <x:c r="B35"/>
      <x:c r="C35"/>
      <x:c r="D35"/>
      <x:c r="E35"/>
      <x:c r="F35"/>
      <x:c r="G35"/>
      <x:c r="H35"/>
      <x:c r="I35"/>
    </x:row>
    <x:row r="36">
      <x:c r="A36" t="str">
        <x:v>Simulasi per 28 Agustus 2026. Kelengkapan pemeriksaan dan proporsi status terverifikasi bukan Scorecard efektivitas; kategori produktif/berjalan/perlu aktivasi/kritis baru ditentukan pada tahap berikutnya setelah verifikasi data operasional.</x:v>
      </x:c>
      <x:c r="B36" t="str">
        <x:v>Simulasi per 28 Agustus 2026. Kelengkapan pemeriksaan dan proporsi status terverifikasi bukan Scorecard efektivitas; kategori produktif/berjalan/perlu aktivasi/kritis baru ditentukan pada tahap berikutnya setelah verifikasi data operasional.</x:v>
      </x:c>
      <x:c r="C36" t="str">
        <x:v>Simulasi per 28 Agustus 2026. Kelengkapan pemeriksaan dan proporsi status terverifikasi bukan Scorecard efektivitas; kategori produktif/berjalan/perlu aktivasi/kritis baru ditentukan pada tahap berikutnya setelah verifikasi data operasional.</x:v>
      </x:c>
      <x:c r="D36" t="str">
        <x:v>Simulasi per 28 Agustus 2026. Kelengkapan pemeriksaan dan proporsi status terverifikasi bukan Scorecard efektivitas; kategori produktif/berjalan/perlu aktivasi/kritis baru ditentukan pada tahap berikutnya setelah verifikasi data operasional.</x:v>
      </x:c>
      <x:c r="E36" t="str">
        <x:v>Simulasi per 28 Agustus 2026. Kelengkapan pemeriksaan dan proporsi status terverifikasi bukan Scorecard efektivitas; kategori produktif/berjalan/perlu aktivasi/kritis baru ditentukan pada tahap berikutnya setelah verifikasi data operasional.</x:v>
      </x:c>
      <x:c r="F36" t="str">
        <x:v>Simulasi per 28 Agustus 2026. Kelengkapan pemeriksaan dan proporsi status terverifikasi bukan Scorecard efektivitas; kategori produktif/berjalan/perlu aktivasi/kritis baru ditentukan pada tahap berikutnya setelah verifikasi data operasional.</x:v>
      </x:c>
      <x:c r="G36" t="str">
        <x:v>Simulasi per 28 Agustus 2026. Kelengkapan pemeriksaan dan proporsi status terverifikasi bukan Scorecard efektivitas; kategori produktif/berjalan/perlu aktivasi/kritis baru ditentukan pada tahap berikutnya setelah verifikasi data operasional.</x:v>
      </x:c>
      <x:c r="H36" t="str">
        <x:v>Simulasi per 28 Agustus 2026. Kelengkapan pemeriksaan dan proporsi status terverifikasi bukan Scorecard efektivitas; kategori produktif/berjalan/perlu aktivasi/kritis baru ditentukan pada tahap berikutnya setelah verifikasi data operasional.</x:v>
      </x:c>
      <x:c r="I36" t="str">
        <x:v>Simulasi per 28 Agustus 2026. Kelengkapan pemeriksaan dan proporsi status terverifikasi bukan Scorecard efektivitas; kategori produktif/berjalan/perlu aktivasi/kritis baru ditentukan pada tahap berikutnya setelah verifikasi data operasional.</x:v>
      </x:c>
    </x:row>
  </x:sheetData>
  <x:mergeCells>
    <x:mergeCell ref="A1:K1"/>
    <x:mergeCell ref="A2:K2"/>
    <x:mergeCell ref="A4:K4"/>
    <x:mergeCell ref="A27:K27"/>
  </x:mergeCells>
  <x:conditionalFormatting sqref="F13:F24">
    <x:cfRule type="expression" dxfId="2" priority="1">
      <x:formula>F13="TERVERIFIKASI"</x:formula>
    </x:cfRule>
    <x:cfRule type="expression" dxfId="3" priority="2">
      <x:formula>F13="BELUM TERSEDIA"</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6" hidden="0" customWidth="1"/>
    <x:col min="3" max="3" width="10" hidden="0" customWidth="1"/>
    <x:col min="4" max="4" width="48" hidden="0" customWidth="1"/>
    <x:col min="5" max="5" width="22" hidden="0" customWidth="1"/>
    <x:col min="6" max="6" width="48" hidden="0" customWidth="1"/>
    <x:col min="7" max="7" width="11" hidden="0" customWidth="1"/>
    <x:col min="8" max="8" width="45" hidden="0" customWidth="1"/>
    <x:col min="9" max="9" width="12" hidden="0" customWidth="1"/>
    <x:col min="10" max="10" width="18" hidden="0" customWidth="1"/>
  </x:cols>
  <x:sheetData>
    <x:row r="1" ht="28" customHeight="1">
      <x:c r="A1" s="5" t="str">
        <x:v>SCORECARD EFEKTIVITAS MITRA KINERJA V1.1 — BUNDA TANAH MELAYU</x:v>
      </x:c>
      <x:c r="B1" s="5" t="str">
        <x:v>SCORECARD EFEKTIVITAS MITRA KINERJA V1.1 — P10</x:v>
      </x:c>
      <x:c r="C1" s="5" t="str">
        <x:v>SCORECARD EFEKTIVITAS MITRA KINERJA V1.1 — P10</x:v>
      </x:c>
      <x:c r="D1" s="5" t="str">
        <x:v>SCORECARD EFEKTIVITAS MITRA KINERJA V1.1 — P10</x:v>
      </x:c>
      <x:c r="E1" s="5" t="str">
        <x:v>SCORECARD EFEKTIVITAS MITRA KINERJA V1.1 — P10</x:v>
      </x:c>
      <x:c r="F1" s="5" t="str">
        <x:v>SCORECARD EFEKTIVITAS MITRA KINERJA V1.1 — P10</x:v>
      </x:c>
      <x:c r="G1" s="5" t="str">
        <x:v>SCORECARD EFEKTIVITAS MITRA KINERJA V1.1 — P10</x:v>
      </x:c>
      <x:c r="H1" s="5" t="str">
        <x:v>SCORECARD EFEKTIVITAS MITRA KINERJA V1.1 — P10</x:v>
      </x:c>
      <x:c r="I1" s="5" t="str">
        <x:v>SCORECARD EFEKTIVITAS MITRA KINERJA V1.1 — P10</x:v>
      </x:c>
      <x:c r="J1" s="5" t="str">
        <x:v>SCORECARD EFEKTIVITAS MITRA KINERJA V1.1 — P10</x:v>
      </x:c>
    </x:row>
    <x:row r="2">
      <x:c r="A2" s="58" t="str">
        <x:v>PILOT UTAMA — Sekolah Tinggi Ilmu Sosial dan Ilmu Politik Bunda Tanah Melayu</x:v>
      </x:c>
      <x:c r="B2" s="58" t="str">
        <x:v>PILOT UTAMA — Sekolah Tinggi Ilmu Sosial dan Ilmu Politik Bunda Tanah Melayu</x:v>
      </x:c>
      <x:c r="C2" s="58" t="str">
        <x:v>PILOT UTAMA — Sekolah Tinggi Ilmu Sosial dan Ilmu Politik Bunda Tanah Melayu</x:v>
      </x:c>
      <x:c r="D2" s="58" t="str">
        <x:v>PILOT UTAMA — Sekolah Tinggi Ilmu Sosial dan Ilmu Politik Bunda Tanah Melayu</x:v>
      </x:c>
      <x:c r="E2" s="58" t="str">
        <x:v>PILOT UTAMA — Sekolah Tinggi Ilmu Sosial dan Ilmu Politik Bunda Tanah Melayu</x:v>
      </x:c>
      <x:c r="F2" s="58" t="str">
        <x:v>PILOT UTAMA — Sekolah Tinggi Ilmu Sosial dan Ilmu Politik Bunda Tanah Melayu</x:v>
      </x:c>
      <x:c r="G2" s="58" t="str">
        <x:v>PILOT UTAMA — Sekolah Tinggi Ilmu Sosial dan Ilmu Politik Bunda Tanah Melayu</x:v>
      </x:c>
      <x:c r="H2" s="58" t="str">
        <x:v>PILOT UTAMA — Sekolah Tinggi Ilmu Sosial dan Ilmu Politik Bunda Tanah Melayu</x:v>
      </x:c>
      <x:c r="I2" s="58" t="str">
        <x:v>PILOT UTAMA — Sekolah Tinggi Ilmu Sosial dan Ilmu Politik Bunda Tanah Melayu</x:v>
      </x:c>
      <x:c r="J2" s="58" t="str">
        <x:v>PILOT UTAMA — Sekolah Tinggi Ilmu Sosial dan Ilmu Politik Bunda Tanah Melayu</x:v>
      </x:c>
    </x:row>
    <x:row r="3">
      <x:c r="A3" t="str">
        <x:v>Isi hanya sel kuning. Nilai berjalan langsung berubah saat skor diisi; kategori dan status final menunggu kelengkapan bukti serta validasi unit.</x:v>
      </x:c>
      <x:c r="B3" t="str">
        <x:v>Isi hanya sel kuning. Nilai berjalan langsung berubah saat skor diisi; kategori dan status final menunggu kelengkapan bukti serta validasi unit.</x:v>
      </x:c>
      <x:c r="C3" t="str">
        <x:v>Isi hanya sel kuning. Nilai berjalan langsung berubah saat skor diisi; kategori dan status final menunggu kelengkapan bukti serta validasi unit.</x:v>
      </x:c>
      <x:c r="D3" t="str">
        <x:v>Isi hanya sel kuning. Nilai berjalan langsung berubah saat skor diisi; kategori dan status final menunggu kelengkapan bukti serta validasi unit.</x:v>
      </x:c>
      <x:c r="E3" t="str">
        <x:v>Isi hanya sel kuning. Nilai berjalan langsung berubah saat skor diisi; kategori dan status final menunggu kelengkapan bukti serta validasi unit.</x:v>
      </x:c>
      <x:c r="F3" t="str">
        <x:v>Isi hanya sel kuning. Nilai berjalan langsung berubah saat skor diisi; kategori dan status final menunggu kelengkapan bukti serta validasi unit.</x:v>
      </x:c>
      <x:c r="G3" t="str">
        <x:v>Isi hanya sel kuning. Nilai berjalan langsung berubah saat skor diisi; kategori dan status final menunggu kelengkapan bukti serta validasi unit.</x:v>
      </x:c>
      <x:c r="H3" t="str">
        <x:v>Isi hanya sel kuning. Nilai berjalan langsung berubah saat skor diisi; kategori dan status final menunggu kelengkapan bukti serta validasi unit.</x:v>
      </x:c>
      <x:c r="I3" t="str">
        <x:v>Isi hanya sel kuning. Nilai berjalan langsung berubah saat skor diisi; kategori dan status final menunggu kelengkapan bukti serta validasi unit.</x:v>
      </x:c>
      <x:c r="J3" t="str">
        <x:v>Isi hanya sel kuning. Nilai berjalan langsung berubah saat skor diisi; kategori dan status final menunggu kelengkapan bukti serta validasi unit.</x:v>
      </x:c>
    </x:row>
    <x:row r="4">
      <x:c r="A4"/>
      <x:c r="B4"/>
      <x:c r="C4"/>
      <x:c r="D4"/>
      <x:c r="E4"/>
      <x:c r="F4"/>
      <x:c r="G4"/>
      <x:c r="H4"/>
      <x:c r="I4"/>
      <x:c r="J4"/>
    </x:row>
    <x:row r="5" ht="22" customHeight="1">
      <x:c r="A5" s="18" t="str">
        <x:v>A. IDENTITAS DAN KONTROL</x:v>
      </x:c>
      <x:c r="B5" s="18" t="str">
        <x:v>A. IDENTITAS DAN KONTROL</x:v>
      </x:c>
      <x:c r="C5" s="18" t="str">
        <x:v>A. IDENTITAS DAN KONTROL</x:v>
      </x:c>
      <x:c r="D5" s="18" t="str">
        <x:v>A. IDENTITAS DAN KONTROL</x:v>
      </x:c>
      <x:c r="E5" s="18" t="str">
        <x:v>A. IDENTITAS DAN KONTROL</x:v>
      </x:c>
      <x:c r="F5" s="18" t="str">
        <x:v>A. IDENTITAS DAN KONTROL</x:v>
      </x:c>
      <x:c r="G5" s="18" t="str">
        <x:v>A. IDENTITAS DAN KONTROL</x:v>
      </x:c>
      <x:c r="H5" s="18" t="str">
        <x:v>A. IDENTITAS DAN KONTROL</x:v>
      </x:c>
      <x:c r="I5" s="18" t="str">
        <x:v>A. IDENTITAS DAN KONTROL</x:v>
      </x:c>
      <x:c r="J5" s="18" t="str">
        <x:v>A. IDENTITAS DAN KONTROL</x:v>
      </x:c>
    </x:row>
    <x:row r="6">
      <x:c r="A6" s="31" t="str">
        <x:v>Kode</x:v>
      </x:c>
      <x:c r="B6" s="32" t="str">
        <x:v>P10</x:v>
      </x:c>
      <x:c r="C6" s="31" t="str">
        <x:v>Portofolio</x:v>
      </x:c>
      <x:c r="D6" s="32" t="str">
        <x:v>Pilot Utama</x:v>
      </x:c>
      <x:c r="E6" s="31" t="str">
        <x:v>Cut-off</x:v>
      </x:c>
      <x:c r="F6" s="75" t="n">
        <x:v>46262</x:v>
      </x:c>
      <x:c r="G6" s="31" t="str">
        <x:v>Pemeriksa</x:v>
      </x:c>
      <x:c r="H6" s="32"/>
      <x:c r="I6" s="31"/>
      <x:c r="J6" s="32"/>
    </x:row>
    <x:row r="7">
      <x:c r="A7" s="31" t="str">
        <x:v>Mitra</x:v>
      </x:c>
      <x:c r="B7" s="32" t="str">
        <x:v>Sekolah Tinggi Ilmu Sosial dan Ilmu Politik Bunda Tanah Melayu</x:v>
      </x:c>
      <x:c r="C7" s="31"/>
      <x:c r="D7" s="32"/>
      <x:c r="E7" s="31"/>
      <x:c r="F7" s="32"/>
      <x:c r="G7" s="31" t="str">
        <x:v>Jenis</x:v>
      </x:c>
      <x:c r="H7" s="32" t="str">
        <x:v>MoU</x:v>
      </x:c>
      <x:c r="I7" s="31" t="str">
        <x:v>Sumber baseline</x:v>
      </x:c>
      <x:c r="J7" s="32" t="str">
        <x:v>BASELINE BTM (terintegrasi)</x:v>
      </x:c>
    </x:row>
    <x:row r="8">
      <x:c r="A8" s="31" t="str">
        <x:v>Judul</x:v>
      </x:c>
      <x:c r="B8" s="32" t="str">
        <x:v>Pelayanan Hukum dan Fasilitasi Tri Dharma Perguruan Tinggi</x:v>
      </x:c>
      <x:c r="C8" s="31" t="str">
        <x:v>Pelayanan Hukum dan Fasilitasi Tri Dharma Perguruan Tinggi</x:v>
      </x:c>
      <x:c r="D8" s="32" t="str">
        <x:v>Pelayanan Hukum dan Fasilitasi Tri Dharma Perguruan Tinggi</x:v>
      </x:c>
      <x:c r="E8" s="31" t="str">
        <x:v>Pelayanan Hukum dan Fasilitasi Tri Dharma Perguruan Tinggi</x:v>
      </x:c>
      <x:c r="F8" s="32" t="str">
        <x:v>Pelayanan Hukum dan Fasilitasi Tri Dharma Perguruan Tinggi</x:v>
      </x:c>
      <x:c r="G8" s="31" t="str">
        <x:v>Pelayanan Hukum dan Fasilitasi Tri Dharma Perguruan Tinggi</x:v>
      </x:c>
      <x:c r="H8" s="32" t="str">
        <x:v>Pelayanan Hukum dan Fasilitasi Tri Dharma Perguruan Tinggi</x:v>
      </x:c>
      <x:c r="I8" s="31" t="str">
        <x:v>Pelayanan Hukum dan Fasilitasi Tri Dharma Perguruan Tinggi</x:v>
      </x:c>
      <x:c r="J8" s="32" t="str">
        <x:v>Pelayanan Hukum dan Fasilitasi Tri Dharma Perguruan Tinggi</x:v>
      </x:c>
    </x:row>
    <x:row r="9">
      <x:c r="A9" s="31" t="str">
        <x:v>Mulai</x:v>
      </x:c>
      <x:c r="B9" s="75" t="n">
        <x:v>46150</x:v>
      </x:c>
      <x:c r="C9" s="86" t="str">
        <x:v>Berakhir</x:v>
      </x:c>
      <x:c r="D9" s="75" t="n">
        <x:v>47975</x:v>
      </x:c>
      <x:c r="E9" s="31" t="str">
        <x:v>Status tanggal</x:v>
      </x:c>
      <x:c r="F9" s="32" t="str">
        <x:v>TERVERIFIKASI</x:v>
      </x:c>
      <x:c r="G9" s="31" t="str">
        <x:v>Sisa hari</x:v>
      </x:c>
      <x:c r="H9" s="32" t="n">
        <x:f>IF(OR(D9="",F9&lt;&gt;"TERVERIFIKASI"),"",D9-F6)</x:f>
        <x:v>1713</x:v>
      </x:c>
      <x:c r="I9" s="31" t="str">
        <x:v>Tanggal review</x:v>
      </x:c>
      <x:c r="J9" s="75" t="n">
        <x:v>46276</x:v>
      </x:c>
    </x:row>
    <x:row r="10">
      <x:c r="A10"/>
      <x:c r="B10"/>
      <x:c r="C10"/>
      <x:c r="D10"/>
      <x:c r="E10"/>
      <x:c r="F10"/>
      <x:c r="G10"/>
      <x:c r="H10"/>
      <x:c r="I10"/>
      <x:c r="J10"/>
    </x:row>
    <x:row r="11" ht="22" customHeight="1">
      <x:c r="A11" s="18" t="str">
        <x:v>B. PENILAIAN INTI — ENAM INDIKATOR RAP</x:v>
      </x:c>
      <x:c r="B11" s="18" t="str">
        <x:v>B. PENILAIAN INTI — ENAM INDIKATOR RAP</x:v>
      </x:c>
      <x:c r="C11" s="18" t="str">
        <x:v>B. PENILAIAN INTI — ENAM INDIKATOR RAP</x:v>
      </x:c>
      <x:c r="D11" s="18" t="str">
        <x:v>B. PENILAIAN INTI — ENAM INDIKATOR RAP</x:v>
      </x:c>
      <x:c r="E11" s="18" t="str">
        <x:v>B. PENILAIAN INTI — ENAM INDIKATOR RAP</x:v>
      </x:c>
      <x:c r="F11" s="18" t="str">
        <x:v>B. PENILAIAN INTI — ENAM INDIKATOR RAP</x:v>
      </x:c>
      <x:c r="G11" s="18" t="str">
        <x:v>B. PENILAIAN INTI — ENAM INDIKATOR RAP</x:v>
      </x:c>
      <x:c r="H11" s="18" t="str">
        <x:v>B. PENILAIAN INTI — ENAM INDIKATOR RAP</x:v>
      </x:c>
      <x:c r="I11" s="18" t="str">
        <x:v>B. PENILAIAN INTI — ENAM INDIKATOR RAP</x:v>
      </x:c>
      <x:c r="J11" s="18" t="str">
        <x:v>B. PENILAIAN INTI — ENAM INDIKATOR RAP</x:v>
      </x:c>
    </x:row>
    <x:row r="12">
      <x:c r="A12" s="49" t="str">
        <x:v>Kode</x:v>
      </x:c>
      <x:c r="B12" s="49" t="str">
        <x:v>Indikator dan cara memeriksa</x:v>
      </x:c>
      <x:c r="C12" s="49" t="str">
        <x:v>Bobot</x:v>
      </x:c>
      <x:c r="D12" s="49" t="str">
        <x:v>Referensi baseline awal</x:v>
      </x:c>
      <x:c r="E12" s="49" t="str">
        <x:v>Status kecukupan bukti</x:v>
      </x:c>
      <x:c r="F12" s="49" t="str">
        <x:v>Temuan dan lokasi bukti</x:v>
      </x:c>
      <x:c r="G12" s="49" t="str">
        <x:v>Skor 0–4</x:v>
      </x:c>
      <x:c r="H12" s="49" t="str">
        <x:v>Alasan skor</x:v>
      </x:c>
      <x:c r="I12" s="49" t="str">
        <x:v>Nilai</x:v>
      </x:c>
      <x:c r="J12" s="49" t="str">
        <x:v>Cek</x:v>
      </x:c>
    </x:row>
    <x:row r="13">
      <x:c r="A13" s="32" t="str">
        <x:v>I1</x:v>
      </x:c>
      <x:c r="B13" s="32" t="str">
        <x:v>Kelengkapan tata kelola dasar
Cara periksa: Periksa naskah final, nomor/judul/para pihak, status P2MA, arsip resmi, serta PIC internal dan PIC mitra yang tertulis dan masih aktif.</x:v>
      </x:c>
      <x:c r="C13" s="32" t="n">
        <x:v>15</x:v>
      </x:c>
      <x:c r="D13" s="32" t="str">
        <x:f>"Identitas "&amp;'BASELINE BTM'!F13&amp;"; arsip "&amp;'BASELINE BTM'!F16&amp;"; P2MA "&amp;'BASELINE BTM'!F17&amp;"; PIC internal "&amp;'BASELINE BTM'!F19&amp;"; PIC mitra "&amp;'BASELINE BTM'!F20&amp;". Update terintegrasi: "&amp;'BASELINE BTM'!J20</x:f>
        <x:v>Identitas TERVERIFIKASI; arsip TERVERIFIKASI; P2MA TERVERIFIKASI; PIC internal TERVERIFIKASI; PIC mitra BELUM TERSEDIA. Update terintegrasi: Belum ada PIC mitra yang diisi</x:v>
      </x:c>
      <x:c r="E13" s="63" t="str">
        <x:v>BUKTI MEMADAI</x:v>
      </x:c>
      <x:c r="F13" s="63" t="str">
        <x:v>Baseline baris 13–20: naskah/metadata dasar dapat ditelusuri. Status identitas=TERVERIFIKASI, arsip=TERVERIFIKASI, P2MA=TERVERIFIKASI, PIC internal=TERVERIFIKASI, PIC mitra=BELUM TERSEDIA. Terdapat inkonsistensi pada baseline: status terstruktur pada Status arsip, Unit pengampu, PIC internal belum sepenuhnya didukung narasi/sumber bukti; untuk Scorecard digunakan pendekatan konservatif.</x:v>
      </x:c>
      <x:c r="G13" s="63" t="n">
        <x:v>1</x:v>
      </x:c>
      <x:c r="H13" s="63" t="str">
        <x:v>Sesuai skor 1: naskah tersedia, tetapi tata kelola operasional masih terbatas; PIC dua pihak dan/atau bukti penetapan/konfirmasi belum memadai untuk skor yang lebih tinggi.</x:v>
      </x:c>
      <x:c r="I13" s="32" t="n">
        <x:f>IF(AND(E13="BUKTI MEMADAI",COUNT(G13)&gt;0),G13/4*C13,"")</x:f>
        <x:v>3.75</x:v>
      </x:c>
      <x:c r="J13" s="32" t="str">
        <x:f>IF(E13="BELUM DITELAAH","PERIKSA BUKTI",IF(E13="BUKTI MEMADAI",IF(COUNT(G13)=0,"ISI SKOR",IF(F13="","TULIS TEMUAN/BUKTI",IF(H13="","TULIS ALASAN","OK"))),IF(OR(E13="BUKTI BELUM MEMADAI",E13="BELUM DAPAT DINILAI"),IF(COUNT(G13)&gt;0,"HAPUS SKOR","BELUM DIISI"),"PERIKSA STATUS")))</x:f>
        <x:v>OK</x:v>
      </x:c>
    </x:row>
    <x:row r="14">
      <x:c r="A14" s="32" t="str">
        <x:v>I2</x:v>
      </x:c>
      <x:c r="B14" s="32" t="str">
        <x:v>Kejelasan tindak lanjut
Cara periksa: Cari rencana aksi/PKS turunan/matriks kegiatan. Pastikan memuat kegiatan, target atau output, waktu, PIC, dan tenggat serta disepakati para pihak.</x:v>
      </x:c>
      <x:c r="C14" s="32" t="n">
        <x:v>20</x:v>
      </x:c>
      <x:c r="D14" s="32" t="str">
        <x:f>"Rencana tindak lanjut "&amp;'BASELINE BTM'!F21&amp;". "&amp;'BASELINE BTM'!J21</x:f>
        <x:v>Rencana tindak lanjut BELUM TERSEDIA. Belum ada usulan tindak lanjut terisi</x:v>
      </x:c>
      <x:c r="E14" s="63" t="str">
        <x:v>BUKTI BELUM MEMADAI</x:v>
      </x:c>
      <x:c r="F14" s="63" t="str">
        <x:v>Baseline baris 21 — Rencana tindak lanjut: BELUM TERSEDIA. Ruang lingkup naskah tersedia, tetapi belum ditemukan rencana aksi atau komitmen operasional yang memuat kegiatan, periode, target, dan PIC.</x:v>
      </x:c>
      <x:c r="G14" s="63"/>
      <x:c r="H14" s="63" t="str">
        <x:v>Belum diberi skor karena informasi 'belum ditemukan/belum tersedia' pada baseline belum selalu membuktikan secara memadai bahwa tindak lanjut memang tidak ada.</x:v>
      </x:c>
      <x:c r="I14" s="32" t="str">
        <x:f>IF(AND(E14="BUKTI MEMADAI",COUNT(G14)&gt;0),G14/4*C14,"")</x:f>
      </x:c>
      <x:c r="J14" s="32" t="str">
        <x:f>IF(E14="BELUM DITELAAH","PERIKSA BUKTI",IF(E14="BUKTI MEMADAI",IF(COUNT(G14)=0,"ISI SKOR",IF(F14="","TULIS TEMUAN/BUKTI",IF(H14="","TULIS ALASAN","OK"))),IF(OR(E14="BUKTI BELUM MEMADAI",E14="BELUM DAPAT DINILAI"),IF(COUNT(G14)&gt;0,"HAPUS SKOR","BELUM DIISI"),"PERIKSA STATUS")))</x:f>
        <x:v>BELUM DIISI</x:v>
      </x:c>
    </x:row>
    <x:row r="15">
      <x:c r="A15" s="32" t="str">
        <x:v>I3</x:v>
      </x:c>
      <x:c r="B15" s="32" t="str">
        <x:v>Realisasi kegiatan terhadap rencana
Cara periksa: Tentukan target yang sudah jatuh tempo. Cocokkan satu per satu dengan bukti realisasi. Target masa depan tidak boleh dianggap tidak tercapai.</x:v>
      </x:c>
      <x:c r="C15" s="32" t="n">
        <x:v>20</x:v>
      </x:c>
      <x:c r="D15" s="32" t="str">
        <x:f>"Pelaksanaan/hasil "&amp;'BASELINE BTM'!F22&amp;". "&amp;'BASELINE BTM'!J22</x:f>
        <x:v>Pelaksanaan/hasil BELUM TERSEDIA. Belum ada kegiatan pada sheet pelaksanaan</x:v>
      </x:c>
      <x:c r="E15" s="63" t="str">
        <x:v>BUKTI BELUM MEMADAI</x:v>
      </x:c>
      <x:c r="F15" s="63" t="str">
        <x:v>Baseline baris 22 — Pelaksanaan dan hasil: BELUM TERSEDIA. Status Berlangsung pada P2MA belum membuktikan kegiatan atau output. Laporan pelaksanaan dan data hasil belum diperiksa.</x:v>
      </x:c>
      <x:c r="G15" s="63"/>
      <x:c r="H15" s="63" t="str">
        <x:v>Belum diberi skor karena target yang jatuh tempo dan bukti realisasi belum tersedia atau belum cukup terverifikasi.</x:v>
      </x:c>
      <x:c r="I15" s="32" t="str">
        <x:f>IF(AND(E15="BUKTI MEMADAI",COUNT(G15)&gt;0),G15/4*C15,"")</x:f>
      </x:c>
      <x:c r="J15" s="32" t="str">
        <x:f>IF(E15="BELUM DITELAAH","PERIKSA BUKTI",IF(E15="BUKTI MEMADAI",IF(COUNT(G15)=0,"ISI SKOR",IF(F15="","TULIS TEMUAN/BUKTI",IF(H15="","TULIS ALASAN","OK"))),IF(OR(E15="BUKTI BELUM MEMADAI",E15="BELUM DAPAT DINILAI"),IF(COUNT(G15)&gt;0,"HAPUS SKOR","BELUM DIISI"),"PERIKSA STATUS")))</x:f>
        <x:v>BELUM DIISI</x:v>
      </x:c>
    </x:row>
    <x:row r="16">
      <x:c r="A16" s="32" t="str">
        <x:v>I4</x:v>
      </x:c>
      <x:c r="B16" s="32" t="str">
        <x:v>Kelengkapan dan konsolidasi eviden
Cara periksa: Buka bukti satu per satu. Periksa tanggal, konteks, kaitannya dengan naskah, lokasi penyimpanan resmi, indeks, dan keterlacakan.</x:v>
      </x:c>
      <x:c r="C16" s="32" t="n">
        <x:v>15</x:v>
      </x:c>
      <x:c r="D16" s="32" t="str">
        <x:f>"Eviden implementasi "&amp;'BASELINE BTM'!F23&amp;". "&amp;'BASELINE BTM'!J23</x:f>
        <x:v>Eviden implementasi BELUM TERSEDIA. Belum ada keterangan bukti pada sheet pelaksanaan</x:v>
      </x:c>
      <x:c r="E16" s="63" t="str">
        <x:v>BUKTI BELUM MEMADAI</x:v>
      </x:c>
      <x:c r="F16" s="63" t="str">
        <x:v>Baseline baris 23 — Eviden implementasi: BELUM TERSEDIA. Naskah dan entri P2MA tersedia, tetapi folder resmi, indeks, serta bukti implementasi belum diperiksa.</x:v>
      </x:c>
      <x:c r="G16" s="63"/>
      <x:c r="H16" s="63" t="str">
        <x:v>Belum diberi skor karena kelengkapan, konteks, lokasi, indeks, dan keterlacakan eviden belum memadai untuk menentukan skor.</x:v>
      </x:c>
      <x:c r="I16" s="32" t="str">
        <x:f>IF(AND(E16="BUKTI MEMADAI",COUNT(G16)&gt;0),G16/4*C16,"")</x:f>
      </x:c>
      <x:c r="J16" s="32" t="str">
        <x:f>IF(E16="BELUM DITELAAH","PERIKSA BUKTI",IF(E16="BUKTI MEMADAI",IF(COUNT(G16)=0,"ISI SKOR",IF(F16="","TULIS TEMUAN/BUKTI",IF(H16="","TULIS ALASAN","OK"))),IF(OR(E16="BUKTI BELUM MEMADAI",E16="BELUM DAPAT DINILAI"),IF(COUNT(G16)&gt;0,"HAPUS SKOR","BELUM DIISI"),"PERIKSA STATUS")))</x:f>
        <x:v>BELUM DIISI</x:v>
      </x:c>
    </x:row>
    <x:row r="17">
      <x:c r="A17" s="32" t="str">
        <x:v>I5</x:v>
      </x:c>
      <x:c r="B17" s="32" t="str">
        <x:v>Kontribusi terhadap kebutuhan kinerja organisasi
Cara periksa: Minta unit menetapkan target/kebutuhan. Cocokkan keluaran dan hasil dengan target serta data manfaat; jangan menyamakan kegiatan dengan hasil.</x:v>
      </x:c>
      <x:c r="C17" s="32" t="n">
        <x:v>20</x:v>
      </x:c>
      <x:c r="D17" s="32" t="str">
        <x:f>"Pelaksanaan/hasil "&amp;'BASELINE BTM'!F22&amp;". "&amp;'BASELINE BTM'!J22</x:f>
        <x:v>Pelaksanaan/hasil BELUM TERSEDIA. Belum ada kegiatan pada sheet pelaksanaan</x:v>
      </x:c>
      <x:c r="E17" s="63" t="str">
        <x:v>BUKTI BELUM MEMADAI</x:v>
      </x:c>
      <x:c r="F17" s="63" t="str">
        <x:v>Baseline baris 22 — Pelaksanaan dan hasil: BELUM TERSEDIA. Status Berlangsung pada P2MA belum membuktikan kegiatan atau output. Laporan pelaksanaan dan data hasil belum diperiksa. Target, output, hasil, dan data manfaat terukur belum tersedia secara lengkap.</x:v>
      </x:c>
      <x:c r="G17" s="63"/>
      <x:c r="H17" s="63" t="str">
        <x:v>Belum diberi skor karena output/hasil belum dapat dibandingkan dengan target organisasi dan data manfaat belum memadai.</x:v>
      </x:c>
      <x:c r="I17" s="32" t="str">
        <x:f>IF(AND(E17="BUKTI MEMADAI",COUNT(G17)&gt;0),G17/4*C17,"")</x:f>
      </x:c>
      <x:c r="J17" s="32" t="str">
        <x:f>IF(E17="BELUM DITELAAH","PERIKSA BUKTI",IF(E17="BUKTI MEMADAI",IF(COUNT(G17)=0,"ISI SKOR",IF(F17="","TULIS TEMUAN/BUKTI",IF(H17="","TULIS ALASAN","OK"))),IF(OR(E17="BUKTI BELUM MEMADAI",E17="BELUM DAPAT DINILAI"),IF(COUNT(G17)&gt;0,"HAPUS SKOR","BELUM DIISI"),"PERIKSA STATUS")))</x:f>
        <x:v>BELUM DIISI</x:v>
      </x:c>
    </x:row>
    <x:row r="18">
      <x:c r="A18" s="32" t="str">
        <x:v>I6</x:v>
      </x:c>
      <x:c r="B18" s="32" t="str">
        <x:v>Keberlanjutan dan risiko
Cara periksa: Periksa masa berlaku, aktivitas terakhir, risiko, dampak, PIC, mitigasi, pemantauan, dan kejelasan keputusan lanjut/perpanjang/evaluasi/akhiri.</x:v>
      </x:c>
      <x:c r="C18" s="32" t="n">
        <x:v>10</x:v>
      </x:c>
      <x:c r="D18" s="32" t="str">
        <x:f>"Masa berlaku "&amp;'BASELINE BTM'!F14&amp;"; PIC internal "&amp;'BASELINE BTM'!F19&amp;"; PIC mitra "&amp;'BASELINE BTM'!F20&amp;"; hambatan/gap "&amp;'BASELINE BTM'!F24&amp;". "&amp;'BASELINE BTM'!J24</x:f>
        <x:v>Masa berlaku TERVERIFIKASI; PIC internal TERVERIFIKASI; PIC mitra BELUM TERSEDIA; hambatan/gap TERVERIFIKASI. Belum ada kendala/catatan pada sheet pelaksanaan</x:v>
      </x:c>
      <x:c r="E18" s="63" t="str">
        <x:v>BUKTI BELUM MEMADAI</x:v>
      </x:c>
      <x:c r="F18" s="63" t="str">
        <x:v>Masa berlaku TERVERIFIKASI. PIC internal TERVERIFIKASI; PIC mitra BELUM TERSEDIA; rencana tindak lanjut BELUM TERSEDIA; hambatan/gap TERVERIFIKASI. tidak ada hambatan berdasarkan konfirmasi dari PIC Internal</x:v>
      </x:c>
      <x:c r="G18" s="63"/>
      <x:c r="H18" s="63" t="str">
        <x:v>Belum diberi skor karena risiko, dampak, mitigasi, pemantauan, dan keputusan keberlanjutan belum dinilai dengan bukti yang memadai.</x:v>
      </x:c>
      <x:c r="I18" s="32" t="str">
        <x:f>IF(AND(E18="BUKTI MEMADAI",COUNT(G18)&gt;0),G18/4*C18,"")</x:f>
      </x:c>
      <x:c r="J18" s="32" t="str">
        <x:f>IF(E18="BELUM DITELAAH","PERIKSA BUKTI",IF(E18="BUKTI MEMADAI",IF(COUNT(G18)=0,"ISI SKOR",IF(F18="","TULIS TEMUAN/BUKTI",IF(H18="","TULIS ALASAN","OK"))),IF(OR(E18="BUKTI BELUM MEMADAI",E18="BELUM DAPAT DINILAI"),IF(COUNT(G18)&gt;0,"HAPUS SKOR","BELUM DIISI"),"PERIKSA STATUS")))</x:f>
        <x:v>BELUM DIISI</x:v>
      </x:c>
    </x:row>
    <x:row r="19">
      <x:c r="A19"/>
      <x:c r="B19"/>
      <x:c r="C19"/>
      <x:c r="D19"/>
      <x:c r="E19"/>
      <x:c r="F19"/>
      <x:c r="G19"/>
      <x:c r="H19"/>
      <x:c r="I19"/>
      <x:c r="J19"/>
    </x:row>
    <x:row r="20" ht="22" customHeight="1">
      <x:c r="A20" s="18" t="str">
        <x:v>C. RINGKASAN NILAI DAN VALIDASI</x:v>
      </x:c>
      <x:c r="B20" s="18" t="str">
        <x:v>C. RINGKASAN NILAI DAN VALIDASI</x:v>
      </x:c>
      <x:c r="C20" s="18" t="str">
        <x:v>C. RINGKASAN NILAI DAN VALIDASI</x:v>
      </x:c>
      <x:c r="D20" s="18" t="str">
        <x:v>C. RINGKASAN NILAI DAN VALIDASI</x:v>
      </x:c>
      <x:c r="E20" s="18" t="str">
        <x:v>C. RINGKASAN NILAI DAN VALIDASI</x:v>
      </x:c>
      <x:c r="F20" s="18" t="str">
        <x:v>C. RINGKASAN NILAI DAN VALIDASI</x:v>
      </x:c>
      <x:c r="G20" s="18" t="str">
        <x:v>C. RINGKASAN NILAI DAN VALIDASI</x:v>
      </x:c>
      <x:c r="H20" s="18" t="str">
        <x:v>C. RINGKASAN NILAI DAN VALIDASI</x:v>
      </x:c>
      <x:c r="I20" s="18" t="str">
        <x:v>C. RINGKASAN NILAI DAN VALIDASI</x:v>
      </x:c>
      <x:c r="J20" s="18" t="str">
        <x:v>C. RINGKASAN NILAI DAN VALIDASI</x:v>
      </x:c>
    </x:row>
    <x:row r="21">
      <x:c r="A21" s="32" t="str">
        <x:v>Nilai berjalan</x:v>
      </x:c>
      <x:c r="B21" s="35" t="n">
        <x:f>SUM(I13:I18)</x:f>
        <x:v>3.75</x:v>
      </x:c>
      <x:c r="C21" s="32" t="str">
        <x:v>Kelengkapan</x:v>
      </x:c>
      <x:c r="D21" s="37" t="n">
        <x:f>COUNT(G13:G18)/6</x:f>
        <x:v>0.16666666666666666</x:v>
      </x:c>
      <x:c r="E21" s="32" t="str">
        <x:v>Kategori</x:v>
      </x:c>
      <x:c r="F21" s="32" t="str">
        <x:f>IF(D21&lt;1,"BELUM LENGKAP",IF(B21&gt;=75,"PRODUKTIF",IF(B21&gt;=50,"BERJALAN",IF(B21&gt;=25,"PERLU AKTIVASI","KRITIS"))))</x:f>
        <x:v>BELUM LENGKAP</x:v>
      </x:c>
      <x:c r="G21" s="32" t="str">
        <x:v>Status Scorecard</x:v>
      </x:c>
      <x:c r="H21" s="32" t="str">
        <x:f>IF(D21&lt;1,"BELUM LENGKAP",IF(B22="DISETUJUI","FINAL/TERVALIDASI","SIAP DIVALIDASI"))</x:f>
        <x:v>BELUM LENGKAP</x:v>
      </x:c>
      <x:c r="I21" s="32"/>
      <x:c r="J21" s="32"/>
    </x:row>
    <x:row r="22">
      <x:c r="A22" s="32" t="str">
        <x:v>Validasi unit</x:v>
      </x:c>
      <x:c r="B22" s="63" t="str">
        <x:v>BELUM</x:v>
      </x:c>
      <x:c r="C22" s="63" t="str">
        <x:v>Validator</x:v>
      </x:c>
      <x:c r="D22" s="63"/>
      <x:c r="E22" s="32"/>
      <x:c r="F22" s="32" t="str">
        <x:v>Tanggal validasi</x:v>
      </x:c>
      <x:c r="G22" s="63"/>
      <x:c r="H22" s="63" t="str">
        <x:v>Catatan validator</x:v>
      </x:c>
      <x:c r="I22" s="63"/>
      <x:c r="J22" s="63"/>
    </x:row>
    <x:row r="23">
      <x:c r="A23"/>
      <x:c r="B23"/>
      <x:c r="C23"/>
      <x:c r="D23"/>
      <x:c r="E23"/>
      <x:c r="F23"/>
      <x:c r="G23"/>
      <x:c r="H23"/>
      <x:c r="I23"/>
      <x:c r="J23"/>
    </x:row>
    <x:row r="24">
      <x:c r="A24" t="str">
        <x:v>D. EARLY WARNING — TIDAK DITENTUKAN OLEH NILAI SCORECARD</x:v>
      </x:c>
      <x:c r="B24" t="str">
        <x:v>D. EARLY WARNING — TIDAK DITENTUKAN OLEH NILAI SCORECARD</x:v>
      </x:c>
      <x:c r="C24" t="str">
        <x:v>D. EARLY WARNING — TIDAK DITENTUKAN OLEH NILAI SCORECARD</x:v>
      </x:c>
      <x:c r="D24" t="str">
        <x:v>D. EARLY WARNING — TIDAK DITENTUKAN OLEH NILAI SCORECARD</x:v>
      </x:c>
      <x:c r="E24" t="str">
        <x:v>D. EARLY WARNING — TIDAK DITENTUKAN OLEH NILAI SCORECARD</x:v>
      </x:c>
      <x:c r="F24" t="str">
        <x:v>D. EARLY WARNING — TIDAK DITENTUKAN OLEH NILAI SCORECARD</x:v>
      </x:c>
      <x:c r="G24" t="str">
        <x:v>D. EARLY WARNING — TIDAK DITENTUKAN OLEH NILAI SCORECARD</x:v>
      </x:c>
      <x:c r="H24" t="str">
        <x:v>D. EARLY WARNING — TIDAK DITENTUKAN OLEH NILAI SCORECARD</x:v>
      </x:c>
      <x:c r="I24" t="str">
        <x:v>D. EARLY WARNING — TIDAK DITENTUKAN OLEH NILAI SCORECARD</x:v>
      </x:c>
      <x:c r="J24" t="str">
        <x:v>D. EARLY WARNING — TIDAK DITENTUKAN OLEH NILAI SCORECARD</x:v>
      </x:c>
    </x:row>
    <x:row r="25" ht="22" customHeight="1">
      <x:c r="A25" s="18" t="str">
        <x:v>Isi kondisi, fakta, tindakan, PIC, dan tenggat. Masa berlaku dihitung otomati...</x:v>
      </x:c>
      <x:c r="B25" s="18" t="str">
        <x:v>Isi kondisi, fakta, tindakan, PIC, dan tenggat. Masa berlaku dihitung otomati...</x:v>
      </x:c>
      <x:c r="C25" s="18" t="str">
        <x:v>Isi kondisi, fakta, tindakan, PIC, dan tenggat. Masa berlaku dihitung otomati...</x:v>
      </x:c>
      <x:c r="D25" s="18" t="str">
        <x:v>Isi kondisi, fakta, tindakan, PIC, dan tenggat. Masa berlaku dihitung otomati...</x:v>
      </x:c>
      <x:c r="E25" s="18" t="str">
        <x:v>Isi kondisi, fakta, tindakan, PIC, dan tenggat. Masa berlaku dihitung otomati...</x:v>
      </x:c>
      <x:c r="F25" s="18" t="str">
        <x:v>Isi kondisi, fakta, tindakan, PIC, dan tenggat. Masa berlaku dihitung otomati...</x:v>
      </x:c>
      <x:c r="G25" s="18" t="str">
        <x:v>Isi kondisi, fakta, tindakan, PIC, dan tenggat. Masa berlaku dihitung otomati...</x:v>
      </x:c>
      <x:c r="H25" s="18" t="str">
        <x:v>Isi kondisi, fakta, tindakan, PIC, dan tenggat. Masa berlaku dihitung otomati...</x:v>
      </x:c>
      <x:c r="I25" s="18" t="str">
        <x:v>Isi kondisi, fakta, tindakan, PIC, dan tenggat. Masa berlaku dihitung otomati...</x:v>
      </x:c>
      <x:c r="J25" s="18" t="str">
        <x:v>Isi kondisi, fakta, tindakan, PIC, dan tenggat. Masa berlaku dihitung otomati...</x:v>
      </x:c>
    </x:row>
    <x:row r="26">
      <x:c r="A26" s="49" t="str">
        <x:v>No</x:v>
      </x:c>
      <x:c r="B26" s="49" t="str">
        <x:v>Dimensi</x:v>
      </x:c>
      <x:c r="C26" s="49" t="str">
        <x:v>Kondisi</x:v>
      </x:c>
      <x:c r="D26" s="49" t="str">
        <x:v>Status</x:v>
      </x:c>
      <x:c r="E26" s="49" t="str">
        <x:v>Fakta/bukti</x:v>
      </x:c>
      <x:c r="F26" s="49" t="str">
        <x:v>Tindakan</x:v>
      </x:c>
      <x:c r="G26" s="49" t="str">
        <x:v>PIC</x:v>
      </x:c>
      <x:c r="H26" s="49" t="str">
        <x:v>Tenggat</x:v>
      </x:c>
      <x:c r="I26" s="49" t="str">
        <x:v>Progres</x:v>
      </x:c>
      <x:c r="J26" s="49" t="str">
        <x:v>Cek</x:v>
      </x:c>
    </x:row>
    <x:row r="27">
      <x:c r="A27" s="32" t="n">
        <x:v>1</x:v>
      </x:c>
      <x:c r="B27" s="32" t="str">
        <x:v>Masa berlaku</x:v>
      </x:c>
      <x:c r="C27" s="32" t="str">
        <x:f>IF(F9&lt;&gt;"TERVERIFIKASI","BELUM DAPAT DIPASTIKAN",IF(H9&lt;0,"SUDAH BERAKHIR",IF(H9&lt;=30,"H-30",IF(H9&lt;=90,"H-90",IF(H9&lt;=180,"H-180","&gt; H-180")))))</x:f>
        <x:v>&gt; H-180</x:v>
      </x:c>
      <x:c r="D27" s="32" t="str">
        <x:f>IF(C27="BELUM DAPAT DIPASTIKAN","V0 - DATA BELUM CUKUP",IF(OR(C27="SUDAH BERAKHIR",C27="H-30"),"E3 - MERAH",IF(C27="H-90","E2 - JINGGA",IF(C27="H-180","E1 - KUNING","E0 - HIJAU"))))</x:f>
        <x:v>E0 - HIJAU</x:v>
      </x:c>
      <x:c r="E27" s="32" t="str">
        <x:f>'BASELINE BTM'!G14</x:f>
        <x:v>P2MA publik menampilkan status Berlangsung, mulai 8 Mei 2026 dan berakhir 7 Mei 2031; tanggal sesuai data awal.</x:v>
      </x:c>
      <x:c r="F27" s="63"/>
      <x:c r="G27" s="63"/>
      <x:c r="H27" s="63"/>
      <x:c r="I27" s="63" t="str">
        <x:v>BELUM MULAI</x:v>
      </x:c>
      <x:c r="J27" s="32" t="str">
        <x:f>IF(D27="V0 - DATA BELUM CUKUP","LENGKAPI DATA",IF(OR(D27="E1 - KUNING",D27="E2 - JINGGA",D27="E3 - MERAH"),IF(OR(F27="",G27="",H27=""),"LENGKAPI TINDAKAN","OK"),"OK"))</x:f>
        <x:v>OK</x:v>
      </x:c>
    </x:row>
    <x:row r="28">
      <x:c r="A28" s="32" t="n">
        <x:v>2</x:v>
      </x:c>
      <x:c r="B28" s="32" t="str">
        <x:v>Aktivitas/tenggat</x:v>
      </x:c>
      <x:c r="C28" s="32" t="str">
        <x:f>IF(COUNTA('PELAKSANAAN KEGIATAN'!B7:B12)=0,"BELUM DIPERIKSA","ADA DATA KEGIATAN - PERLU VERIFIKASI")</x:f>
        <x:v>BELUM DIPERIKSA</x:v>
      </x:c>
      <x:c r="D28" s="32" t="str">
        <x:f>"V0 - DATA BELUM CUKUP"</x:f>
        <x:v>V0 - DATA BELUM CUKUP</x:v>
      </x:c>
      <x:c r="E28" s="32" t="str">
        <x:f>'BASELINE BTM'!J22</x:f>
        <x:v>Belum ada kegiatan pada sheet pelaksanaan</x:v>
      </x:c>
      <x:c r="F28" s="63"/>
      <x:c r="G28" s="63"/>
      <x:c r="H28" s="63"/>
      <x:c r="I28" s="63" t="str">
        <x:v>BELUM MULAI</x:v>
      </x:c>
      <x:c r="J28" s="32" t="str">
        <x:f>IF(D28="V0 - DATA BELUM CUKUP","LENGKAPI DATA",IF(OR(D28="E1 - KUNING",D28="E2 - JINGGA",D28="E3 - MERAH"),IF(OR(F28="",G28="",H28=""),"LENGKAPI TINDAKAN","OK"),"OK"))</x:f>
        <x:v>LENGKAPI DATA</x:v>
      </x:c>
    </x:row>
    <x:row r="29">
      <x:c r="A29" s="32" t="n">
        <x:v>3</x:v>
      </x:c>
      <x:c r="B29" s="32" t="str">
        <x:v>Data/eviden</x:v>
      </x:c>
      <x:c r="C29" s="32" t="str">
        <x:f>IF(COUNTA('PELAKSANAAN KEGIATAN'!E7:E12)=0,"BELUM DIPERIKSA","ADA KETERANGAN BUKTI - PERLU VERIFIKASI")</x:f>
        <x:v>BELUM DIPERIKSA</x:v>
      </x:c>
      <x:c r="D29" s="32" t="str">
        <x:f>"V0 - DATA BELUM CUKUP"</x:f>
        <x:v>V0 - DATA BELUM CUKUP</x:v>
      </x:c>
      <x:c r="E29" s="32" t="str">
        <x:f>'BASELINE BTM'!J23</x:f>
        <x:v>Belum ada keterangan bukti pada sheet pelaksanaan</x:v>
      </x:c>
      <x:c r="F29" s="63"/>
      <x:c r="G29" s="63"/>
      <x:c r="H29" s="63"/>
      <x:c r="I29" s="63" t="str">
        <x:v>BELUM MULAI</x:v>
      </x:c>
      <x:c r="J29" s="32" t="str">
        <x:f>IF(D29="V0 - DATA BELUM CUKUP","LENGKAPI DATA",IF(OR(D29="E1 - KUNING",D29="E2 - JINGGA",D29="E3 - MERAH"),IF(OR(F29="",G29="",H29=""),"LENGKAPI TINDAKAN","OK"),"OK"))</x:f>
        <x:v>LENGKAPI DATA</x:v>
      </x:c>
    </x:row>
    <x:row r="30">
      <x:c r="A30" s="32" t="n">
        <x:v>4</x:v>
      </x:c>
      <x:c r="B30" s="32" t="str">
        <x:v>PIC</x:v>
      </x:c>
      <x:c r="C30" s="32" t="str">
        <x:f>IF(OR('IDENTITAS &amp; PIC'!C11="",LEFT('IDENTITAS &amp; PIC'!C11,1)="&lt;"),"BELUM DIPERIKSA",IF('BASELINE BTM'!F19="TERVERIFIKASI","PIC INTERNAL TERVERIFIKASI; PIC MITRA PERLU KONFIRMASI","PIC MITRA TERSEDIA; INTERNAL PERLU KONFIRMASI"))</x:f>
        <x:v>BELUM DIPERIKSA</x:v>
      </x:c>
      <x:c r="D30" s="32" t="str">
        <x:f>IF(C30="PIC DUA PIHAK TERSEDIA","E0 - HIJAU","V0 - DATA BELUM CUKUP")</x:f>
        <x:v>V0 - DATA BELUM CUKUP</x:v>
      </x:c>
      <x:c r="E30" s="32" t="str">
        <x:f>'BASELINE BTM'!J20</x:f>
        <x:v>Belum ada PIC mitra yang diisi</x:v>
      </x:c>
      <x:c r="F30" s="63"/>
      <x:c r="G30" s="63"/>
      <x:c r="H30" s="63"/>
      <x:c r="I30" s="63" t="str">
        <x:v>BELUM MULAI</x:v>
      </x:c>
      <x:c r="J30" s="32" t="str">
        <x:f>IF(D30="V0 - DATA BELUM CUKUP","LENGKAPI DATA",IF(OR(D30="E1 - KUNING",D30="E2 - JINGGA",D30="E3 - MERAH"),IF(OR(F30="",G30="",H30=""),"LENGKAPI TINDAKAN","OK"),"OK"))</x:f>
        <x:v>LENGKAPI DATA</x:v>
      </x:c>
    </x:row>
    <x:row r="31">
      <x:c r="A31"/>
      <x:c r="B31"/>
      <x:c r="C31"/>
      <x:c r="D31"/>
      <x:c r="E31"/>
      <x:c r="F31"/>
      <x:c r="G31"/>
      <x:c r="H31"/>
      <x:c r="I31"/>
      <x:c r="J31"/>
    </x:row>
    <x:row r="32">
      <x:c r="A32" s="32" t="str">
        <x:v>Warning tertinggi</x:v>
      </x:c>
      <x:c r="B32" s="32" t="str">
        <x:f>IF(OR(D27="E3 - MERAH",D28="E3 - MERAH",D29="E3 - MERAH",D30="E3 - MERAH"),"E3 - MERAH",IF(OR(D27="E2 - JINGGA",D28="E2 - JINGGA",D29="E2 - JINGGA",D30="E2 - JINGGA"),"E2 - JINGGA",IF(OR(D27="E1 - KUNING",D28="E1 - KUNING",D29="E1 - KUNING",D30="E1 - KUNING"),"E1 - KUNING",IF(OR(D27="V0 - DATA BELUM CUKUP",D28="V0 - DATA BELUM CUKUP",D29="V0 - DATA BELUM CUKUP",D30="V0 - DATA BELUM CUKUP"),"V0 - DATA BELUM CUKUP","E0 - HIJAU"))))</x:f>
        <x:v>V0 - DATA BELUM CUKUP</x:v>
      </x:c>
      <x:c r="C32" s="32" t="str">
        <x:v>Tingkat penanganan</x:v>
      </x:c>
      <x:c r="D32" s="32" t="str">
        <x:f>IF(B32="E3 - MERAH","PERLU KOORDINASI PROJECT LEADER",IF(OR(B32="E2 - JINGGA",B32="E1 - KUNING"),"DITANGANI PIC/UNIT",IF(B32="V0 - DATA BELUM CUKUP","LENGKAPI DATA","MONITORING RUTIN")))</x:f>
        <x:v>LENGKAPI DATA</x:v>
      </x:c>
      <x:c r="E32"/>
      <x:c r="F32"/>
      <x:c r="G32"/>
      <x:c r="H32"/>
      <x:c r="I32"/>
      <x:c r="J32"/>
    </x:row>
    <x:row r="33">
      <x:c r="A33"/>
      <x:c r="B33"/>
      <x:c r="C33"/>
      <x:c r="D33"/>
      <x:c r="E33"/>
      <x:c r="F33"/>
      <x:c r="G33"/>
      <x:c r="H33"/>
      <x:c r="I33"/>
      <x:c r="J33"/>
    </x:row>
    <x:row r="34">
      <x:c r="A34" t="str">
        <x:v>E. UJI KEBUTUHAN INTERVENSI PIMPINAN</x:v>
      </x:c>
      <x:c r="B34" t="str">
        <x:v>E. UJI KEBUTUHAN INTERVENSI PIMPINAN</x:v>
      </x:c>
      <x:c r="C34" t="str">
        <x:v>E. UJI KEBUTUHAN INTERVENSI PIMPINAN</x:v>
      </x:c>
      <x:c r="D34" t="str">
        <x:v>E. UJI KEBUTUHAN INTERVENSI PIMPINAN</x:v>
      </x:c>
      <x:c r="E34" t="str">
        <x:v>E. UJI KEBUTUHAN INTERVENSI PIMPINAN</x:v>
      </x:c>
      <x:c r="F34" t="str">
        <x:v>E. UJI KEBUTUHAN INTERVENSI PIMPINAN</x:v>
      </x:c>
      <x:c r="G34" t="str">
        <x:v>E. UJI KEBUTUHAN INTERVENSI PIMPINAN</x:v>
      </x:c>
      <x:c r="H34" t="str">
        <x:v>E. UJI KEBUTUHAN INTERVENSI PIMPINAN</x:v>
      </x:c>
      <x:c r="I34" t="str">
        <x:v>E. UJI KEBUTUHAN INTERVENSI PIMPINAN</x:v>
      </x:c>
      <x:c r="J34" t="str">
        <x:v>E. UJI KEBUTUHAN INTERVENSI PIMPINAN</x:v>
      </x:c>
    </x:row>
    <x:row r="35" ht="22" customHeight="1">
      <x:c r="A35" s="18" t="str">
        <x:v>Jawab YA hanya jika kondisi benar-benar terjadi dan berada di luar kewenangan...</x:v>
      </x:c>
      <x:c r="B35" s="18" t="str">
        <x:v>Jawab YA hanya jika kondisi benar-benar terjadi dan berada di luar kewenangan...</x:v>
      </x:c>
      <x:c r="C35" s="18" t="str">
        <x:v>Jawab YA hanya jika kondisi benar-benar terjadi dan berada di luar kewenangan...</x:v>
      </x:c>
      <x:c r="D35" s="18" t="str">
        <x:v>Jawab YA hanya jika kondisi benar-benar terjadi dan berada di luar kewenangan...</x:v>
      </x:c>
      <x:c r="E35" s="18" t="str">
        <x:v>Jawab YA hanya jika kondisi benar-benar terjadi dan berada di luar kewenangan...</x:v>
      </x:c>
      <x:c r="F35" s="18" t="str">
        <x:v>Jawab YA hanya jika kondisi benar-benar terjadi dan berada di luar kewenangan...</x:v>
      </x:c>
      <x:c r="G35" s="18" t="str">
        <x:v>Jawab YA hanya jika kondisi benar-benar terjadi dan berada di luar kewenangan...</x:v>
      </x:c>
      <x:c r="H35" s="18" t="str">
        <x:v>Jawab YA hanya jika kondisi benar-benar terjadi dan berada di luar kewenangan...</x:v>
      </x:c>
      <x:c r="I35" s="18" t="str">
        <x:v>Jawab YA hanya jika kondisi benar-benar terjadi dan berada di luar kewenangan...</x:v>
      </x:c>
      <x:c r="J35" s="18" t="str">
        <x:v>Jawab YA hanya jika kondisi benar-benar terjadi dan berada di luar kewenangan...</x:v>
      </x:c>
    </x:row>
    <x:row r="36">
      <x:c r="A36" s="49" t="str">
        <x:v>No</x:v>
      </x:c>
      <x:c r="B36" s="49" t="str">
        <x:v>Pemicu</x:v>
      </x:c>
      <x:c r="C36" s="49" t="str">
        <x:v>Ada?</x:v>
      </x:c>
      <x:c r="D36" s="49" t="str">
        <x:v>Bukti/alasan</x:v>
      </x:c>
      <x:c r="E36"/>
      <x:c r="F36"/>
      <x:c r="G36"/>
      <x:c r="H36"/>
      <x:c r="I36"/>
      <x:c r="J36"/>
    </x:row>
    <x:row r="37">
      <x:c r="A37" s="32" t="n">
        <x:v>1</x:v>
      </x:c>
      <x:c r="B37" s="32" t="str">
        <x:v>Perlu keputusan perpanjangan/addendum/evaluasi/pengakhiran</x:v>
      </x:c>
      <x:c r="C37" s="63" t="str">
        <x:v>BELUM DIPASTIKAN</x:v>
      </x:c>
      <x:c r="D37" s="63"/>
      <x:c r="E37"/>
      <x:c r="F37"/>
      <x:c r="G37"/>
      <x:c r="H37"/>
      <x:c r="I37"/>
      <x:c r="J37"/>
    </x:row>
    <x:row r="38">
      <x:c r="A38" s="32" t="n">
        <x:v>2</x:v>
      </x:c>
      <x:c r="B38" s="32" t="str">
        <x:v>Hambatan lintas unit di luar kewenangan PIC/unit</x:v>
      </x:c>
      <x:c r="C38" s="63" t="str">
        <x:v>BELUM DIPASTIKAN</x:v>
      </x:c>
      <x:c r="D38" s="63"/>
      <x:c r="E38"/>
      <x:c r="F38"/>
      <x:c r="G38"/>
      <x:c r="H38"/>
      <x:c r="I38"/>
      <x:c r="J38"/>
    </x:row>
    <x:row r="39">
      <x:c r="A39" s="32" t="n">
        <x:v>3</x:v>
      </x:c>
      <x:c r="B39" s="32" t="str">
        <x:v>Butuh anggaran/SDM/fasilitas di luar kewenangan unit</x:v>
      </x:c>
      <x:c r="C39" s="63" t="str">
        <x:v>BELUM DIPASTIKAN</x:v>
      </x:c>
      <x:c r="D39" s="63"/>
      <x:c r="E39"/>
      <x:c r="F39"/>
      <x:c r="G39"/>
      <x:c r="H39"/>
      <x:c r="I39"/>
      <x:c r="J39"/>
    </x:row>
    <x:row r="40">
      <x:c r="A40" s="32" t="n">
        <x:v>4</x:v>
      </x:c>
      <x:c r="B40" s="32" t="str">
        <x:v>Komitmen material mitra tidak dipenuhi</x:v>
      </x:c>
      <x:c r="C40" s="63" t="str">
        <x:v>BELUM DIPASTIKAN</x:v>
      </x:c>
      <x:c r="D40" s="63"/>
      <x:c r="E40"/>
      <x:c r="F40"/>
      <x:c r="G40"/>
      <x:c r="H40"/>
      <x:c r="I40"/>
      <x:c r="J40"/>
    </x:row>
    <x:row r="41">
      <x:c r="A41" s="32" t="n">
        <x:v>5</x:v>
      </x:c>
      <x:c r="B41" s="32" t="str">
        <x:v>Ada risiko hukum, reputasi, atau strategis yang material</x:v>
      </x:c>
      <x:c r="C41" s="63" t="str">
        <x:v>BELUM DIPASTIKAN</x:v>
      </x:c>
      <x:c r="D41" s="63"/>
      <x:c r="E41"/>
      <x:c r="F41"/>
      <x:c r="G41"/>
      <x:c r="H41"/>
      <x:c r="I41"/>
      <x:c r="J41"/>
    </x:row>
    <x:row r="42">
      <x:c r="A42"/>
      <x:c r="B42"/>
      <x:c r="C42"/>
      <x:c r="D42"/>
      <x:c r="E42"/>
      <x:c r="F42"/>
      <x:c r="G42"/>
      <x:c r="H42"/>
      <x:c r="I42"/>
      <x:c r="J42"/>
    </x:row>
    <x:row r="43">
      <x:c r="A43" s="32" t="str">
        <x:v>Hasil uji</x:v>
      </x:c>
      <x:c r="B43" s="32" t="str">
        <x:f>IF(OR(C37="BELUM DIPASTIKAN",C38="BELUM DIPASTIKAN",C39="BELUM DIPASTIKAN",C40="BELUM DIPASTIKAN",C41="BELUM DIPASTIKAN"),"LENGKAPI UJI INTERVENSI",IF(OR(C37="YA",C38="YA",C39="YA",C40="YA",C41="YA"),"PERLU INTERVENSI PIMPINAN","DITANGANI PIC/UNIT"))</x:f>
        <x:v>LENGKAPI UJI INTERVENSI</x:v>
      </x:c>
      <x:c r="C43"/>
      <x:c r="D43"/>
      <x:c r="E43"/>
      <x:c r="F43"/>
      <x:c r="G43"/>
      <x:c r="H43"/>
      <x:c r="I43"/>
      <x:c r="J43"/>
    </x:row>
    <x:row r="44">
      <x:c r="A44" s="32" t="str">
        <x:v>Upaya yang sudah dilakukan</x:v>
      </x:c>
      <x:c r="B44" s="63" t="str">
        <x:v>Upaya yang sudah dilakukan</x:v>
      </x:c>
      <x:c r="C44" t="str">
        <x:v>Upaya yang sudah dilakukan</x:v>
      </x:c>
      <x:c r="D44"/>
      <x:c r="E44"/>
      <x:c r="F44"/>
      <x:c r="G44"/>
      <x:c r="H44"/>
      <x:c r="I44"/>
      <x:c r="J44"/>
    </x:row>
    <x:row r="45">
      <x:c r="A45" s="32" t="str">
        <x:v>Keputusan spesifik yang diminta</x:v>
      </x:c>
      <x:c r="B45" s="63" t="str">
        <x:v>Keputusan spesifik yang diminta</x:v>
      </x:c>
      <x:c r="C45" t="str">
        <x:v>Keputusan spesifik yang diminta</x:v>
      </x:c>
      <x:c r="D45"/>
      <x:c r="E45"/>
      <x:c r="F45"/>
      <x:c r="G45"/>
      <x:c r="H45"/>
      <x:c r="I45"/>
      <x:c r="J45"/>
    </x:row>
    <x:row r="46">
      <x:c r="A46" s="32" t="str">
        <x:v>Cek usulan</x:v>
      </x:c>
      <x:c r="B46" s="32" t="str">
        <x:f>IF(B43="LENGKAPI UJI INTERVENSI","LENGKAPI UJI INTERVENSI",IF(B43="PERLU INTERVENSI PIMPINAN",IF(OR(B44="",B45=""),"LENGKAPI USULAN","SIAP DIBAWA KE FORUM"),"TIDAK PERLU USULAN PIMPINAN"))</x:f>
        <x:v>LENGKAPI UJI INTERVENSI</x:v>
      </x:c>
      <x:c r="C46" t="str">
        <x:v>Cek usulan</x:v>
      </x:c>
      <x:c r="D46" t="str">
        <x:f>IF(B43="LENGKAPI UJI INTERVENSI","LENGKAPI UJI INTERVENSI",IF(B43="PERLU INTERVENSI PIMPINAN",IF(OR(B44="",B45=""),"LENGKAPI USULAN","SIAP DIBAWA KE FORUM"),"TIDAK PERLU USULAN PIMPINAN"))</x:f>
        <x:v>LENGKAPI UJI INTERVENSI</x:v>
      </x:c>
      <x:c r="E46"/>
      <x:c r="F46"/>
      <x:c r="G46"/>
      <x:c r="H46"/>
      <x:c r="I46"/>
      <x:c r="J46"/>
    </x:row>
    <x:row r="47">
      <x:c r="A47"/>
      <x:c r="B47"/>
      <x:c r="C47"/>
      <x:c r="D47"/>
      <x:c r="E47"/>
      <x:c r="F47"/>
      <x:c r="G47"/>
      <x:c r="H47"/>
      <x:c r="I47"/>
      <x:c r="J47"/>
    </x:row>
    <x:row r="48">
      <x:c r="A48" s="53" t="str">
        <x:v>Pengingat: nilai, early warning, dan kebutuhan intervensi pimpinan adalah tig...</x:v>
      </x:c>
      <x:c r="B48" s="53"/>
      <x:c r="C48" s="53"/>
      <x:c r="D48" s="53"/>
      <x:c r="E48" s="53"/>
      <x:c r="F48" s="53"/>
      <x:c r="G48" s="53"/>
      <x:c r="H48" s="53"/>
      <x:c r="I48" s="53"/>
      <x:c r="J48" s="53"/>
    </x:row>
  </x:sheetData>
  <x:mergeCells>
    <x:mergeCell ref="A1:J1"/>
    <x:mergeCell ref="A2:J2"/>
    <x:mergeCell ref="A5:J5"/>
    <x:mergeCell ref="B8:J8"/>
    <x:mergeCell ref="A11:J11"/>
    <x:mergeCell ref="A20:J20"/>
    <x:mergeCell ref="A25:J25"/>
    <x:mergeCell ref="A35:J35"/>
    <x:mergeCell ref="A48:J48"/>
  </x:mergeCells>
  <x:conditionalFormatting sqref="J13:J18">
    <x:cfRule type="expression" dxfId="0" priority="1">
      <x:formula>J13="OK"</x:formula>
    </x:cfRule>
    <x:cfRule type="expression" dxfId="1" priority="2">
      <x:formula>J13&lt;&gt;"OK"</x:formula>
    </x:cfRule>
  </x:conditionalFormatting>
  <x:dataValidations count="4">
    <x:dataValidation type="list" sqref="E13:E18">
      <x:formula1>"BELUM DITELAAH,BUKTI MEMADAI,BUKTI BELUM MEMADAI,BELUM DAPAT DINILAI"</x:formula1>
    </x:dataValidation>
    <x:dataValidation type="list" sqref="G13:G18">
      <x:formula1>"0,1,2,3,4"</x:formula1>
    </x:dataValidation>
    <x:dataValidation type="list" sqref="B22">
      <x:formula1>"BELUM,DISETUJUI,PERLU PERBAIKAN"</x:formula1>
    </x:dataValidation>
    <x:dataValidation type="list" sqref="C37:C41">
      <x:formula1>"BELUM DIPASTIKAN,TIDAK,YA"</x:formula1>
    </x:dataValidation>
  </x:dataValidations>
  <x:pageMargins left="0.7" right="0.7" top="0.75" bottom="0.75" header="0.3" footer="0.3"/>
</x:worksheet>
</file>