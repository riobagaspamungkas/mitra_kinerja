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53de879daa497b" /></Relationships>
</file>

<file path=xl/workbook.xml><?xml version="1.0" encoding="utf-8"?>
<x:workbook xmlns:x="http://schemas.openxmlformats.org/spreadsheetml/2006/main">
  <x:sheets>
    <x:sheet xmlns:r="http://schemas.openxmlformats.org/officeDocument/2006/relationships" name="RINGKASAN STAI NATUNA" sheetId="1" r:id="Rc67d9d91b4514a05"/>
    <x:sheet xmlns:r="http://schemas.openxmlformats.org/officeDocument/2006/relationships" name="IDENTITAS &amp; PIC" sheetId="2" r:id="R34dad9b5160c452f"/>
    <x:sheet xmlns:r="http://schemas.openxmlformats.org/officeDocument/2006/relationships" name="PELAKSANAAN KEGIATAN" sheetId="3" r:id="R31f80b1a8e444a98"/>
    <x:sheet xmlns:r="http://schemas.openxmlformats.org/officeDocument/2006/relationships" name="USULAN TINDAK LANJUT" sheetId="4" r:id="R270220c2b8c54881"/>
    <x:sheet xmlns:r="http://schemas.openxmlformats.org/officeDocument/2006/relationships" name="BASELINE STAI NATUNA" sheetId="5" r:id="R4d5387f90d8f4eec"/>
    <x:sheet xmlns:r="http://schemas.openxmlformats.org/officeDocument/2006/relationships" name="SCORECARD STAI NATUNA" sheetId="6" r:id="R1677fc8d21aa4a8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dd mmmm yyyy"/>
    <x:numFmt numFmtId="203" formatCode="@"/>
    <x:numFmt numFmtId="204" formatCode="0"/>
  </x:numFmts>
  <x:fonts count="8">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6B4F00"/>
      <x:name val="Carlito"/>
    </x:font>
    <x:font>
      <x:i/>
      <x:sz val="11"/>
      <x:name val="Carlito"/>
    </x:font>
    <x:font>
      <x:b/>
      <x:sz val="11"/>
      <x:color rgb="FF8B1E1E"/>
      <x:name val="Carlito"/>
    </x:font>
  </x:fonts>
  <x:fills count="8">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3F6B"/>
      </x:patternFill>
    </x:fill>
    <x:fill>
      <x:patternFill patternType="solid">
        <x:fgColor rgb="FFF3F4F6"/>
      </x:patternFill>
    </x:fill>
    <x:fill>
      <x:patternFill patternType="solid">
        <x:fgColor rgb="FFFFF4CC"/>
      </x:patternFill>
    </x:fill>
    <x:fill>
      <x:patternFill patternType="solid">
        <x:fgColor rgb="FFFCE8E6"/>
      </x:patternFill>
    </x:fill>
  </x:fills>
  <x:borders count="2">
    <x:border/>
    <x:border/>
  </x:borders>
  <x:cellStyleXfs count="1">
    <x:xf numFmtId="0" fontId="0" fillId="0" borderId="0"/>
  </x:cellStyleXfs>
  <x:cellXfs count="1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0" fillId="6"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x:xf numFmtId="0" fontId="6" fillId="5" borderId="1"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x:xf numFmtId="0" fontId="4" fillId="6"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2" fontId="0" fillId="5"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0"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2" fontId="0" fillId="6"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3" fontId="0" fillId="6" borderId="0" xfId="0" applyNumberFormat="1" applyFont="1" applyFill="1" applyBorder="1" applyAlignment="1">
      <x:alignment vertical="top" wrapText="1"/>
    </x:xf>
    <x:xf numFmtId="204" fontId="0" fillId="6" borderId="0" xfId="0" applyNumberFormat="1" applyFont="1" applyFill="1" applyBorder="1" applyAlignment="1">
      <x:alignment vertical="top" wrapText="1"/>
    </x:xf>
    <x:xf numFmtId="203" fontId="0" fillId="0" borderId="0" xfId="0" applyNumberFormat="1" applyFont="1" applyFill="1" applyBorder="1"/>
    <x:xf numFmtId="203" fontId="3" fillId="4" borderId="0" xfId="0" applyNumberFormat="1" applyFont="1" applyFill="1" applyBorder="1" applyAlignment="1">
      <x:alignment vertical="center"/>
    </x:xf>
  </x:cellXfs>
  <x:cellStyles count="1">
    <x:cellStyle name="Normal" xfId="0"/>
  </x:cellStyles>
  <x:dxfs count="4">
    <x:dxf>
      <x:fill>
        <x:patternFill>
          <x:bgColor rgb="FFDFF2E1"/>
        </x:patternFill>
      </x:fill>
    </x:dxf>
    <x:dxf>
      <x:fill>
        <x:patternFill>
          <x:bgColor rgb="FFFDEBD0"/>
        </x:patternFill>
      </x:fill>
    </x:dxf>
    <x:dxf>
      <x:fill>
        <x:patternFill>
          <x:bgColor rgb="FFDFF2E1"/>
        </x:patternFill>
      </x:fill>
    </x:dxf>
    <x:dxf>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3ba3ae2f38439c" /><Relationship Type="http://schemas.openxmlformats.org/officeDocument/2006/relationships/theme" Target="/xl/theme/theme1.xml" Id="R158712103bac4f66" /><Relationship Type="http://schemas.openxmlformats.org/officeDocument/2006/relationships/sharedStrings" Target="/xl/sharedStrings.xml" Id="Rf8b2e2dac20f49ea" /><Relationship Type="http://schemas.openxmlformats.org/officeDocument/2006/relationships/worksheet" Target="/xl/worksheets/sheet1.xml" Id="Rc67d9d91b4514a05" /><Relationship Type="http://schemas.openxmlformats.org/officeDocument/2006/relationships/worksheet" Target="/xl/worksheets/sheet2.xml" Id="R34dad9b5160c452f" /><Relationship Type="http://schemas.openxmlformats.org/officeDocument/2006/relationships/worksheet" Target="/xl/worksheets/sheet3.xml" Id="R31f80b1a8e444a98" /><Relationship Type="http://schemas.openxmlformats.org/officeDocument/2006/relationships/worksheet" Target="/xl/worksheets/sheet4.xml" Id="R270220c2b8c54881" /><Relationship Type="http://schemas.openxmlformats.org/officeDocument/2006/relationships/worksheet" Target="/xl/worksheets/sheet5.xml" Id="R4d5387f90d8f4eec" /><Relationship Type="http://schemas.openxmlformats.org/officeDocument/2006/relationships/worksheet" Target="/xl/worksheets/sheet6.xml" Id="R1677fc8d21aa4a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42" hidden="0" customWidth="1"/>
    <x:col min="5" max="5" width="26" hidden="0" customWidth="1"/>
    <x:col min="6" max="6" width="6" hidden="0" customWidth="1"/>
    <x:col min="7" max="7" width="24" hidden="0" customWidth="1"/>
    <x:col min="8" max="8" width="26" hidden="0" customWidth="1"/>
  </x:cols>
  <x:sheetData>
    <x:row r="1" ht="28" customHeight="1">
      <x:c r="A1" s="5" t="str">
        <x:v>MITRA KINERJA — RINGKASAN TERINTEGRASI STAI NATUNA</x:v>
      </x:c>
      <x:c r="B1" s="5"/>
      <x:c r="C1" s="5"/>
      <x:c r="D1" s="5"/>
      <x:c r="E1" s="5"/>
      <x:c r="F1" s="5"/>
      <x:c r="G1" s="5"/>
      <x:c r="H1" s="5"/>
    </x:row>
    <x:row r="2">
      <x:c r="A2" s="12" t="str">
        <x:v>Data Stakeholder → Baseline → Scorecard → Early Warning → Tindak Lanjut</x:v>
      </x:c>
      <x:c r="B2" s="12"/>
      <x:c r="C2" s="12"/>
      <x:c r="D2" s="12"/>
      <x:c r="E2" s="12"/>
      <x:c r="F2" s="12"/>
      <x:c r="G2" s="12"/>
      <x:c r="H2" s="12"/>
    </x:row>
    <x:row r="4" ht="22" customHeight="1">
      <x:c r="A4" s="18" t="str">
        <x:v>IDENTITAS PORTOFOLIO</x:v>
      </x:c>
      <x:c r="B4" s="18"/>
      <x:c r="C4" s="18"/>
      <x:c r="D4" s="18"/>
      <x:c r="E4" s="18"/>
      <x:c r="F4" s="18"/>
      <x:c r="G4" s="18"/>
      <x:c r="H4" s="18"/>
    </x:row>
    <x:row r="5">
      <x:c r="A5" s="31" t="str">
        <x:v>Kode Naskah</x:v>
      </x:c>
      <x:c r="B5" s="32" t="str">
        <x:v>P09</x:v>
      </x:c>
      <x:c r="D5" s="31" t="str">
        <x:v>PIC Mitra</x:v>
      </x:c>
      <x:c r="E5" s="32" t="str">
        <x:f>IF(OR('IDENTITAS &amp; PIC'!C11="",LEFT('IDENTITAS &amp; PIC'!C11,1)="&lt;"),"Belum tersedia",'IDENTITAS &amp; PIC'!C11)</x:f>
        <x:v>Dedi Supriadi, SE</x:v>
      </x:c>
      <x:c r="G5" s="31" t="str">
        <x:v>Nilai Berjalan</x:v>
      </x:c>
      <x:c r="H5" s="35" t="n">
        <x:f>'SCORECARD STAI NATUNA'!B21</x:f>
        <x:v>3.75</x:v>
      </x:c>
    </x:row>
    <x:row r="6">
      <x:c r="A6" s="31" t="str">
        <x:v>Mitra</x:v>
      </x:c>
      <x:c r="B6" s="32" t="str">
        <x:f>'IDENTITAS &amp; PIC'!C5</x:f>
        <x:v>Sekolah Tinggi Agama Islam (STAI) Natuna</x:v>
      </x:c>
      <x:c r="D6" s="31" t="str">
        <x:v>Total Kegiatan</x:v>
      </x:c>
      <x:c r="E6" s="32" t="n">
        <x:f>COUNTA('PELAKSANAAN KEGIATAN'!B7:B12)</x:f>
        <x:v>0</x:v>
      </x:c>
      <x:c r="F6"/>
      <x:c r="G6" s="31" t="str">
        <x:v>Kelengkapan Scorecard</x:v>
      </x:c>
      <x:c r="H6" s="37" t="n">
        <x:f>'SCORECARD STAI NATUNA'!D21</x:f>
        <x:v>0.16666666666666666</x:v>
      </x:c>
    </x:row>
    <x:row r="7">
      <x:c r="A7" s="31" t="str">
        <x:v>Jenis</x:v>
      </x:c>
      <x:c r="B7" s="32" t="str">
        <x:v>MoU</x:v>
      </x:c>
      <x:c r="D7" s="31" t="str">
        <x:v>Usulan Tindak Lanjut</x:v>
      </x:c>
      <x:c r="E7" s="32" t="n">
        <x:f>COUNTA('USULAN TINDAK LANJUT'!B7:B12)</x:f>
        <x:v>6</x:v>
      </x:c>
      <x:c r="G7" s="31" t="str">
        <x:v>Kategori</x:v>
      </x:c>
      <x:c r="H7" s="39" t="str">
        <x:f>'SCORECARD STAI NATUNA'!F21</x:f>
        <x:v>BELUM LENGKAP</x:v>
      </x:c>
    </x:row>
    <x:row r="8">
      <x:c r="A8" s="31" t="str">
        <x:v>Judul</x:v>
      </x:c>
      <x:c r="B8" s="32" t="str">
        <x:v>Pelayanan Hukum dan Fasilitasi Tri Dharma Perguruan Tinggi</x:v>
      </x:c>
      <x:c r="D8" s="31" t="str">
        <x:v>Keterangan Bukti</x:v>
      </x:c>
      <x:c r="E8" s="32" t="n">
        <x:f>COUNTA('PELAKSANAAN KEGIATAN'!E7:E12)</x:f>
        <x:v>0</x:v>
      </x:c>
      <x:c r="G8" s="31" t="str">
        <x:v>Early Warning</x:v>
      </x:c>
      <x:c r="H8" s="39" t="str">
        <x:f>'SCORECARD STAI NATUNA'!B32</x:f>
        <x:v>V0 - DATA BELUM CUKUP</x:v>
      </x:c>
    </x:row>
    <x:row r="10" ht="22" customHeight="1">
      <x:c r="A10" s="18" t="str">
        <x:v>STATUS BASELINE TERINTEGRASI</x:v>
      </x:c>
      <x:c r="B10" s="18"/>
      <x:c r="C10" s="18"/>
      <x:c r="D10" s="18"/>
      <x:c r="E10" s="18"/>
      <x:c r="F10" s="18"/>
      <x:c r="G10" s="18"/>
      <x:c r="H10" s="18"/>
    </x:row>
    <x:row r="11">
      <x:c r="A11" s="49" t="str">
        <x:v>Elemen</x:v>
      </x:c>
      <x:c r="B11" s="49" t="str">
        <x:v>Status Baseline</x:v>
      </x:c>
      <x:c r="C11" s="49" t="str">
        <x:v>Pembaruan Terintegrasi</x:v>
      </x:c>
      <x:c r="D11" s="49" t="str">
        <x:v>Catatan</x:v>
      </x:c>
    </x:row>
    <x:row r="12">
      <x:c r="A12" s="39" t="str">
        <x:v>PIC Mitra</x:v>
      </x:c>
      <x:c r="B12" s="32" t="str">
        <x:f>'BASELINE STAI NATUNA'!F20</x:f>
        <x:v>BELUM TERSEDIA</x:v>
      </x:c>
      <x:c r="C12" s="32" t="str">
        <x:f>'BASELINE STAI NATUNA'!J20</x:f>
        <x:v>PIC mitra: Dedi Supriadi, SE | Jabatan: Admin | Email: dedisoke1@gmail.com | Status: Tetap | PIC cadangan: Natuna Adi Putra, S.E</x:v>
      </x:c>
      <x:c r="D12" s="32" t="str">
        <x:f>'BASELINE STAI NATUNA'!K20</x:f>
        <x:v>Pembaruan tersedia sebagai referensi; status baseline tidak berubah otomatis dan tetap memerlukan verifikasi.</x:v>
      </x:c>
    </x:row>
    <x:row r="13">
      <x:c r="A13" s="39" t="str">
        <x:v>Rencana Tindak Lanjut</x:v>
      </x:c>
      <x:c r="B13" s="32" t="str">
        <x:f>'BASELINE STAI NATUNA'!F21</x:f>
        <x:v>BELUM TERSEDIA</x:v>
      </x:c>
      <x:c r="C13" s="32" t="str">
        <x:f>'BASELINE STAI NATUNA'!J21</x:f>
        <x:v>Jumlah usulan: 6 | Prioritas pertama: Pembentukan/Penguatan Sentra Kekayaan Intelektual (Sentra KI) STAI/IAI Natuna melalui penetapan struktur, tugas, fungsi, dan mekanisme kerja | Target: September-Oktober 2026</x:v>
      </x:c>
      <x:c r="D13" s="32" t="str">
        <x:f>'BASELINE STAI NATUNA'!K21</x:f>
        <x:v>Pembaruan tersedia sebagai referensi; status baseline tidak berubah otomatis dan tetap memerlukan verifikasi.</x:v>
      </x:c>
    </x:row>
    <x:row r="14">
      <x:c r="A14" s="39" t="str">
        <x:v>Pelaksanaan &amp; Hasil</x:v>
      </x:c>
      <x:c r="B14" s="32" t="str">
        <x:f>'BASELINE STAI NATUNA'!F22</x:f>
        <x:v>BELUM TERSEDIA</x:v>
      </x:c>
      <x:c r="C14" s="32" t="str">
        <x:f>'BASELINE STAI NATUNA'!J22</x:f>
        <x:v>Belum ada kegiatan pada sheet pelaksanaan</x:v>
      </x:c>
      <x:c r="D14" s="32" t="str">
        <x:f>'BASELINE STAI NATUNA'!K22</x:f>
        <x:v>Tidak ada pembaruan yang mengubah baseline.</x:v>
      </x:c>
    </x:row>
    <x:row r="15">
      <x:c r="A15" s="39" t="str">
        <x:v>Eviden Implementasi</x:v>
      </x:c>
      <x:c r="B15" s="32" t="str">
        <x:f>'BASELINE STAI NATUNA'!F23</x:f>
        <x:v>BELUM TERSEDIA</x:v>
      </x:c>
      <x:c r="C15" s="32" t="str">
        <x:f>'BASELINE STAI NATUNA'!J23</x:f>
        <x:v>Belum ada keterangan bukti pada sheet pelaksanaan</x:v>
      </x:c>
      <x:c r="D15" s="32" t="str">
        <x:f>'BASELINE STAI NATUNA'!K23</x:f>
        <x:v>Tidak ada pembaruan yang mengubah baseline.</x:v>
      </x:c>
    </x:row>
    <x:row r="17">
      <x:c r="A17" s="53" t="str">
        <x:v>Catatan kendali: data pada sheet input mengalir otomatis sebagai referensi, tetapi TIDAK otomatis mengubah status Baseline atau skor Scorecard. Pemeriksaan bukti dan validasi tetap diperlukan.</x:v>
      </x:c>
      <x:c r="B17" s="53"/>
      <x:c r="C17" s="53"/>
      <x:c r="D17" s="53"/>
      <x:c r="E17" s="53"/>
      <x:c r="F17" s="53"/>
      <x:c r="G17" s="53"/>
      <x:c r="H17" s="53"/>
    </x:row>
    <x:row r="19" ht="42" customHeight="1">
      <x:c r="A19" s="95" t="str">
        <x:v>CATATAN STAI NATUNA: formulir stakeholder sudah memuat PIC utama/cadangan dan 6 usulan tindak lanjut, namun belum memuat kegiatan pelaksanaan/eviden. Data baru mengalir otomatis sebagai referensi; status Baseline dan skor Scorecard tidak berubah otomatis sampai diverifikasi dan divalidasi.</x:v>
      </x:c>
      <x:c r="B19" s="95"/>
      <x:c r="C19" s="95"/>
      <x:c r="D19" s="95"/>
      <x:c r="E19" s="95"/>
      <x:c r="F19" s="95"/>
      <x:c r="G19" s="95"/>
      <x:c r="H19" s="95"/>
    </x:row>
  </x:sheetData>
  <x:mergeCells>
    <x:mergeCell ref="A1:H1"/>
    <x:mergeCell ref="A2:H2"/>
    <x:mergeCell ref="A4:H4"/>
    <x:mergeCell ref="A10:H10"/>
    <x:mergeCell ref="A17: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 hidden="0" customWidth="1"/>
    <x:col min="3" max="3" width="34" hidden="0" customWidth="1"/>
    <x:col min="4" max="4" width="4" hidden="0" customWidth="1"/>
    <x:col min="5" max="5" width="20" hidden="0" customWidth="1"/>
    <x:col min="6" max="6" width="4" hidden="0" customWidth="1"/>
    <x:col min="7" max="7" width="28" hidden="0" customWidth="1"/>
  </x:cols>
  <x:sheetData>
    <x:row r="1" ht="28" customHeight="1">
      <x:c r="A1" s="5" t="str">
        <x:v>IDENTITAS KERJA SAMA DAN PIC — STAI NATUNA</x:v>
      </x:c>
      <x:c r="B1" s="5"/>
      <x:c r="C1" s="5"/>
      <x:c r="D1" s="5"/>
      <x:c r="E1" s="5"/>
      <x:c r="F1" s="5"/>
      <x:c r="G1" s="5"/>
      <x:c r="H1"/>
    </x:row>
    <x:row r="2">
      <x:c r="A2" s="58" t="str">
        <x:v>Data identitas dan PIC berasal dari formulir stakeholder STAI Natuna. Pembaruan menjadi referensi otomatis pada Baseline dan Scorecard, tetapi tetap memerlukan verifikasi.</x:v>
      </x:c>
      <x:c r="B2" s="58"/>
      <x:c r="C2" s="58"/>
      <x:c r="D2" s="58"/>
      <x:c r="E2" s="58"/>
      <x:c r="F2" s="58"/>
      <x:c r="G2" s="58"/>
      <x:c r="H2"/>
    </x:row>
    <x:row r="3">
      <x:c r="A3"/>
      <x:c r="B3"/>
      <x:c r="C3"/>
      <x:c r="D3"/>
      <x:c r="E3"/>
      <x:c r="F3"/>
      <x:c r="G3"/>
      <x:c r="H3"/>
    </x:row>
    <x:row r="4" ht="22" customHeight="1">
      <x:c r="A4" s="18" t="str">
        <x:v>A. IDENTITAS KERJA SAMA</x:v>
      </x:c>
      <x:c r="B4" s="18"/>
      <x:c r="C4" s="18"/>
      <x:c r="D4" s="18"/>
      <x:c r="E4" s="18"/>
      <x:c r="F4" s="18"/>
      <x:c r="G4" s="18"/>
      <x:c r="H4"/>
    </x:row>
    <x:row r="5">
      <x:c r="A5" s="31" t="str">
        <x:v>Nama Mitra</x:v>
      </x:c>
      <x:c r="B5" s="32"/>
      <x:c r="C5" s="63" t="str">
        <x:v>Sekolah Tinggi Agama Islam (STAI) Natuna</x:v>
      </x:c>
      <x:c r="D5" s="63"/>
      <x:c r="E5" s="63"/>
      <x:c r="F5" s="63"/>
      <x:c r="G5" s="63"/>
      <x:c r="H5"/>
    </x:row>
    <x:row r="6">
      <x:c r="A6" s="31" t="str">
        <x:v>Nomor Nota Kesepahaman/Perjanjian Kerja Sama</x:v>
      </x:c>
      <x:c r="B6" s="32"/>
      <x:c r="C6" s="63" t="str">
        <x:v>Nomor: W.32-HH.04.04-24 / Nomor: 03/MOU/STAI-N/V/2026</x:v>
      </x:c>
      <x:c r="D6" s="63"/>
      <x:c r="E6" s="63"/>
      <x:c r="F6" s="63"/>
      <x:c r="G6" s="63"/>
      <x:c r="H6"/>
    </x:row>
    <x:row r="7">
      <x:c r="A7" s="31" t="str">
        <x:v>Tanggal</x:v>
      </x:c>
      <x:c r="B7" s="32"/>
      <x:c r="C7" s="96" t="str">
        <x:v>08- Mei - 2026</x:v>
      </x:c>
      <x:c r="D7" s="63"/>
      <x:c r="E7" s="63"/>
      <x:c r="F7" s="63"/>
      <x:c r="G7" s="63"/>
      <x:c r="H7"/>
    </x:row>
    <x:row r="8">
      <x:c r="A8" s="31" t="str">
        <x:v>Ruang Lingkup</x:v>
      </x:c>
      <x:c r="B8" s="32"/>
      <x:c r="C8" s="63" t="str">
        <x:v>Pelayanan Hukum dan Fasilitasi Tri Dharma Perguruan Tinggi</x:v>
      </x:c>
      <x:c r="D8" s="63"/>
      <x:c r="E8" s="63"/>
      <x:c r="F8" s="63"/>
      <x:c r="G8" s="63"/>
      <x:c r="H8"/>
    </x:row>
    <x:row r="9">
      <x:c r="A9"/>
      <x:c r="B9"/>
      <x:c r="C9"/>
      <x:c r="D9"/>
      <x:c r="E9"/>
      <x:c r="F9"/>
      <x:c r="G9"/>
      <x:c r="H9"/>
    </x:row>
    <x:row r="10" ht="22" customHeight="1">
      <x:c r="A10" s="18" t="str">
        <x:v>B. PIC UTAMA</x:v>
      </x:c>
      <x:c r="B10" s="18"/>
      <x:c r="C10" s="18"/>
      <x:c r="D10" s="18"/>
      <x:c r="E10" s="18"/>
      <x:c r="F10" s="18"/>
      <x:c r="G10" s="18"/>
      <x:c r="H10"/>
    </x:row>
    <x:row r="11">
      <x:c r="A11" s="31" t="str">
        <x:v>Nama Lengkap*</x:v>
      </x:c>
      <x:c r="B11" s="32"/>
      <x:c r="C11" s="63" t="str">
        <x:v>Dedi Supriadi, SE</x:v>
      </x:c>
      <x:c r="D11" s="32"/>
      <x:c r="E11" s="31" t="str">
        <x:v>Jabatan*</x:v>
      </x:c>
      <x:c r="F11" s="32"/>
      <x:c r="G11" s="63" t="str">
        <x:v>Admin</x:v>
      </x:c>
      <x:c r="H11"/>
    </x:row>
    <x:row r="12">
      <x:c r="A12" s="31" t="str">
        <x:v>Unit Kerja*</x:v>
      </x:c>
      <x:c r="B12" s="32"/>
      <x:c r="C12" s="63" t="str">
        <x:v>STAI Natuna</x:v>
      </x:c>
      <x:c r="D12" s="32"/>
      <x:c r="E12" s="31" t="str">
        <x:v>No. HP/WA*</x:v>
      </x:c>
      <x:c r="F12" s="32"/>
      <x:c r="G12" s="98" t="str">
        <x:v>082169923349</x:v>
      </x:c>
      <x:c r="H12"/>
    </x:row>
    <x:row r="13">
      <x:c r="A13" s="31" t="str">
        <x:v>Email Resmi*</x:v>
      </x:c>
      <x:c r="B13" s="32"/>
      <x:c r="C13" s="63" t="str">
        <x:v>dedisoke1@gmail.com</x:v>
      </x:c>
      <x:c r="D13" s="32"/>
      <x:c r="E13" s="31" t="str">
        <x:v>Status</x:v>
      </x:c>
      <x:c r="F13" s="32"/>
      <x:c r="G13" s="98" t="str">
        <x:v>Tetap</x:v>
      </x:c>
      <x:c r="H13"/>
    </x:row>
    <x:row r="14">
      <x:c r="A14"/>
      <x:c r="B14"/>
      <x:c r="C14"/>
      <x:c r="D14"/>
      <x:c r="E14"/>
      <x:c r="F14"/>
      <x:c r="G14" s="100"/>
      <x:c r="H14"/>
    </x:row>
    <x:row r="15" ht="22" customHeight="1">
      <x:c r="A15" s="18" t="str">
        <x:v>C. PIC CADANGAN</x:v>
      </x:c>
      <x:c r="B15" s="18"/>
      <x:c r="C15" s="18"/>
      <x:c r="D15" s="18"/>
      <x:c r="E15" s="18"/>
      <x:c r="F15" s="18"/>
      <x:c r="G15" s="101"/>
      <x:c r="H15"/>
    </x:row>
    <x:row r="16">
      <x:c r="A16" s="31" t="str">
        <x:v>Nama Lengkap*</x:v>
      </x:c>
      <x:c r="B16" s="32"/>
      <x:c r="C16" s="63" t="str">
        <x:v>Natuna Adi Putra, S.E</x:v>
      </x:c>
      <x:c r="D16" s="32"/>
      <x:c r="E16" s="31" t="str">
        <x:v>Jabatan*</x:v>
      </x:c>
      <x:c r="F16" s="32"/>
      <x:c r="G16" s="98" t="str">
        <x:v>Sekretaris</x:v>
      </x:c>
      <x:c r="H16"/>
    </x:row>
    <x:row r="17">
      <x:c r="A17" s="31" t="str">
        <x:v>Unit Kerja*</x:v>
      </x:c>
      <x:c r="B17" s="32"/>
      <x:c r="C17" s="63" t="str">
        <x:v>STAI Natuna</x:v>
      </x:c>
      <x:c r="D17" s="32"/>
      <x:c r="E17" s="31" t="str">
        <x:v>No. HP/WA*</x:v>
      </x:c>
      <x:c r="F17" s="32"/>
      <x:c r="G17" s="98" t="n">
        <x:v>81364648761</x:v>
      </x:c>
      <x:c r="H17"/>
    </x:row>
    <x:row r="18">
      <x:c r="A18" s="31" t="str">
        <x:v>Email Resmi*</x:v>
      </x:c>
      <x:c r="B18" s="32"/>
      <x:c r="C18" s="63" t="str">
        <x:v>natunaadiputra4891@gmail.com</x:v>
      </x:c>
      <x:c r="D18" s="32"/>
      <x:c r="E18" s="31" t="str">
        <x:v>Status</x:v>
      </x:c>
      <x:c r="F18" s="32"/>
      <x:c r="G18" s="63" t="str">
        <x:v>Tetap</x:v>
      </x:c>
      <x:c r="H18"/>
    </x:row>
    <x:row r="19">
      <x:c r="A19"/>
      <x:c r="B19"/>
      <x:c r="C19"/>
      <x:c r="D19"/>
      <x:c r="E19"/>
      <x:c r="F19"/>
      <x:c r="G19"/>
      <x:c r="H19"/>
    </x:row>
    <x:row r="20" ht="22" customHeight="1">
      <x:c r="A20" s="18" t="str">
        <x:v>D. KONFIRMASI RAPAT PENGUATAN PIC</x:v>
      </x:c>
      <x:c r="B20" s="18"/>
      <x:c r="C20" s="18"/>
      <x:c r="D20" s="18"/>
      <x:c r="E20" s="18"/>
      <x:c r="F20" s="18"/>
      <x:c r="G20" s="18"/>
      <x:c r="H20"/>
    </x:row>
    <x:row r="21">
      <x:c r="A21" s="31" t="str">
        <x:v>Kesediaan Hadir*</x:v>
      </x:c>
      <x:c r="B21" s="32"/>
      <x:c r="C21" s="63" t="str">
        <x:v>Hadir</x:v>
      </x:c>
      <x:c r="D21" s="32"/>
      <x:c r="E21" s="31" t="str">
        <x:v>Nama Peserta*</x:v>
      </x:c>
      <x:c r="F21" s="32"/>
      <x:c r="G21" s="63" t="str">
        <x:v>Hasmiza, M.Pd</x:v>
      </x:c>
      <x:c r="H21"/>
    </x:row>
    <x:row r="22">
      <x:c r="A22" s="31" t="str">
        <x:v>Pertanyaan/Kebutuhan Awal</x:v>
      </x:c>
      <x:c r="B22" s="32"/>
      <x:c r="C22" s="63" t="str">
        <x:v>&lt;misal: penjelasan data, jadwal, atau pihak yang perlu dihubungi&gt;</x:v>
      </x:c>
      <x:c r="D22" s="32"/>
      <x:c r="E22" s="32"/>
      <x:c r="F22" s="32"/>
      <x:c r="G22" s="32"/>
      <x:c r="H22"/>
    </x:row>
    <x:row r="23">
      <x:c r="A23"/>
      <x:c r="B23"/>
      <x:c r="C23"/>
      <x:c r="D23"/>
      <x:c r="E23"/>
      <x:c r="F23"/>
      <x:c r="G23"/>
      <x:c r="H23"/>
    </x:row>
    <x:row r="24">
      <x:c r="A24" s="66" t="str">
        <x:v>Data kontak digunakan untuk koordinasi, monitoring, evaluasi, dan tindak lanjut pelaksanaan kerja sama.</x:v>
      </x:c>
      <x:c r="B24" s="66"/>
      <x:c r="C24" s="66"/>
      <x:c r="D24" s="66"/>
      <x:c r="E24" s="66"/>
      <x:c r="F24" s="66"/>
      <x:c r="G24" s="66"/>
      <x:c r="H24"/>
    </x:row>
    <x:row r="25">
      <x:c r="A25"/>
      <x:c r="B25"/>
      <x:c r="C25"/>
      <x:c r="D25"/>
      <x:c r="E25"/>
      <x:c r="F25"/>
      <x:c r="G25"/>
      <x:c r="H25"/>
    </x:row>
  </x:sheetData>
  <x:mergeCells>
    <x:mergeCell ref="A1:G1"/>
    <x:mergeCell ref="A2:G2"/>
    <x:mergeCell ref="A4:G4"/>
    <x:mergeCell ref="C5:G5"/>
    <x:mergeCell ref="C6:G6"/>
    <x:mergeCell ref="C7:G7"/>
    <x:mergeCell ref="C8:G8"/>
    <x:mergeCell ref="A10:G10"/>
    <x:mergeCell ref="A15:G15"/>
    <x:mergeCell ref="A20:G20"/>
    <x:mergeCell ref="C22:G22"/>
    <x:mergeCell ref="A24:G24"/>
  </x:mergeCells>
  <x:dataValidations count="3">
    <x:dataValidation type="list" sqref="C13">
      <x:formula1>"Tetap,Tidak Aktif,Pengganti"</x:formula1>
    </x:dataValidation>
    <x:dataValidation type="list" sqref="G13">
      <x:formula1>"Tetap,Tidak Aktif,Pengganti"</x:formula1>
    </x:dataValidation>
    <x:dataValidation type="list" sqref="C21">
      <x:formula1>"Hadir,Tidak Hadir,Daring"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6" hidden="0" customWidth="1"/>
    <x:col min="3" max="3" width="20" hidden="0" customWidth="1"/>
    <x:col min="4" max="4" width="32" hidden="0" customWidth="1"/>
    <x:col min="5" max="5" width="38" hidden="0" customWidth="1"/>
    <x:col min="6" max="6" width="30" hidden="0" customWidth="1"/>
  </x:cols>
  <x:sheetData>
    <x:row r="1" ht="28" customHeight="1">
      <x:c r="A1" s="5" t="str">
        <x:v>KEGIATAN YANG SUDAH/SEDANG DILAKSANAKAN — STAI NATUNA</x:v>
      </x:c>
      <x:c r="B1" s="5"/>
      <x:c r="C1" s="5"/>
      <x:c r="D1" s="5"/>
      <x:c r="E1" s="5"/>
      <x:c r="F1" s="5"/>
    </x:row>
    <x:row r="2">
      <x:c r="A2" s="58" t="str">
        <x:v>Belum ada kegiatan yang diisi pada formulir stakeholder. Jika kelak diisi, data akan menjadi referensi otomatis pada Baseline, Scorecard, dan Early Warning tanpa otomatis mengubah skor sebelum verifikasi.</x:v>
      </x:c>
      <x:c r="B2" s="58"/>
      <x:c r="C2" s="58"/>
      <x:c r="D2" s="58"/>
      <x:c r="E2" s="58"/>
      <x:c r="F2" s="58"/>
    </x:row>
    <x:row r="3">
      <x:c r="A3"/>
      <x:c r="B3"/>
      <x:c r="C3"/>
      <x:c r="D3"/>
      <x:c r="E3"/>
      <x:c r="F3"/>
    </x:row>
    <x:row r="4">
      <x:c r="A4" s="70" t="str">
        <x:v>Isi hanya kegiatan utama. Jika belum ada kegiatan, sheet ini boleh dikosongkan. Kolom tanpa tanda * bersifat opsional.</x:v>
      </x:c>
      <x:c r="B4" s="70"/>
      <x:c r="C4" s="70"/>
      <x:c r="D4" s="70"/>
      <x:c r="E4" s="70"/>
      <x:c r="F4" s="70"/>
    </x:row>
    <x:row r="5">
      <x:c r="A5"/>
      <x:c r="B5"/>
      <x:c r="C5"/>
      <x:c r="D5"/>
      <x:c r="E5"/>
      <x:c r="F5"/>
    </x:row>
    <x:row r="6">
      <x:c r="A6" s="49" t="str">
        <x:v>No.</x:v>
      </x:c>
      <x:c r="B6" s="49" t="str">
        <x:v>Kegiatan yang Sudah/Sedang Dilaksanakan*</x:v>
      </x:c>
      <x:c r="C6" s="49" t="str">
        <x:v>Status*</x:v>
      </x:c>
      <x:c r="D6" s="49" t="str">
        <x:v>Hasil/Manfaat Singkat</x:v>
      </x:c>
      <x:c r="E6" s="49" t="str">
        <x:v>Bukti yang Tersedia (opsional: nama file/tautan)</x:v>
      </x:c>
      <x:c r="F6" s="49" t="str">
        <x:v>Kendala/Catatan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dataValidations count="1">
    <x:dataValidation type="list" sqref="C7:C10">
      <x:formula1>"Sudah Dilaksanakan,Sedang Berjalan,Belum Dilaksanakan"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6" hidden="0" customWidth="1"/>
    <x:col min="3" max="3" width="18" hidden="0" customWidth="1"/>
    <x:col min="4" max="4" width="34" hidden="0" customWidth="1"/>
    <x:col min="5" max="5" width="32" hidden="0" customWidth="1"/>
    <x:col min="6" max="6" width="32" hidden="0" customWidth="1"/>
  </x:cols>
  <x:sheetData>
    <x:row r="1" ht="28" customHeight="1">
      <x:c r="A1" s="5" t="str">
        <x:v>USULAN TINDAK LANJUT — STAI NATUNA</x:v>
      </x:c>
      <x:c r="B1" s="5"/>
      <x:c r="C1" s="5"/>
      <x:c r="D1" s="5"/>
      <x:c r="E1" s="5"/>
      <x:c r="F1" s="5"/>
    </x:row>
    <x:row r="2">
      <x:c r="A2" s="58" t="str">
        <x:v>Usulan tindak lanjut berasal dari formulir stakeholder STAI Natuna dan menjadi referensi otomatis; status Baseline dan skor tidak berubah tanpa verifikasi.</x:v>
      </x:c>
      <x:c r="B2" s="58"/>
      <x:c r="C2" s="58"/>
      <x:c r="D2" s="58"/>
      <x:c r="E2" s="58"/>
      <x:c r="F2" s="58"/>
    </x:row>
    <x:row r="3">
      <x:c r="A3"/>
      <x:c r="B3"/>
      <x:c r="C3"/>
      <x:c r="D3"/>
      <x:c r="E3"/>
      <x:c r="F3"/>
    </x:row>
    <x:row r="4">
      <x:c r="A4" s="70" t="str">
        <x:v>Cukup isi usulan prioritas. Kolom E–F opsional: bantuan = data/narasumber/surat/fasilitasi; pihak = unit atau instansi yang perlu diajak berkoordinasi.</x:v>
      </x:c>
      <x:c r="B4" s="70"/>
      <x:c r="C4" s="70"/>
      <x:c r="D4" s="70"/>
      <x:c r="E4" s="70"/>
      <x:c r="F4" s="70"/>
    </x:row>
    <x:row r="5">
      <x:c r="A5"/>
      <x:c r="B5"/>
      <x:c r="C5"/>
      <x:c r="D5"/>
      <x:c r="E5"/>
      <x:c r="F5"/>
    </x:row>
    <x:row r="6">
      <x:c r="A6" s="49" t="str">
        <x:v>No.</x:v>
      </x:c>
      <x:c r="B6" s="49" t="str">
        <x:v>Usulan Kegiatan/Tindak Lanjut*</x:v>
      </x:c>
      <x:c r="C6" s="49" t="str">
        <x:v>Target Waktu*</x:v>
      </x:c>
      <x:c r="D6" s="49" t="str">
        <x:v>Hasil/Manfaat yang Diharapkan</x:v>
      </x:c>
      <x:c r="E6" s="49" t="str">
        <x:v>Bantuan yang Dibutuhkan (jika ada)</x:v>
      </x:c>
      <x:c r="F6" s="49" t="str">
        <x:v>Pihak yang Perlu Dilibatkan (jika ada)</x:v>
      </x:c>
    </x:row>
    <x:row r="7">
      <x:c r="A7" s="32" t="n">
        <x:v>1</x:v>
      </x:c>
      <x:c r="B7" s="63" t="str">
        <x:v>Pembentukan/Penguatan Sentra Kekayaan Intelektual (Sentra KI) STAI/IAI Natuna melalui penetapan struktur, tugas, fungsi, dan mekanisme kerja</x:v>
      </x:c>
      <x:c r="C7" s="63" t="str">
        <x:v>September-Oktober 2026</x:v>
      </x:c>
      <x:c r="D7" s="63" t="str">
        <x:v>Tersedianya kelembagaan Sentra KI yang memiliki struktur dan tata kelola yang jelas sebagai pusat layanan KI kampus</x:v>
      </x:c>
      <x:c r="E7" s="63" t="str">
        <x:v>Pendampingan kelembagaan, contoh struktur/tata kelola Sentra KI, dan konsultasi dari Kanwil Kemenkum Kepri.</x:v>
      </x:c>
      <x:c r="F7" s="63" t="str">
        <x:v>Pimpinan IAI/STAI Natuna, P3M/LPPM, Kanwil Kemenkum Kepri</x:v>
      </x:c>
    </x:row>
    <x:row r="8">
      <x:c r="A8" s="32" t="n">
        <x:v>2</x:v>
      </x:c>
      <x:c r="B8" s="63" t="str">
        <x:v>Sosialisasi dan edukasi Kekayaan Intelektual bagi dosen, mahasiswa, tenaga kependidikan, dan pengelola Sentra KI.</x:v>
      </x:c>
      <x:c r="C8" s="63" t="str">
        <x:v>Oktober 2026</x:v>
      </x:c>
      <x:c r="D8" s="63" t="str">
        <x:v>Meningkatnya pemahaman sivitas akademika tentang Hak Cipta, Merek, Paten, Desain Industri, KI Komunal, dan bentuk KI lainnya.</x:v>
      </x:c>
      <x:c r="E8" s="63" t="str">
        <x:v>Narasumber, materi sosialisasi, dan layanan konsultasi KI.</x:v>
      </x:c>
      <x:c r="F8" s="63" t="str">
        <x:v>Kanwil Kemenkum Kepri, Sentra KI, dosen, mahasiswa</x:v>
      </x:c>
    </x:row>
    <x:row r="9">
      <x:c r="A9" s="32" t="n">
        <x:v>3</x:v>
      </x:c>
      <x:c r="B9" s="63" t="str">
        <x:v>Inventarisasi dan pemetaan potensi Kekayaan Intelektual yang dihasilkan dosen dan mahasiswa, termasuk karya penelitian, buku, modul, media pembelajaran, aplikasi, produk inovasi, dan karya seni/budaya Melayu.</x:v>
      </x:c>
      <x:c r="C9" s="63" t="str">
        <x:v>Oktober–November 2026</x:v>
      </x:c>
      <x:c r="D9" s="63" t="str">
        <x:v>Tersusunnya database potensi KI sivitas akademika yang dapat diprioritaskan untuk perlindungan hukum.</x:v>
      </x:c>
      <x:c r="E9" s="63" t="str">
        <x:v>Pendampingan identifikasi jenis KI dan instrumen pemetaan.</x:v>
      </x:c>
      <x:c r="F9" s="63" t="str">
        <x:v>Sentra KI, P3M/LPPM, program studi, dosen, mahasiswa</x:v>
      </x:c>
    </x:row>
    <x:row r="10">
      <x:c r="A10" s="32" t="n">
        <x:v>4</x:v>
      </x:c>
      <x:c r="B10" s="63" t="str">
        <x:v>Klinik/Pendampingan Pendaftaran KI bagi sivitas akademika melalui Sentra KI secara berkala.</x:v>
      </x:c>
      <x:c r="C10" s="63" t="str">
        <x:v>November–Desember 2026 dan berkelanjutan</x:v>
      </x:c>
      <x:c r="D10" s="63" t="str">
        <x:v>Meningkatnya jumlah karya dosen dan mahasiswa yang tercatat/terdaftar sebagai KI serta meningkatnya budaya perlindungan karya akademik.</x:v>
      </x:c>
      <x:c r="E10" s="63" t="str">
        <x:v>Pendampingan teknis pendaftaran, konsultasi dokumen, dan fasilitasi layanan KI.</x:v>
      </x:c>
      <x:c r="F10" s="63" t="str">
        <x:v>Kanwil Kemenkum Kepri, Sentra KI, pemilik karya</x:v>
      </x:c>
    </x:row>
    <x:row r="11">
      <x:c r="A11" t="n">
        <x:v>5</x:v>
      </x:c>
      <x:c r="B11" t="str">
        <x:v>Program prioritas pendaftaran Hak Cipta dan Merek atas karya unggulan institusi dan sivitas akademika.</x:v>
      </x:c>
      <x:c r="C11" t="str">
        <x:v>November–Desember 2026</x:v>
      </x:c>
      <x:c r="D11" t="str">
        <x:v>Tersedianya sejumlah sertifikat pencatatan Hak Cipta dan/atau pendaftaran Merek sebagai luaran nyata implementasi MoU.</x:v>
      </x:c>
      <x:c r="E11" t="str">
        <x:v>Verifikasi karya dan pendampingan proses pengajuan KI.</x:v>
      </x:c>
      <x:c r="F11" t="str">
        <x:v>Sentra KI, Kanwil Kemenkum Kepri, P3M/LPPM, unit terkait</x:v>
      </x:c>
    </x:row>
    <x:row r="12">
      <x:c r="A12" t="n">
        <x:v>6</x:v>
      </x:c>
      <x:c r="B12" t="str">
        <x:v>Pengembangan KI berbasis Khazanah Melayu dan potensi lokal Natuna, termasuk dokumentasi dan perlindungan karya budaya/pengetahuan tradisional yang relevan.</x:v>
      </x:c>
      <x:c r="C12" t="str">
        <x:v>2026–2027</x:v>
      </x:c>
      <x:c r="D12" t="str">
        <x:v>Terlindunginya potensi kekayaan intelektual lokal serta meningkatnya kontribusi kampus dalam pelestarian dan pengembangan Khazanah Melayu Natuna.</x:v>
      </x:c>
      <x:c r="E12" t="str">
        <x:v>Pendampingan identifikasi KI Komunal dan konsultasi perlindungan KI.</x:v>
      </x:c>
      <x:c r="F12" t="str">
        <x:v>IAI/STAI Natuna, Kanwil Kemenkum Kepri, pemerintah daerah, masyarakat/adat</x:v>
      </x:c>
    </x:row>
  </x:sheetData>
  <x:mergeCells>
    <x:mergeCell ref="A1:F1"/>
    <x:mergeCell ref="A2:F2"/>
    <x:mergeCell ref="A4:F4"/>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24" hidden="0" customWidth="1"/>
    <x:col min="4" max="4" width="31" hidden="0" customWidth="1"/>
    <x:col min="5" max="5" width="30" hidden="0" customWidth="1"/>
    <x:col min="6" max="6" width="20" hidden="0" customWidth="1"/>
    <x:col min="7" max="7" width="48" hidden="0" customWidth="1"/>
    <x:col min="8" max="8" width="38" hidden="0" customWidth="1"/>
    <x:col min="9" max="9" width="38" hidden="0" customWidth="1"/>
    <x:col min="10" max="10" width="48" hidden="0" customWidth="1"/>
    <x:col min="11" max="11" width="42" hidden="0" customWidth="1"/>
  </x:cols>
  <x:sheetData>
    <x:row r="1" ht="28" customHeight="1">
      <x:c r="A1" s="5" t="str">
        <x:v>FORMULIR BASELINE V.0 — MITRA KINERJA — STAI NATUNA</x:v>
      </x:c>
      <x:c r="B1" s="5" t="str">
        <x:v>SIMULASI FORMULIR BASELINE V.0 — MITRA KINERJA</x:v>
      </x:c>
      <x:c r="C1" s="5" t="str">
        <x:v>SIMULASI FORMULIR BASELINE V.0 — MITRA KINERJA</x:v>
      </x:c>
      <x:c r="D1" s="5" t="str">
        <x:v>SIMULASI FORMULIR BASELINE V.0 — MITRA KINERJA</x:v>
      </x:c>
      <x:c r="E1" s="5" t="str">
        <x:v>SIMULASI FORMULIR BASELINE V.0 — MITRA KINERJA</x:v>
      </x:c>
      <x:c r="F1" s="5" t="str">
        <x:v>SIMULASI FORMULIR BASELINE V.0 — MITRA KINERJA</x:v>
      </x:c>
      <x:c r="G1" s="5" t="str">
        <x:v>SIMULASI FORMULIR BASELINE V.0 — MITRA KINERJA</x:v>
      </x:c>
      <x:c r="H1" s="5" t="str">
        <x:v>SIMULASI FORMULIR BASELINE V.0 — MITRA KINERJA</x:v>
      </x:c>
      <x:c r="I1" s="5" t="str">
        <x:v>SIMULASI FORMULIR BASELINE V.0 — MITRA KINERJA</x:v>
      </x:c>
      <x:c r="J1" s="5"/>
      <x:c r="K1" s="5"/>
    </x:row>
    <x:row r="2">
      <x:c r="A2" s="58" t="str">
        <x:v>P09 — PILOT UTAMA — Sekolah Tinggi Agama Islam Natuna</x:v>
      </x:c>
      <x:c r="B2" s="58"/>
      <x:c r="C2" s="58"/>
      <x:c r="D2" s="58"/>
      <x:c r="E2" s="58"/>
      <x:c r="F2" s="58"/>
      <x:c r="G2" s="58"/>
      <x:c r="H2" s="58"/>
      <x:c r="I2" s="58"/>
      <x:c r="J2" s="58"/>
      <x:c r="K2" s="58"/>
    </x:row>
    <x:row r="3">
      <x:c r="A3"/>
      <x:c r="B3"/>
      <x:c r="C3"/>
      <x:c r="D3"/>
      <x:c r="E3"/>
      <x:c r="F3"/>
      <x:c r="G3"/>
      <x:c r="H3"/>
      <x:c r="I3"/>
    </x:row>
    <x:row r="4" ht="22" customHeight="1">
      <x:c r="A4" s="18" t="str">
        <x:v>IDENTITAS NASKAH DAN KONTROL PEMERIKSAAN</x:v>
      </x:c>
      <x:c r="B4" s="18"/>
      <x:c r="C4" s="18"/>
      <x:c r="D4" s="18"/>
      <x:c r="E4" s="18"/>
      <x:c r="F4" s="18"/>
      <x:c r="G4" s="18"/>
      <x:c r="H4" s="18"/>
      <x:c r="I4" s="18"/>
      <x:c r="J4" s="18"/>
      <x:c r="K4" s="18"/>
    </x:row>
    <x:row r="5">
      <x:c r="A5" s="31" t="str">
        <x:v>Kode naskah</x:v>
      </x:c>
      <x:c r="B5" s="32" t="str">
        <x:v>P09</x:v>
      </x:c>
      <x:c r="C5" s="32"/>
      <x:c r="D5" s="31" t="str">
        <x:v>Status portofolio</x:v>
      </x:c>
      <x:c r="E5" s="32" t="str">
        <x:v>Pilot Utama</x:v>
      </x:c>
      <x:c r="F5" s="32"/>
      <x:c r="G5" s="31" t="str">
        <x:v>Nama pemeriksa</x:v>
      </x:c>
      <x:c r="H5" s="32" t="str">
        <x:v>SIMULASI AWAL — belum diverifikasi petugas</x:v>
      </x:c>
      <x:c r="I5" s="32" t="str">
        <x:v>SIMULASI AWAL — belum diverifikasi petugas</x:v>
      </x:c>
      <x:c r="J5" s="32"/>
      <x:c r="K5" s="32"/>
    </x:row>
    <x:row r="6">
      <x:c r="A6" s="31" t="str">
        <x:v>Mitra</x:v>
      </x:c>
      <x:c r="B6" s="32" t="str">
        <x:v>Sekolah Tinggi Agama Islam Natuna</x:v>
      </x:c>
      <x:c r="C6" s="32"/>
      <x:c r="D6" s="31"/>
      <x:c r="E6" s="32"/>
      <x:c r="F6" s="32"/>
      <x:c r="G6" s="31" t="str">
        <x:v>Unit/Tim pemeriksa</x:v>
      </x:c>
      <x:c r="H6" s="32" t="str">
        <x:v>Pokja Data / pemeriksa naskah (simulasi)</x:v>
      </x:c>
      <x:c r="I6" s="32" t="str">
        <x:v>Pokja Data / pemeriksa naskah (simulasi)</x:v>
      </x:c>
      <x:c r="J6" s="32"/>
      <x:c r="K6" s="32"/>
    </x:row>
    <x:row r="7">
      <x:c r="A7" s="31" t="str">
        <x:v>Jenis awal</x:v>
      </x:c>
      <x:c r="B7" s="32" t="str">
        <x:v>MoU</x:v>
      </x:c>
      <x:c r="C7" s="32"/>
      <x:c r="D7" s="31" t="str">
        <x:v>Nomor naskah awal</x:v>
      </x:c>
      <x:c r="E7" s="32" t="str">
        <x:v>TERVERIFIKASI</x:v>
      </x:c>
      <x:c r="F7" s="32" t="str">
        <x:v>BELUM TERVERIFIKASI</x:v>
      </x:c>
      <x:c r="G7" s="31" t="str">
        <x:v>Tanggal pemeriksaan</x:v>
      </x:c>
      <x:c r="H7" s="75" t="n">
        <x:v>46262</x:v>
      </x:c>
      <x:c r="I7" s="32" t="n">
        <x:v>46262</x:v>
      </x:c>
      <x:c r="J7" s="32"/>
      <x:c r="K7" s="32"/>
    </x:row>
    <x:row r="8">
      <x:c r="A8" s="31" t="str">
        <x:v>Judul awal</x:v>
      </x:c>
      <x:c r="B8" s="32" t="str">
        <x:v>Pelayanan Hukum dan Fasilitasi Tri Dharma Perguruan Tinggi</x:v>
      </x:c>
      <x:c r="C8" s="32"/>
      <x:c r="D8" s="31"/>
      <x:c r="E8" s="32"/>
      <x:c r="F8" s="32"/>
      <x:c r="G8" s="31" t="str">
        <x:v>Cut-off baseline</x:v>
      </x:c>
      <x:c r="H8" s="75" t="n">
        <x:v>46262</x:v>
      </x:c>
      <x:c r="I8" s="32" t="n">
        <x:v>46262</x:v>
      </x:c>
      <x:c r="J8" s="32"/>
      <x:c r="K8" s="32"/>
    </x:row>
    <x:row r="9">
      <x:c r="A9" s="31" t="str">
        <x:v>Tanggal mulai awal</x:v>
      </x:c>
      <x:c r="B9" s="75" t="n">
        <x:v>46150</x:v>
      </x:c>
      <x:c r="C9" s="32"/>
      <x:c r="D9" s="31" t="str">
        <x:v>Tanggal berakhir awal</x:v>
      </x:c>
      <x:c r="E9" s="75" t="n">
        <x:v>47975</x:v>
      </x:c>
      <x:c r="F9" s="32"/>
      <x:c r="G9" s="31" t="str">
        <x:v>Status pengisian</x:v>
      </x:c>
      <x:c r="H9" s="32" t="str">
        <x:v>SELESAI DIISI</x:v>
      </x:c>
      <x:c r="I9" s="32"/>
      <x:c r="J9" s="32"/>
      <x:c r="K9" s="32"/>
    </x:row>
    <x:row r="10">
      <x:c r="A10" t="str">
        <x:v>SIMULASI — Data awal berasal dari matriks scoring dan penelusuran publik P2MA per 2 September 2026. Isian ini belum merupakan verifikasi resmi; nomor naskah, arsip internal, PIC, pelaksanaan, eviden, dan hambatan tetap harus dikonfirmasi.</x:v>
      </x:c>
      <x:c r="B10" t="str">
        <x:v>SIMULASI — Data awal berasal dari matriks scoring dan penelusuran publik P2MA per 28 Agustus 2026. Isian ini belum merupakan verifikasi resmi; nomor naskah, arsip internal, PIC, pelaksanaan, eviden, dan hambatan tetap harus dikonfirmasi.</x:v>
      </x:c>
      <x:c r="C10" t="str">
        <x:v>SIMULASI — Data awal berasal dari matriks scoring dan penelusuran publik P2MA per 28 Agustus 2026. Isian ini belum merupakan verifikasi resmi; nomor naskah, arsip internal, PIC, pelaksanaan, eviden, dan hambatan tetap harus dikonfirmasi.</x:v>
      </x:c>
      <x:c r="D10" t="str">
        <x:v>SIMULASI — Data awal berasal dari matriks scoring dan penelusuran publik P2MA per 28 Agustus 2026. Isian ini belum merupakan verifikasi resmi; nomor naskah, arsip internal, PIC, pelaksanaan, eviden, dan hambatan tetap harus dikonfirmasi.</x:v>
      </x:c>
      <x:c r="E10" t="str">
        <x:v>SIMULASI — Data awal berasal dari matriks scoring dan penelusuran publik P2MA per 28 Agustus 2026. Isian ini belum merupakan verifikasi resmi; nomor naskah, arsip internal, PIC, pelaksanaan, eviden, dan hambatan tetap harus dikonfirmasi.</x:v>
      </x:c>
      <x:c r="F10" t="str">
        <x:v>SIMULASI — Data awal berasal dari matriks scoring dan penelusuran publik P2MA per 28 Agustus 2026. Isian ini belum merupakan verifikasi resmi; nomor naskah, arsip internal, PIC, pelaksanaan, eviden, dan hambatan tetap harus dikonfirmasi.</x:v>
      </x:c>
      <x:c r="G10" t="str">
        <x:v>SIMULASI — Data awal berasal dari matriks scoring dan penelusuran publik P2MA per 28 Agustus 2026. Isian ini belum merupakan verifikasi resmi; nomor naskah, arsip internal, PIC, pelaksanaan, eviden, dan hambatan tetap harus dikonfirmasi.</x:v>
      </x:c>
      <x:c r="H10" t="str">
        <x:v>SIMULASI — Data awal berasal dari matriks scoring dan penelusuran publik P2MA per 28 Agustus 2026. Isian ini belum merupakan verifikasi resmi; nomor naskah, arsip internal, PIC, pelaksanaan, eviden, dan hambatan tetap harus dikonfirmasi.</x:v>
      </x:c>
      <x:c r="I10" t="str">
        <x:v>SIMULASI — Data awal berasal dari matriks scoring dan penelusuran publik P2MA per 28 Agustus 2026. Isian ini belum merupakan verifikasi resmi; nomor naskah, arsip internal, PIC, pelaksanaan, eviden, dan hambatan tetap harus dikonfirmasi.</x:v>
      </x:c>
    </x:row>
    <x:row r="11">
      <x:c r="A11"/>
      <x:c r="B11"/>
      <x:c r="C11"/>
      <x:c r="D11"/>
      <x:c r="E11"/>
      <x:c r="F11"/>
      <x:c r="G11"/>
      <x:c r="H11"/>
      <x:c r="I11"/>
    </x:row>
    <x:row r="12">
      <x:c r="A12" s="49" t="str">
        <x:v>No</x:v>
      </x:c>
      <x:c r="B12" s="49" t="str">
        <x:v>Kelompok</x:v>
      </x:c>
      <x:c r="C12" s="49" t="str">
        <x:v>Elemen baseline</x:v>
      </x:c>
      <x:c r="D12" s="49" t="str">
        <x:v>Yang diperiksa</x:v>
      </x:c>
      <x:c r="E12" s="49" t="str">
        <x:v>Sumber/bukti minimum</x:v>
      </x:c>
      <x:c r="F12" s="49" t="str">
        <x:v>Status</x:v>
      </x:c>
      <x:c r="G12" s="49" t="str">
        <x:v>Fakta/hasil pemeriksaan</x:v>
      </x:c>
      <x:c r="H12" s="49" t="str">
        <x:v>Sumber/link bukti</x:v>
      </x:c>
      <x:c r="I12" s="49" t="str">
        <x:v>Catatan verifikasi</x:v>
      </x:c>
      <x:c r="J12" s="49" t="str">
        <x:v>PEMBARUAN TERINTEGRASI</x:v>
      </x:c>
      <x:c r="K12" s="49" t="str">
        <x:v>CATATAN KENDALI</x:v>
      </x:c>
    </x:row>
    <x:row r="13">
      <x:c r="A13" s="32" t="n">
        <x:v>1</x:v>
      </x:c>
      <x:c r="B13" s="32" t="str">
        <x:v>IDENTITAS</x:v>
      </x:c>
      <x:c r="C13" s="32" t="str">
        <x:v>Identitas naskah</x:v>
      </x:c>
      <x:c r="D13" s="32" t="str">
        <x:v>Jenis, nomor para pihak, judul, dan nama resmi mitra sesuai naskah.</x:v>
      </x:c>
      <x:c r="E13" s="32" t="str">
        <x:v>Naskah bertanda tangan; P2MA sebagai pembanding.</x:v>
      </x:c>
      <x:c r="F13" s="32" t="str">
        <x:v>TERVERIFIKASI</x:v>
      </x:c>
      <x:c r="G13" s="32" t="str">
        <x:v>Jenis, mitra, dan judul dapat dicocokkan dengan hasil pencarian/naskah P2MA. Entri dan PDF ditemukan, tetapi tampilan judul pada P2MA memuat karakter tidak terbaca pada kata Tri Dharma. Terdapat nomor para pihak yang berupa nomor telepon kantor.</x:v>
      </x:c>
      <x:c r="H13" s="32" t="str">
        <x:v>https://p2ma.kemenkum.go.id/uploads/kerjasama/naskah/1779268941.pdf</x:v>
      </x:c>
      <x:c r="I13" s="32" t="str">
        <x:v>Kanwil Kemenkum Kepri : +628117709007
STAI Natuna : 07733211110
Tulisan judul pada P2MA tetap perlu dicocokkan dengan naskah final.</x:v>
      </x:c>
      <x:c r="J13" s="63" t="str">
        <x:f>'IDENTITAS &amp; PIC'!C5</x:f>
        <x:v>Sekolah Tinggi Agama Islam (STAI) Natuna</x:v>
      </x:c>
      <x:c r="K13" s="63" t="str">
        <x:f>IF(OR(LEFT(J13,9)="Belum ada",LEFT(J13,9)="Tidak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4">
      <x:c r="A14" s="32" t="n">
        <x:v>2</x:v>
      </x:c>
      <x:c r="B14" s="32" t="str">
        <x:v>MASA BERLAKU</x:v>
      </x:c>
      <x:c r="C14" s="32" t="str">
        <x:v>Masa berlaku</x:v>
      </x:c>
      <x:c r="D14" s="32" t="str">
        <x:v>Tanggal efektif, durasi, dan tanggal berakhir sesuai klausul naskah.</x:v>
      </x:c>
      <x:c r="E14" s="32" t="str">
        <x:v>Klausul jangka waktu; halaman tanda tangan; P2MA.</x:v>
      </x:c>
      <x:c r="F14" s="32" t="str">
        <x:v>TERVERIFIKASI</x:v>
      </x:c>
      <x:c r="G14" s="32" t="str">
        <x:v>P2MA publik menampilkan status Berlangsung, mulai 8 Mei 2026 dan berakhir 7 Mei 2031; tanggal sesuai data awal.</x:v>
      </x:c>
      <x:c r="H14" s="32" t="str">
        <x:v>https://p2ma.kemenkum.go.id/kdn/pencarian?tipe=1&amp;keyword=Sekolah%20Tinggi%20Agama%20Islam%20Natuna</x:v>
      </x:c>
      <x:c r="I14" s="32" t="str">
        <x:v>Tanggal dan jangka waktu sesuai</x:v>
      </x:c>
      <x:c r="J14" s="96" t="str">
        <x:f>'IDENTITAS &amp; PIC'!C7</x:f>
        <x:v>08- Mei - 2026</x:v>
      </x:c>
      <x:c r="K14" s="63" t="str">
        <x:f>IF(OR(LEFT(J14,9)="Belum ada",LEFT(J14,9)="Tidak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5">
      <x:c r="A15" s="32" t="n">
        <x:v>3</x:v>
      </x:c>
      <x:c r="B15" s="32" t="str">
        <x:v>SUBSTANSI</x:v>
      </x:c>
      <x:c r="C15" s="32" t="str">
        <x:v>Ruang lingkup</x:v>
      </x:c>
      <x:c r="D15" s="32" t="str">
        <x:v>Ruang kerja, kewajiban, atau kegiatan utama yang disepakati.</x:v>
      </x:c>
      <x:c r="E15" s="32" t="str">
        <x:v>Pasal ruang lingkup/hak-kewajiban; lampiran.</x:v>
      </x:c>
      <x:c r="F15" s="32" t="str">
        <x:v>TERVERIFIKASI</x:v>
      </x:c>
      <x:c r="G15" s="32" t="str">
        <x:v>Ruang lingkup yang tercatat meliputi:
1. Pendidikan dan pengajaran; 
2. Penelitian dan pengembangan hukum; 
3. Pengabdian kepada Masyarakat; 
4. Pelaksanaan Merdeka belajar kampus berdampak; 5. Fasilitasi pendaftaran kekayaan intelektual dan penguatan sentra kekayaan intelektual; 
6. Peningkatan dan pengembangan kompetensi sumber daya manusia; 
7. Asistensi pengembangan jaringan dokumentasi dan informasi hukum; dan 
8. Kegiatan lain yang disepakati para pihak sesuai tujuan Nota Kesepahaman ini. </x:v>
      </x:c>
      <x:c r="H15" s="32" t="str">
        <x:v>https://p2ma.kemenkum.go.id/uploads/kerjasama/naskah/1779268941.pdf</x:v>
      </x:c>
      <x:c r="I15" s="32" t="str">
        <x:v>Ruang lingkup merupakan komitmen dalam naskah, bukan bukti bahwa kegiatan telah dilaksanakan.</x:v>
      </x:c>
      <x:c r="J15" s="63" t="str">
        <x:f>IF('IDENTITAS &amp; PIC'!C8="","Belum ada pembaruan ruang lingkup",'IDENTITAS &amp; PIC'!C8)</x:f>
        <x:v>Pelayanan Hukum dan Fasilitasi Tri Dharma Perguruan Tinggi</x:v>
      </x:c>
      <x:c r="K15" s="63" t="str">
        <x:f>IF(OR(LEFT(J15,9)="Belum ada",LEFT(J15,9)="Tidak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6">
      <x:c r="A16" s="32" t="n">
        <x:v>4</x:v>
      </x:c>
      <x:c r="B16" s="32" t="str">
        <x:v>TATA KELOLA</x:v>
      </x:c>
      <x:c r="C16" s="32" t="str">
        <x:v>Status arsip</x:v>
      </x:c>
      <x:c r="D16" s="32" t="str">
        <x:v>Ketersediaan naskah lengkap pada lokasi arsip resmi dan dapat ditemukan kembali.</x:v>
      </x:c>
      <x:c r="E16" s="32" t="str">
        <x:v>Arsip resmi; register; folder organisasi.</x:v>
      </x:c>
      <x:c r="F16" s="32" t="str">
        <x:v>TERVERIFIKASI</x:v>
      </x:c>
      <x:c r="G16" s="32" t="str">
        <x:v>Salinan naskah dapat dibuka melalui P2MA. Lokasi arsip resmi internal naskah hardcopy berada pada bagian TU Umum Tim TU</x:v>
      </x:c>
      <x:c r="H16" s="32" t="str">
        <x:v>Naskah P2MA pada halaman 1; arsip internal pada Bagian Umum Tim TU</x:v>
      </x:c>
      <x:c r="I16" s="32" t="str">
        <x:v>Penyimpanan Naskah asli pada Tim TU</x:v>
      </x:c>
      <x:c r="J16" s="63" t="str">
        <x:v>Belum ada pembaruan arsip dari sheet input</x:v>
      </x:c>
      <x:c r="K16" s="63" t="str">
        <x:f>IF(OR(LEFT(J16,9)="Belum ada",LEFT(J16,9)="Tidak ada"),"Tidak ada pembaruan yang mengubah baseline.","Pembaruan tersedia sebagai referensi; status baseline tidak berubah otomatis dan tetap memerlukan verifikasi.")</x:f>
        <x:v>Tidak ada pembaruan yang mengubah baseline.</x:v>
      </x:c>
    </x:row>
    <x:row r="17">
      <x:c r="A17" s="32" t="n">
        <x:v>5</x:v>
      </x:c>
      <x:c r="B17" s="32" t="str">
        <x:v>TATA KELOLA</x:v>
      </x:c>
      <x:c r="C17" s="32" t="str">
        <x:v>Status P2MA</x:v>
      </x:c>
      <x:c r="D17" s="32" t="str">
        <x:v>Keberadaan entri dan kesesuaian metadata P2MA dengan naskah resmi.</x:v>
      </x:c>
      <x:c r="E17" s="32" t="str">
        <x:v>P2MA dan naskah bertanda tangan.</x:v>
      </x:c>
      <x:c r="F17" s="32" t="str">
        <x:v>TERVERIFIKASI</x:v>
      </x:c>
      <x:c r="G17" s="32" t="str">
        <x:v>Entri publik P2MA ditemukan dengan status Berlangsung dan naskah PDF dapat dibuka dan terdapat 1 entri ditemukan, namun terdapat anomali tampilan karakter/ typo pada judul naskah MoU di aplikasi P2MA.</x:v>
      </x:c>
      <x:c r="H17" s="32" t="str">
        <x:v>https://p2ma.kemenkum.go.id/kdn/pencarian?tipe=1&amp;keyword=Sekolah%20Tinggi%20Agama%20Islam%20Natuna</x:v>
      </x:c>
      <x:c r="I17" s="32" t="str">
        <x:v>Pemeriksaan publik dilakukan pada 2 September 2026</x:v>
      </x:c>
      <x:c r="J17" s="63" t="str">
        <x:v>Belum ada pembaruan P2MA dari sheet input</x:v>
      </x:c>
      <x:c r="K17" s="63" t="str">
        <x:f>IF(OR(LEFT(J17,9)="Belum ada",LEFT(J17,9)="Tidak ada"),"Tidak ada pembaruan yang mengubah baseline.","Pembaruan tersedia sebagai referensi; status baseline tidak berubah otomatis dan tetap memerlukan verifikasi.")</x:f>
        <x:v>Tidak ada pembaruan yang mengubah baseline.</x:v>
      </x:c>
    </x:row>
    <x:row r="18">
      <x:c r="A18" s="32" t="n">
        <x:v>6</x:v>
      </x:c>
      <x:c r="B18" s="32" t="str">
        <x:v>PENGAMPU</x:v>
      </x:c>
      <x:c r="C18" s="32" t="str">
        <x:v>Unit pengampu</x:v>
      </x:c>
      <x:c r="D18" s="32" t="str">
        <x:v>Unit internal yang bertanggung jawab atas substansi dan implementasi kerja sama.</x:v>
      </x:c>
      <x:c r="E18" s="32" t="str">
        <x:v>ND/SK/pembagian tugas; konfirmasi tertulis unit.</x:v>
      </x:c>
      <x:c r="F18" s="32" t="str">
        <x:v>BELUM TERSEDIA</x:v>
      </x:c>
      <x:c r="G18" s="32" t="str">
        <x:v>Belum terdapat sumber bukti yang menunjukkan unit pengampu/internal yang bertanggung jawab atas implementasi kerja sama</x:v>
      </x:c>
      <x:c r="H18" s="32" t="str">
        <x:v>Naskah/P2MA publik; ND, SK, pembagian tugas, atau konfirmasi unit belum diperoleh secara menyeluruh</x:v>
      </x:c>
      <x:c r="I18" s="32" t="str">
        <x:v>Konfirmasi kepada PIC yang ditunjuk untuk mewakili pengampu substansi kerja sama.</x:v>
      </x:c>
      <x:c r="J18" s="63" t="str">
        <x:v>Belum ada pembaruan unit pengampu dari sheet input</x:v>
      </x:c>
      <x:c r="K18" s="63" t="str">
        <x:f>IF(OR(LEFT(J18,9)="Belum ada",LEFT(J18,9)="Tidak ada"),"Tidak ada pembaruan yang mengubah baseline.","Pembaruan tersedia sebagai referensi; status baseline tidak berubah otomatis dan tetap memerlukan verifikasi.")</x:f>
        <x:v>Tidak ada pembaruan yang mengubah baseline.</x:v>
      </x:c>
    </x:row>
    <x:row r="19">
      <x:c r="A19" s="32" t="n">
        <x:v>7</x:v>
      </x:c>
      <x:c r="B19" s="32" t="str">
        <x:v>PIC</x:v>
      </x:c>
      <x:c r="C19" s="32" t="str">
        <x:v>PIC internal</x:v>
      </x:c>
      <x:c r="D19" s="32" t="str">
        <x:v>PIC utama dan cadangan yang aktif, lengkap dengan jabatan, kontak, dan dasar penetapan.</x:v>
      </x:c>
      <x:c r="E19" s="32" t="str">
        <x:v>ND/SK/daftar PIC; konfirmasi tertulis unit.</x:v>
      </x:c>
      <x:c r="F19" s="32" t="str">
        <x:v>BELUM TERSEDIA</x:v>
      </x:c>
      <x:c r="G19" s="32" t="str">
        <x:v>PIC internal utama dalam naskah MoU menyebutkan Kepala Kantor Wilayah dan cadangan belum dapat dipastikan dari sumber publik yang diperiksa.</x:v>
      </x:c>
      <x:c r="H19" s="32" t="str">
        <x:v>Daftar PIC, ND/SK, dan konfirmasi tertulis unit belum diperoleh.</x:v>
      </x:c>
      <x:c r="I19" s="32" t="str">
        <x:v>Penandatangan atau operator P2MA tidak otomatis menjadi PIC internal.</x:v>
      </x:c>
      <x:c r="J19" s="63" t="str">
        <x:v>Belum ada pembaruan PIC internal dari sheet input</x:v>
      </x:c>
      <x:c r="K19" s="63" t="str">
        <x:f>IF(OR(LEFT(J19,9)="Belum ada",LEFT(J19,9)="Tidak ada"),"Tidak ada pembaruan yang mengubah baseline.","Pembaruan tersedia sebagai referensi; status baseline tidak berubah otomatis dan tetap memerlukan verifikasi.")</x:f>
        <x:v>Tidak ada pembaruan yang mengubah baseline.</x:v>
      </x:c>
    </x:row>
    <x:row r="20">
      <x:c r="A20" s="32" t="n">
        <x:v>8</x:v>
      </x:c>
      <x:c r="B20" s="32" t="str">
        <x:v>PIC</x:v>
      </x:c>
      <x:c r="C20" s="32" t="str">
        <x:v>PIC mitra</x:v>
      </x:c>
      <x:c r="D20" s="32" t="str">
        <x:v>Penghubung operasional pihak mitra yang telah dikonfirmasi.</x:v>
      </x:c>
      <x:c r="E20" s="32" t="str">
        <x:v>Surat/email/form konfirmasi resmi dari mitra.</x:v>
      </x:c>
      <x:c r="F20" s="32" t="str">
        <x:v>BELUM TERSEDIA</x:v>
      </x:c>
      <x:c r="G20" s="32" t="str">
        <x:v>PIC operasional pihak mitra dalam naskah MoU menyebutkan Ketua STAI natuna, namun belum dikonfirmasi melalui surat, email resmi, atau formulir penunjukan.</x:v>
      </x:c>
      <x:c r="H20" s="32" t="str">
        <x:v>Surat/email/formulir penunjukan PIC mitra belum diperoleh.</x:v>
      </x:c>
      <x:c r="I20" s="32" t="str">
        <x:v>Penandatangan atau koresponden dalam naskah tidak otomatis menjadi PIC operasional.</x:v>
      </x:c>
      <x:c r="J20" s="63" t="str">
        <x:f>IF(OR('IDENTITAS &amp; PIC'!C11="",LEFT('IDENTITAS &amp; PIC'!C11,1)="&lt;"),"Belum ada PIC mitra yang diisi","PIC mitra: "&amp;'IDENTITAS &amp; PIC'!C11&amp;" | Jabatan: "&amp;'IDENTITAS &amp; PIC'!G11&amp;" | Email: "&amp;TRIM('IDENTITAS &amp; PIC'!C13)&amp;" | Status: "&amp;'IDENTITAS &amp; PIC'!G13&amp;" | PIC cadangan: "&amp;'IDENTITAS &amp; PIC'!C16)</x:f>
        <x:v>PIC mitra: Dedi Supriadi, SE | Jabatan: Admin | Email: dedisoke1@gmail.com | Status: Tetap | PIC cadangan: Natuna Adi Putra, S.E</x:v>
      </x:c>
      <x:c r="K20" s="63" t="str">
        <x:f>IF(OR(LEFT(J20,9)="Belum ada",LEFT(J20,9)="Tidak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1">
      <x:c r="A21" s="32" t="n">
        <x:v>9</x:v>
      </x:c>
      <x:c r="B21" s="32" t="str">
        <x:v>TINDAK LANJUT</x:v>
      </x:c>
      <x:c r="C21" s="32" t="str">
        <x:v>Rencana tindak lanjut</x:v>
      </x:c>
      <x:c r="D21" s="32" t="str">
        <x:v>Dokumen atau komitmen operasional yang memuat kegiatan, periode, target, dan/atau PIC.</x:v>
      </x:c>
      <x:c r="E21" s="32" t="str">
        <x:v>Rencana aksi; matriks kerja; kalender; notula.</x:v>
      </x:c>
      <x:c r="F21" s="32" t="str">
        <x:v>BELUM TERSEDIA</x:v>
      </x:c>
      <x:c r="G21" s="32" t="str">
        <x:v>Ruang lingkup naskah tersedia, tetapi belum ditemukan rencana aksi atau komitmen operasional yang memuat kegiatan, periode, target, dan PIC.</x:v>
      </x:c>
      <x:c r="H21" s="32" t="str">
        <x:v>Rencana aksi, matriks kerja, kalender, atau notula belum diperoleh.</x:v>
      </x:c>
      <x:c r="I21" s="32" t="str">
        <x:v>Ruang lingkup umum dalam MoU/PKS tidak otomatis menjadi rencana tindak lanjut.</x:v>
      </x:c>
      <x:c r="J21" s="63" t="str">
        <x:f>IF(COUNTA('USULAN TINDAK LANJUT'!B7:B12)=0,"Belum ada usulan tindak lanjut terisi","Jumlah usulan: "&amp;COUNTA('USULAN TINDAK LANJUT'!B7:B12)&amp;" | Prioritas pertama: "&amp;'USULAN TINDAK LANJUT'!B7&amp;" | Target: "&amp;'USULAN TINDAK LANJUT'!C7)</x:f>
        <x:v>Jumlah usulan: 6 | Prioritas pertama: Pembentukan/Penguatan Sentra Kekayaan Intelektual (Sentra KI) STAI/IAI Natuna melalui penetapan struktur, tugas, fungsi, dan mekanisme kerja | Target: September-Oktober 2026</x:v>
      </x:c>
      <x:c r="K21" s="63" t="str">
        <x:f>IF(OR(LEFT(J21,9)="Belum ada",LEFT(J21,9)="Tidak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22">
      <x:c r="A22" s="32" t="n">
        <x:v>10</x:v>
      </x:c>
      <x:c r="B22" s="32" t="str">
        <x:v>PELAKSANAAN</x:v>
      </x:c>
      <x:c r="C22" s="32" t="str">
        <x:v>Pelaksanaan dan hasil</x:v>
      </x:c>
      <x:c r="D22" s="32" t="str">
        <x:v>Kegiatan aktual, realisasi terhadap target jatuh tempo, serta output yang dihasilkan.</x:v>
      </x:c>
      <x:c r="E22" s="32" t="str">
        <x:v>Laporan; undangan; notula; daftar hadir; data hasil.</x:v>
      </x:c>
      <x:c r="F22" s="32" t="str">
        <x:v>BELUM TERSEDIA</x:v>
      </x:c>
      <x:c r="G22" s="32" t="str">
        <x:v>Status Berlangsung pada P2MA belum membuktikan kegiatan atau output. Laporan pelaksanaan dan data hasil belum diperiksa.</x:v>
      </x:c>
      <x:c r="H22" s="32" t="str">
        <x:v>Laporan, undangan, notula, daftar hadir, dan data hasil belum diperoleh.</x:v>
      </x:c>
      <x:c r="I22" s="32" t="str">
        <x:v>Konfirmasi kegiatan aktual kepada unit pengampu serta PIC internal dan mitra.</x:v>
      </x:c>
      <x:c r="J22" s="63" t="str">
        <x:f>IF(COUNTA('PELAKSANAAN KEGIATAN'!B7:B12)=0,"Belum ada kegiatan pada sheet pelaksanaan","Jumlah kegiatan terdata: "&amp;COUNTA('PELAKSANAAN KEGIATAN'!B7:B12)&amp;" | Kegiatan pertama: "&amp;'PELAKSANAAN KEGIATAN'!B7&amp;" | Status: "&amp;'PELAKSANAAN KEGIATAN'!C7)</x:f>
        <x:v>Belum ada kegiatan pada sheet pelaksanaan</x:v>
      </x:c>
      <x:c r="K22" s="63" t="str">
        <x:f>IF(OR(LEFT(J22,9)="Belum ada",LEFT(J22,9)="Tidak ada"),"Tidak ada pembaruan yang mengubah baseline.","Pembaruan tersedia sebagai referensi; status baseline tidak berubah otomatis dan tetap memerlukan verifikasi.")</x:f>
        <x:v>Tidak ada pembaruan yang mengubah baseline.</x:v>
      </x:c>
    </x:row>
    <x:row r="23">
      <x:c r="A23" s="32" t="n">
        <x:v>11</x:v>
      </x:c>
      <x:c r="B23" s="32" t="str">
        <x:v>EVIDEN</x:v>
      </x:c>
      <x:c r="C23" s="32" t="str">
        <x:v>Eviden implementasi</x:v>
      </x:c>
      <x:c r="D23" s="32" t="str">
        <x:v>Bukti pelaksanaan/output, lokasi penyimpanan, dan tingkat keteraturannya.</x:v>
      </x:c>
      <x:c r="E23" s="32" t="str">
        <x:v>Folder resmi; indeks bukti; dokumen/data kegiatan.</x:v>
      </x:c>
      <x:c r="F23" s="32" t="str">
        <x:v>BELUM TERSEDIA</x:v>
      </x:c>
      <x:c r="G23" s="32" t="str">
        <x:v>Naskah dan entri P2MA tersedia, tetapi folder resmi, indeks, serta bukti implementasi belum diperiksa.</x:v>
      </x:c>
      <x:c r="H23" s="32" t="str">
        <x:v>Folder eviden, indeks bukti, dan dokumen/data kegiatan belum diperoleh.</x:v>
      </x:c>
      <x:c r="I23" s="32" t="str">
        <x:v>Naskah kerja sama bukan eviden pelaksanaan.</x:v>
      </x:c>
      <x:c r="J23" s="63" t="str">
        <x:f>IF(COUNTA('PELAKSANAAN KEGIATAN'!E7:E12)=0,"Belum ada keterangan bukti pada sheet pelaksanaan","Jumlah kegiatan dengan keterangan bukti: "&amp;COUNTA('PELAKSANAAN KEGIATAN'!E7:E12)&amp;" | Bukti pertama: "&amp;'PELAKSANAAN KEGIATAN'!E7)</x:f>
        <x:v>Belum ada keterangan bukti pada sheet pelaksanaan</x:v>
      </x:c>
      <x:c r="K23" s="63" t="str">
        <x:f>IF(OR(LEFT(J23,9)="Belum ada",LEFT(J23,9)="Tidak ada"),"Tidak ada pembaruan yang mengubah baseline.","Pembaruan tersedia sebagai referensi; status baseline tidak berubah otomatis dan tetap memerlukan verifikasi.")</x:f>
        <x:v>Tidak ada pembaruan yang mengubah baseline.</x:v>
      </x:c>
    </x:row>
    <x:row r="24">
      <x:c r="A24" s="32" t="n">
        <x:v>12</x:v>
      </x:c>
      <x:c r="B24" s="32" t="str">
        <x:v>HAMBATAN</x:v>
      </x:c>
      <x:c r="C24" s="32" t="str">
        <x:v>Hambatan/gap</x:v>
      </x:c>
      <x:c r="D24" s="32" t="str">
        <x:v>Kendala faktual atau kekosongan data yang memengaruhi implementasi dan sudah dikonfirmasi.</x:v>
      </x:c>
      <x:c r="E24" s="32" t="str">
        <x:v>Konfirmasi unit/PIC/mitra; notula; laporan; bukti keterlambatan.</x:v>
      </x:c>
      <x:c r="F24" s="32" t="str">
        <x:v>BELUM TERSEDIA</x:v>
      </x:c>
      <x:c r="G24" s="32" t="str">
        <x:v>Hambatan operasional belum dikonfirmasi. Gap verifikasi sementara mencakup arsip internal, unit pengampu, PIC, rencana tindak lanjut, pelaksanaan, dan eviden. Ejaan judul dan nomor para pihak masih perlu dicocokkan dengan naskah final.</x:v>
      </x:c>
      <x:c r="H24" s="32" t="str">
        <x:v>Penelusuran publik P2MA; konfirmasi unit/PIC/mitra belum dilakukan.</x:v>
      </x:c>
      <x:c r="I24" s="32" t="str">
        <x:v>Pisahkan gap data verifikasi dari hambatan pelaksanaan yang benar-benar dialami.</x:v>
      </x:c>
      <x:c r="J24" s="63" t="str">
        <x:f>IF(COUNTA('PELAKSANAAN KEGIATAN'!F7:F12)=0,"Belum ada kendala/catatan pada sheet pelaksanaan","Kendala/catatan pertama: "&amp;'PELAKSANAAN KEGIATAN'!F7)</x:f>
        <x:v>Belum ada kendala/catatan pada sheet pelaksanaan</x:v>
      </x:c>
      <x:c r="K24" s="63" t="str">
        <x:f>IF(OR(LEFT(J24,9)="Belum ada",LEFT(J24,9)="Tidak ada"),"Tidak ada pembaruan yang mengubah baseline.","Pembaruan tersedia sebagai referensi; status baseline tidak berubah otomatis dan tetap memerlukan verifikasi.")</x:f>
        <x:v>Tidak ada pembaruan yang mengubah baseline.</x:v>
      </x:c>
    </x:row>
    <x:row r="25">
      <x:c r="A25"/>
      <x:c r="B25"/>
      <x:c r="C25"/>
      <x:c r="D25"/>
      <x:c r="E25"/>
      <x:c r="F25"/>
      <x:c r="G25"/>
      <x:c r="H25"/>
      <x:c r="I25"/>
    </x:row>
    <x:row r="26">
      <x:c r="A26" t="str">
        <x:v>RINGKASAN BASELINE V.0</x:v>
      </x:c>
      <x:c r="B26"/>
      <x:c r="C26"/>
      <x:c r="D26"/>
      <x:c r="E26"/>
      <x:c r="F26"/>
      <x:c r="G26"/>
      <x:c r="H26"/>
      <x:c r="I26"/>
    </x:row>
    <x:row r="27" ht="22" customHeight="1">
      <x:c r="A27" s="18"/>
      <x:c r="B27" s="18"/>
      <x:c r="C27" s="18"/>
      <x:c r="D27" s="18"/>
      <x:c r="E27" s="18"/>
      <x:c r="F27" s="18"/>
      <x:c r="G27" s="18"/>
      <x:c r="H27" s="18"/>
      <x:c r="I27" s="18"/>
      <x:c r="J27" s="18"/>
      <x:c r="K27" s="18"/>
    </x:row>
    <x:row r="28">
      <x:c r="A28" t="str">
        <x:v>STATUS ELEMEN</x:v>
      </x:c>
      <x:c r="B28" t="str">
        <x:v>JUMLAH</x:v>
      </x:c>
      <x:c r="C28"/>
      <x:c r="D28" t="str">
        <x:v>INDIKATOR PENGISIAN</x:v>
      </x:c>
      <x:c r="E28" t="str">
        <x:v>HASIL</x:v>
      </x:c>
      <x:c r="F28"/>
      <x:c r="G28" t="str">
        <x:v>RINGKASAN PEMERIKSA</x:v>
      </x:c>
      <x:c r="H28"/>
      <x:c r="I28"/>
    </x:row>
    <x:row r="29">
      <x:c r="A29" s="49" t="str">
        <x:v>Terverifikasi</x:v>
      </x:c>
      <x:c r="B29" s="49" t="n">
        <x:f>COUNTIF(F13:F24,"TERVERIFIKASI")</x:f>
        <x:v>5</x:v>
      </x:c>
      <x:c r="C29" s="49"/>
      <x:c r="D29" s="49" t="str">
        <x:v>Kelengkapan pemeriksaan</x:v>
      </x:c>
      <x:c r="E29" s="97" t="n">
        <x:f>(IF(AND(F13&lt;&gt;"",G13&lt;&gt;"",H13&lt;&gt;""),1,0)+IF(AND(F14&lt;&gt;"",G14&lt;&gt;"",H14&lt;&gt;""),1,0)+IF(AND(F15&lt;&gt;"",G15&lt;&gt;"",H15&lt;&gt;""),1,0)+IF(AND(F16&lt;&gt;"",G16&lt;&gt;"",H16&lt;&gt;""),1,0)+IF(AND(F17&lt;&gt;"",G17&lt;&gt;"",H17&lt;&gt;""),1,0)+IF(AND(F18&lt;&gt;"",G18&lt;&gt;"",H18&lt;&gt;""),1,0)+IF(AND(F19&lt;&gt;"",G19&lt;&gt;"",H19&lt;&gt;""),1,0)+IF(AND(F20&lt;&gt;"",G20&lt;&gt;"",H20&lt;&gt;""),1,0)+IF(AND(F21&lt;&gt;"",G21&lt;&gt;"",H21&lt;&gt;""),1,0)+IF(AND(F22&lt;&gt;"",G22&lt;&gt;"",H22&lt;&gt;""),1,0)+IF(AND(F23&lt;&gt;"",G23&lt;&gt;"",H23&lt;&gt;""),1,0)+IF(AND(F24&lt;&gt;"",G24&lt;&gt;"",H24&lt;&gt;""),1,0))/12</x:f>
        <x:v>1</x:v>
      </x:c>
      <x:c r="F29"/>
      <x:c r="G29" t="str">
        <x:v>Fakta utama</x:v>
      </x:c>
      <x:c r="H29" t="str">
        <x:v>P2MA publik menunjukkan naskah berstatus Berlangsung. 3 dari 12 elemen telah dapat diverifikasi pada tahap pemeriksaan meja; elemen lain masih memerlukan bukti internal atau konfirmasi.</x:v>
      </x:c>
      <x:c r="I29" t="str">
        <x:v>P2MA publik menunjukkan naskah berstatus Berlangsung. 3 dari 12 elemen telah dapat diverifikasi pada tahap pemeriksaan meja; elemen lain masih memerlukan bukti internal atau konfirmasi.</x:v>
      </x:c>
    </x:row>
    <x:row r="30">
      <x:c r="A30" s="32" t="str">
        <x:v>Belum Terverifikasi</x:v>
      </x:c>
      <x:c r="B30" s="32" t="n">
        <x:f>COUNTIF(F13:F24,"BELUM TERVERIFIKASI")</x:f>
        <x:v>0</x:v>
      </x:c>
      <x:c r="C30" s="32"/>
      <x:c r="D30" s="32" t="str">
        <x:v>Proporsi status terverifikasi</x:v>
      </x:c>
      <x:c r="E30" s="37" t="n">
        <x:f>IF((12-B32)=0,0,B29/(12-B32))</x:f>
        <x:v>0.4166666666666667</x:v>
      </x:c>
      <x:c r="F30"/>
      <x:c r="G30"/>
      <x:c r="H30" t="str">
        <x:v>P2MA publik menunjukkan naskah berstatus Berlangsung. 3 dari 12 elemen telah dapat diverifikasi pada tahap pemeriksaan meja; elemen lain masih memerlukan bukti internal atau konfirmasi.</x:v>
      </x:c>
      <x:c r="I30" t="str">
        <x:v>P2MA publik menunjukkan naskah berstatus Berlangsung. 3 dari 12 elemen telah dapat diverifikasi pada tahap pemeriksaan meja; elemen lain masih memerlukan bukti internal atau konfirmasi.</x:v>
      </x:c>
    </x:row>
    <x:row r="31">
      <x:c r="A31" s="32" t="str">
        <x:v>Belum Tersedia</x:v>
      </x:c>
      <x:c r="B31" s="32" t="n">
        <x:f>COUNTIF(F13:F24,"BELUM TERSEDIA")</x:f>
        <x:v>7</x:v>
      </x:c>
      <x:c r="C31" s="32"/>
      <x:c r="D31" s="32" t="str">
        <x:v>Status pengisian baseline</x:v>
      </x:c>
      <x:c r="E31" s="37" t="str">
        <x:f>IF(E29=0,"BELUM DIMULAI",IF(E29=1,"SELESAI DIISI","DALAM VERIFIKASI"))</x:f>
        <x:v>SELESAI DIISI</x:v>
      </x:c>
      <x:c r="F31"/>
      <x:c r="G31" t="str">
        <x:v>Gap utama</x:v>
      </x:c>
      <x:c r="H31" t="str">
        <x:v>Belum tersedia kepastian mengenai nomor naskah lengkap, arsip resmi internal, unit pengampu, PIC internal/mitra, rencana tindak lanjut, pelaksanaan, eviden, dan hambatan. Ejaan judul dan nomor para pihak masih perlu dicocokkan dengan naskah final.</x:v>
      </x:c>
      <x:c r="I31" t="str">
        <x:v>Belum tersedia kepastian mengenai nomor naskah lengkap, arsip resmi internal, unit pengampu, PIC internal/mitra, rencana tindak lanjut, pelaksanaan, eviden, dan hambatan. Ejaan judul dan nomor para pihak masih perlu dicocokkan dengan naskah final.</x:v>
      </x:c>
    </x:row>
    <x:row r="32">
      <x:c r="A32" s="32" t="str">
        <x:v>Tidak Relevan</x:v>
      </x:c>
      <x:c r="B32" s="32" t="n">
        <x:f>COUNTIF(F13:F24,"TIDAK RELEVAN")</x:f>
        <x:v>0</x:v>
      </x:c>
      <x:c r="C32" s="32"/>
      <x:c r="D32" s="32"/>
      <x:c r="E32" s="32"/>
      <x:c r="F32"/>
      <x:c r="G32"/>
      <x:c r="H32" t="str">
        <x:v>Belum tersedia kepastian mengenai nomor naskah lengkap, arsip resmi internal, unit pengampu, PIC internal/mitra, rencana tindak lanjut, pelaksanaan, eviden, dan hambatan. Ejaan judul dan nomor para pihak masih perlu dicocokkan dengan naskah final.</x:v>
      </x:c>
      <x:c r="I32" t="str">
        <x:v>Belum tersedia kepastian mengenai nomor naskah lengkap, arsip resmi internal, unit pengampu, PIC internal/mitra, rencana tindak lanjut, pelaksanaan, eviden, dan hambatan. Ejaan judul dan nomor para pihak masih perlu dicocokkan dengan naskah final.</x:v>
      </x:c>
    </x:row>
    <x:row r="33">
      <x:c r="A33" s="32" t="str">
        <x:v>Belum Diisi</x:v>
      </x:c>
      <x:c r="B33" s="32" t="n">
        <x:f>COUNTBLANK(F13:F24)</x:f>
        <x:v>0</x:v>
      </x:c>
      <x:c r="C33" s="32"/>
      <x:c r="D33" s="32"/>
      <x:c r="E33" s="32"/>
      <x:c r="F33"/>
      <x:c r="G33" t="str">
        <x:v>Catatan transisi</x:v>
      </x:c>
      <x:c r="H33" t="str">
        <x:v>Gunakan hasil ini sebagai daftar pertanyaan untuk unit pengampu dan forum PIC. Jangan menghitung Scorecard efektivitas sebelum gap prioritas diverifikasi.</x:v>
      </x:c>
      <x:c r="I33" t="str">
        <x:v>Gunakan hasil ini sebagai daftar pertanyaan untuk unit pengampu dan forum PIC. Jangan menghitung Scorecard efektivitas sebelum gap prioritas diverifikasi.</x:v>
      </x:c>
    </x:row>
    <x:row r="34">
      <x:c r="A34" s="32"/>
      <x:c r="B34" s="32"/>
      <x:c r="C34" s="32"/>
      <x:c r="D34" s="32"/>
      <x:c r="E34" s="32"/>
      <x:c r="F34"/>
      <x:c r="G34"/>
      <x:c r="H34" t="str">
        <x:v>Gunakan hasil ini sebagai daftar pertanyaan untuk unit pengampu dan forum PIC. Jangan menghitung Scorecard efektivitas sebelum gap prioritas diverifikasi.</x:v>
      </x:c>
      <x:c r="I34" t="str">
        <x:v>Gunakan hasil ini sebagai daftar pertanyaan untuk unit pengampu dan forum PIC. Jangan menghitung Scorecard efektivitas sebelum gap prioritas diverifikasi.</x:v>
      </x:c>
    </x:row>
    <x:row r="35">
      <x:c r="A35"/>
      <x:c r="B35"/>
      <x:c r="C35"/>
      <x:c r="D35"/>
      <x:c r="E35"/>
      <x:c r="F35"/>
      <x:c r="G35"/>
      <x:c r="H35"/>
      <x:c r="I35"/>
    </x:row>
    <x:row r="36">
      <x:c r="A36" t="str">
        <x:v>Simulasi per 28 Agustus 2026. Kelengkapan pemeriksaan dan proporsi status terverifikasi bukan Scorecard efektivitas; kategori produktif/berjalan/perlu aktivasi/kritis baru ditentukan pada tahap berikutnya setelah verifikasi data operasional.</x:v>
      </x:c>
      <x:c r="B36" t="str">
        <x:v>Simulasi per 28 Agustus 2026. Kelengkapan pemeriksaan dan proporsi status terverifikasi bukan Scorecard efektivitas; kategori produktif/berjalan/perlu aktivasi/kritis baru ditentukan pada tahap berikutnya setelah verifikasi data operasional.</x:v>
      </x:c>
      <x:c r="C36" t="str">
        <x:v>Simulasi per 28 Agustus 2026. Kelengkapan pemeriksaan dan proporsi status terverifikasi bukan Scorecard efektivitas; kategori produktif/berjalan/perlu aktivasi/kritis baru ditentukan pada tahap berikutnya setelah verifikasi data operasional.</x:v>
      </x:c>
      <x:c r="D36" t="str">
        <x:v>Simulasi per 28 Agustus 2026. Kelengkapan pemeriksaan dan proporsi status terverifikasi bukan Scorecard efektivitas; kategori produktif/berjalan/perlu aktivasi/kritis baru ditentukan pada tahap berikutnya setelah verifikasi data operasional.</x:v>
      </x:c>
      <x:c r="E36" t="str">
        <x:v>Simulasi per 28 Agustus 2026. Kelengkapan pemeriksaan dan proporsi status terverifikasi bukan Scorecard efektivitas; kategori produktif/berjalan/perlu aktivasi/kritis baru ditentukan pada tahap berikutnya setelah verifikasi data operasional.</x:v>
      </x:c>
      <x:c r="F36" t="str">
        <x:v>Simulasi per 28 Agustus 2026. Kelengkapan pemeriksaan dan proporsi status terverifikasi bukan Scorecard efektivitas; kategori produktif/berjalan/perlu aktivasi/kritis baru ditentukan pada tahap berikutnya setelah verifikasi data operasional.</x:v>
      </x:c>
      <x:c r="G36" t="str">
        <x:v>Simulasi per 28 Agustus 2026. Kelengkapan pemeriksaan dan proporsi status terverifikasi bukan Scorecard efektivitas; kategori produktif/berjalan/perlu aktivasi/kritis baru ditentukan pada tahap berikutnya setelah verifikasi data operasional.</x:v>
      </x:c>
      <x:c r="H36" t="str">
        <x:v>Simulasi per 28 Agustus 2026. Kelengkapan pemeriksaan dan proporsi status terverifikasi bukan Scorecard efektivitas; kategori produktif/berjalan/perlu aktivasi/kritis baru ditentukan pada tahap berikutnya setelah verifikasi data operasional.</x:v>
      </x:c>
      <x:c r="I36" t="str">
        <x:v>Simulasi per 28 Agustus 2026. Kelengkapan pemeriksaan dan proporsi status terverifikasi bukan Scorecard efektivitas; kategori produktif/berjalan/perlu aktivasi/kritis baru ditentukan pada tahap berikutnya setelah verifikasi data operasional.</x:v>
      </x:c>
    </x:row>
  </x:sheetData>
  <x:mergeCells>
    <x:mergeCell ref="A1:K1"/>
    <x:mergeCell ref="A2:K2"/>
    <x:mergeCell ref="A4:K4"/>
    <x:mergeCell ref="A27:K27"/>
  </x:mergeCells>
  <x:conditionalFormatting sqref="F13:F24">
    <x:cfRule type="expression" dxfId="2" priority="1">
      <x:formula>F13="TERVERIFIKASI"</x:formula>
    </x:cfRule>
    <x:cfRule type="expression" dxfId="3" priority="2">
      <x:formula>F13="BELUM TERSEDIA"</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6" hidden="0" customWidth="1"/>
    <x:col min="3" max="3" width="10" hidden="0" customWidth="1"/>
    <x:col min="4" max="4" width="48" hidden="0" customWidth="1"/>
    <x:col min="5" max="5" width="22" hidden="0" customWidth="1"/>
    <x:col min="6" max="6" width="48" hidden="0" customWidth="1"/>
    <x:col min="7" max="7" width="11" hidden="0" customWidth="1"/>
    <x:col min="8" max="8" width="45" hidden="0" customWidth="1"/>
    <x:col min="9" max="9" width="12" hidden="0" customWidth="1"/>
    <x:col min="10" max="10" width="18" hidden="0" customWidth="1"/>
  </x:cols>
  <x:sheetData>
    <x:row r="1" ht="28" customHeight="1">
      <x:c r="A1" s="5" t="str">
        <x:v>SCORECARD EFEKTIVITAS MITRA KINERJA V1.1 — STAI NATUNA</x:v>
      </x:c>
      <x:c r="B1" s="5" t="str">
        <x:v>SCORECARD EFEKTIVITAS MITRA KINERJA V1.1 — P09</x:v>
      </x:c>
      <x:c r="C1" s="5" t="str">
        <x:v>SCORECARD EFEKTIVITAS MITRA KINERJA V1.1 — P09</x:v>
      </x:c>
      <x:c r="D1" s="5" t="str">
        <x:v>SCORECARD EFEKTIVITAS MITRA KINERJA V1.1 — P09</x:v>
      </x:c>
      <x:c r="E1" s="5" t="str">
        <x:v>SCORECARD EFEKTIVITAS MITRA KINERJA V1.1 — P09</x:v>
      </x:c>
      <x:c r="F1" s="5" t="str">
        <x:v>SCORECARD EFEKTIVITAS MITRA KINERJA V1.1 — P09</x:v>
      </x:c>
      <x:c r="G1" s="5" t="str">
        <x:v>SCORECARD EFEKTIVITAS MITRA KINERJA V1.1 — P09</x:v>
      </x:c>
      <x:c r="H1" s="5" t="str">
        <x:v>SCORECARD EFEKTIVITAS MITRA KINERJA V1.1 — P09</x:v>
      </x:c>
      <x:c r="I1" s="5" t="str">
        <x:v>SCORECARD EFEKTIVITAS MITRA KINERJA V1.1 — P09</x:v>
      </x:c>
      <x:c r="J1" s="5" t="str">
        <x:v>SCORECARD EFEKTIVITAS MITRA KINERJA V1.1 — P09</x:v>
      </x:c>
    </x:row>
    <x:row r="2">
      <x:c r="A2" s="58" t="str">
        <x:v>PILOT UTAMA — Sekolah Tinggi Agama Islam Natuna</x:v>
      </x:c>
      <x:c r="B2" s="58" t="str">
        <x:v>PILOT UTAMA — Sekolah Tinggi Agama Islam Natuna</x:v>
      </x:c>
      <x:c r="C2" s="58" t="str">
        <x:v>PILOT UTAMA — Sekolah Tinggi Agama Islam Natuna</x:v>
      </x:c>
      <x:c r="D2" s="58" t="str">
        <x:v>PILOT UTAMA — Sekolah Tinggi Agama Islam Natuna</x:v>
      </x:c>
      <x:c r="E2" s="58" t="str">
        <x:v>PILOT UTAMA — Sekolah Tinggi Agama Islam Natuna</x:v>
      </x:c>
      <x:c r="F2" s="58" t="str">
        <x:v>PILOT UTAMA — Sekolah Tinggi Agama Islam Natuna</x:v>
      </x:c>
      <x:c r="G2" s="58" t="str">
        <x:v>PILOT UTAMA — Sekolah Tinggi Agama Islam Natuna</x:v>
      </x:c>
      <x:c r="H2" s="58" t="str">
        <x:v>PILOT UTAMA — Sekolah Tinggi Agama Islam Natuna</x:v>
      </x:c>
      <x:c r="I2" s="58" t="str">
        <x:v>PILOT UTAMA — Sekolah Tinggi Agama Islam Natuna</x:v>
      </x:c>
      <x:c r="J2" s="58" t="str">
        <x:v>PILOT UTAMA — Sekolah Tinggi Agama Islam Natuna</x:v>
      </x:c>
    </x:row>
    <x:row r="3">
      <x:c r="A3" t="str">
        <x:v>Isi hanya sel kuning. Nilai berjalan langsung berubah saat skor diisi; kategori dan status final menunggu kelengkapan bukti serta validasi unit.</x:v>
      </x:c>
      <x:c r="B3" t="str">
        <x:v>Isi hanya sel kuning. Nilai berjalan langsung berubah saat skor diisi; kategori dan status final menunggu kelengkapan bukti serta validasi unit.</x:v>
      </x:c>
      <x:c r="C3" t="str">
        <x:v>Isi hanya sel kuning. Nilai berjalan langsung berubah saat skor diisi; kategori dan status final menunggu kelengkapan bukti serta validasi unit.</x:v>
      </x:c>
      <x:c r="D3" t="str">
        <x:v>Isi hanya sel kuning. Nilai berjalan langsung berubah saat skor diisi; kategori dan status final menunggu kelengkapan bukti serta validasi unit.</x:v>
      </x:c>
      <x:c r="E3" t="str">
        <x:v>Isi hanya sel kuning. Nilai berjalan langsung berubah saat skor diisi; kategori dan status final menunggu kelengkapan bukti serta validasi unit.</x:v>
      </x:c>
      <x:c r="F3" t="str">
        <x:v>Isi hanya sel kuning. Nilai berjalan langsung berubah saat skor diisi; kategori dan status final menunggu kelengkapan bukti serta validasi unit.</x:v>
      </x:c>
      <x:c r="G3" t="str">
        <x:v>Isi hanya sel kuning. Nilai berjalan langsung berubah saat skor diisi; kategori dan status final menunggu kelengkapan bukti serta validasi unit.</x:v>
      </x:c>
      <x:c r="H3" t="str">
        <x:v>Isi hanya sel kuning. Nilai berjalan langsung berubah saat skor diisi; kategori dan status final menunggu kelengkapan bukti serta validasi unit.</x:v>
      </x:c>
      <x:c r="I3" t="str">
        <x:v>Isi hanya sel kuning. Nilai berjalan langsung berubah saat skor diisi; kategori dan status final menunggu kelengkapan bukti serta validasi unit.</x:v>
      </x:c>
      <x:c r="J3" t="str">
        <x:v>Isi hanya sel kuning. Nilai berjalan langsung berubah saat skor diisi; kategori dan status final menunggu kelengkapan bukti serta validasi unit.</x:v>
      </x:c>
    </x:row>
    <x:row r="4">
      <x:c r="A4"/>
      <x:c r="B4"/>
      <x:c r="C4"/>
      <x:c r="D4"/>
      <x:c r="E4"/>
      <x:c r="F4"/>
      <x:c r="G4"/>
      <x:c r="H4"/>
      <x:c r="I4"/>
      <x:c r="J4"/>
    </x:row>
    <x:row r="5" ht="22" customHeight="1">
      <x:c r="A5" s="18" t="str">
        <x:v>A. IDENTITAS DAN KONTROL</x:v>
      </x:c>
      <x:c r="B5" s="18" t="str">
        <x:v>A. IDENTITAS DAN KONTROL</x:v>
      </x:c>
      <x:c r="C5" s="18" t="str">
        <x:v>A. IDENTITAS DAN KONTROL</x:v>
      </x:c>
      <x:c r="D5" s="18" t="str">
        <x:v>A. IDENTITAS DAN KONTROL</x:v>
      </x:c>
      <x:c r="E5" s="18" t="str">
        <x:v>A. IDENTITAS DAN KONTROL</x:v>
      </x:c>
      <x:c r="F5" s="18" t="str">
        <x:v>A. IDENTITAS DAN KONTROL</x:v>
      </x:c>
      <x:c r="G5" s="18" t="str">
        <x:v>A. IDENTITAS DAN KONTROL</x:v>
      </x:c>
      <x:c r="H5" s="18" t="str">
        <x:v>A. IDENTITAS DAN KONTROL</x:v>
      </x:c>
      <x:c r="I5" s="18" t="str">
        <x:v>A. IDENTITAS DAN KONTROL</x:v>
      </x:c>
      <x:c r="J5" s="18" t="str">
        <x:v>A. IDENTITAS DAN KONTROL</x:v>
      </x:c>
    </x:row>
    <x:row r="6">
      <x:c r="A6" s="31" t="str">
        <x:v>Kode</x:v>
      </x:c>
      <x:c r="B6" s="32" t="str">
        <x:v>P09</x:v>
      </x:c>
      <x:c r="C6" s="31" t="str">
        <x:v>Portofolio</x:v>
      </x:c>
      <x:c r="D6" s="32" t="str">
        <x:v>Pilot Utama</x:v>
      </x:c>
      <x:c r="E6" s="31" t="str">
        <x:v>Cut-off</x:v>
      </x:c>
      <x:c r="F6" s="75" t="n">
        <x:v>46262</x:v>
      </x:c>
      <x:c r="G6" s="31" t="str">
        <x:v>Pemeriksa</x:v>
      </x:c>
      <x:c r="H6" s="32"/>
      <x:c r="I6" s="31"/>
      <x:c r="J6" s="32"/>
    </x:row>
    <x:row r="7">
      <x:c r="A7" s="31" t="str">
        <x:v>Mitra</x:v>
      </x:c>
      <x:c r="B7" s="32" t="str">
        <x:v>Sekolah Tinggi Agama Islam Natuna</x:v>
      </x:c>
      <x:c r="C7" s="31"/>
      <x:c r="D7" s="32"/>
      <x:c r="E7" s="31"/>
      <x:c r="F7" s="32"/>
      <x:c r="G7" s="31" t="str">
        <x:v>Jenis</x:v>
      </x:c>
      <x:c r="H7" s="32" t="str">
        <x:v>MoU</x:v>
      </x:c>
      <x:c r="I7" s="31" t="str">
        <x:v>Sumber baseline</x:v>
      </x:c>
      <x:c r="J7" s="32" t="str">
        <x:v>BASELINE STAI NATUNA (terintegrasi)</x:v>
      </x:c>
    </x:row>
    <x:row r="8">
      <x:c r="A8" s="31" t="str">
        <x:v>Judul</x:v>
      </x:c>
      <x:c r="B8" s="32" t="str">
        <x:v>Pelayanan Hukum dan Fasilitasi Tri Dharma Perguruan Tinggi</x:v>
      </x:c>
      <x:c r="C8" s="31" t="str">
        <x:v>Pelayanan Hukum dan Fasilitasi Tri Dharma Perguruan Tinggi</x:v>
      </x:c>
      <x:c r="D8" s="32" t="str">
        <x:v>Pelayanan Hukum dan Fasilitasi Tri Dharma Perguruan Tinggi</x:v>
      </x:c>
      <x:c r="E8" s="31" t="str">
        <x:v>Pelayanan Hukum dan Fasilitasi Tri Dharma Perguruan Tinggi</x:v>
      </x:c>
      <x:c r="F8" s="32" t="str">
        <x:v>Pelayanan Hukum dan Fasilitasi Tri Dharma Perguruan Tinggi</x:v>
      </x:c>
      <x:c r="G8" s="31" t="str">
        <x:v>Pelayanan Hukum dan Fasilitasi Tri Dharma Perguruan Tinggi</x:v>
      </x:c>
      <x:c r="H8" s="32" t="str">
        <x:v>Pelayanan Hukum dan Fasilitasi Tri Dharma Perguruan Tinggi</x:v>
      </x:c>
      <x:c r="I8" s="31" t="str">
        <x:v>Pelayanan Hukum dan Fasilitasi Tri Dharma Perguruan Tinggi</x:v>
      </x:c>
      <x:c r="J8" s="32" t="str">
        <x:v>Pelayanan Hukum dan Fasilitasi Tri Dharma Perguruan Tinggi</x:v>
      </x:c>
    </x:row>
    <x:row r="9">
      <x:c r="A9" s="31" t="str">
        <x:v>Mulai</x:v>
      </x:c>
      <x:c r="B9" s="75" t="n">
        <x:v>46150</x:v>
      </x:c>
      <x:c r="C9" s="86" t="str">
        <x:v>Berakhir</x:v>
      </x:c>
      <x:c r="D9" s="75" t="n">
        <x:v>47975</x:v>
      </x:c>
      <x:c r="E9" s="31" t="str">
        <x:v>Status tanggal</x:v>
      </x:c>
      <x:c r="F9" s="32" t="str">
        <x:v>TERVERIFIKASI</x:v>
      </x:c>
      <x:c r="G9" s="31" t="str">
        <x:v>Sisa hari</x:v>
      </x:c>
      <x:c r="H9" s="32" t="n">
        <x:f>IF(OR(D9="",F9&lt;&gt;"TERVERIFIKASI"),"",D9-F6)</x:f>
        <x:v>1713</x:v>
      </x:c>
      <x:c r="I9" s="31" t="str">
        <x:v>Tanggal review</x:v>
      </x:c>
      <x:c r="J9" s="75" t="n">
        <x:v>46276</x:v>
      </x:c>
    </x:row>
    <x:row r="10">
      <x:c r="A10"/>
      <x:c r="B10"/>
      <x:c r="C10"/>
      <x:c r="D10"/>
      <x:c r="E10"/>
      <x:c r="F10"/>
      <x:c r="G10"/>
      <x:c r="H10"/>
      <x:c r="I10"/>
      <x:c r="J10"/>
    </x:row>
    <x:row r="11" ht="22" customHeight="1">
      <x:c r="A11" s="18" t="str">
        <x:v>B. PENILAIAN INTI — ENAM INDIKATOR RAP</x:v>
      </x:c>
      <x:c r="B11" s="18" t="str">
        <x:v>B. PENILAIAN INTI — ENAM INDIKATOR RAP</x:v>
      </x:c>
      <x:c r="C11" s="18" t="str">
        <x:v>B. PENILAIAN INTI — ENAM INDIKATOR RAP</x:v>
      </x:c>
      <x:c r="D11" s="18" t="str">
        <x:v>B. PENILAIAN INTI — ENAM INDIKATOR RAP</x:v>
      </x:c>
      <x:c r="E11" s="18" t="str">
        <x:v>B. PENILAIAN INTI — ENAM INDIKATOR RAP</x:v>
      </x:c>
      <x:c r="F11" s="18" t="str">
        <x:v>B. PENILAIAN INTI — ENAM INDIKATOR RAP</x:v>
      </x:c>
      <x:c r="G11" s="18" t="str">
        <x:v>B. PENILAIAN INTI — ENAM INDIKATOR RAP</x:v>
      </x:c>
      <x:c r="H11" s="18" t="str">
        <x:v>B. PENILAIAN INTI — ENAM INDIKATOR RAP</x:v>
      </x:c>
      <x:c r="I11" s="18" t="str">
        <x:v>B. PENILAIAN INTI — ENAM INDIKATOR RAP</x:v>
      </x:c>
      <x:c r="J11" s="18" t="str">
        <x:v>B. PENILAIAN INTI — ENAM INDIKATOR RAP</x:v>
      </x:c>
    </x:row>
    <x:row r="12">
      <x:c r="A12" s="49" t="str">
        <x:v>Kode</x:v>
      </x:c>
      <x:c r="B12" s="49" t="str">
        <x:v>Indikator dan cara memeriksa</x:v>
      </x:c>
      <x:c r="C12" s="49" t="str">
        <x:v>Bobot</x:v>
      </x:c>
      <x:c r="D12" s="49" t="str">
        <x:v>Referensi baseline awal</x:v>
      </x:c>
      <x:c r="E12" s="49" t="str">
        <x:v>Status kecukupan bukti</x:v>
      </x:c>
      <x:c r="F12" s="49" t="str">
        <x:v>Temuan dan lokasi bukti</x:v>
      </x:c>
      <x:c r="G12" s="49" t="str">
        <x:v>Skor 0–4</x:v>
      </x:c>
      <x:c r="H12" s="49" t="str">
        <x:v>Alasan skor</x:v>
      </x:c>
      <x:c r="I12" s="49" t="str">
        <x:v>Nilai</x:v>
      </x:c>
      <x:c r="J12" s="49" t="str">
        <x:v>Cek</x:v>
      </x:c>
    </x:row>
    <x:row r="13">
      <x:c r="A13" s="32" t="str">
        <x:v>I1</x:v>
      </x:c>
      <x:c r="B13" s="32" t="str">
        <x:v>Kelengkapan tata kelola dasar
Cara periksa: Periksa naskah final, nomor/judul/para pihak, status P2MA, arsip resmi, serta PIC internal dan PIC mitra yang tertulis dan masih aktif.</x:v>
      </x:c>
      <x:c r="C13" s="32" t="n">
        <x:v>15</x:v>
      </x:c>
      <x:c r="D13" s="32" t="str">
        <x:f>"Identitas "&amp;'BASELINE STAI NATUNA'!F13&amp;"; arsip "&amp;'BASELINE STAI NATUNA'!F16&amp;"; P2MA "&amp;'BASELINE STAI NATUNA'!F17&amp;"; PIC internal "&amp;'BASELINE STAI NATUNA'!F19&amp;"; PIC mitra "&amp;'BASELINE STAI NATUNA'!F20&amp;". Update terintegrasi: "&amp;'BASELINE STAI NATUNA'!J20</x:f>
        <x:v>Identitas TERVERIFIKASI; arsip TERVERIFIKASI; P2MA TERVERIFIKASI; PIC internal BELUM TERSEDIA; PIC mitra BELUM TERSEDIA. Update terintegrasi: PIC mitra: Dedi Supriadi, SE | Jabatan: Admin | Email: dedisoke1@gmail.com | Status: Tetap | PIC cadangan: Natuna Adi Putra, S.E</x:v>
      </x:c>
      <x:c r="E13" s="63" t="str">
        <x:v>BUKTI MEMADAI</x:v>
      </x:c>
      <x:c r="F13" s="63" t="str">
        <x:v>Baseline baris 13–20: naskah/metadata dasar dapat ditelusuri. Status identitas=TERVERIFIKASI, arsip=TERVERIFIKASI, P2MA=TERVERIFIKASI, PIC internal=BELUM TERSEDIA, PIC mitra=BELUM TERSEDIA.</x:v>
      </x:c>
      <x:c r="G13" s="63" t="n">
        <x:v>1</x:v>
      </x:c>
      <x:c r="H13" s="63" t="str">
        <x:v>Sesuai skor 1: naskah tersedia, tetapi tata kelola operasional masih terbatas; PIC dua pihak dan/atau bukti penetapan/konfirmasi belum memadai untuk skor yang lebih tinggi.</x:v>
      </x:c>
      <x:c r="I13" s="32" t="n">
        <x:f>IF(AND(E13="BUKTI MEMADAI",COUNT(G13)&gt;0),G13/4*C13,"")</x:f>
        <x:v>3.75</x:v>
      </x:c>
      <x:c r="J13" s="32" t="str">
        <x:f>IF(E13="BELUM DITELAAH","PERIKSA BUKTI",IF(E13="BUKTI MEMADAI",IF(COUNT(G13)=0,"ISI SKOR",IF(F13="","TULIS TEMUAN/BUKTI",IF(H13="","TULIS ALASAN","OK"))),IF(OR(E13="BUKTI BELUM MEMADAI",E13="BELUM DAPAT DINILAI"),IF(COUNT(G13)&gt;0,"HAPUS SKOR","BELUM DIISI"),"PERIKSA STATUS")))</x:f>
        <x:v>OK</x:v>
      </x:c>
    </x:row>
    <x:row r="14">
      <x:c r="A14" s="32" t="str">
        <x:v>I2</x:v>
      </x:c>
      <x:c r="B14" s="32" t="str">
        <x:v>Kejelasan tindak lanjut
Cara periksa: Cari rencana aksi/PKS turunan/matriks kegiatan. Pastikan memuat kegiatan, target atau output, waktu, PIC, dan tenggat serta disepakati para pihak.</x:v>
      </x:c>
      <x:c r="C14" s="32" t="n">
        <x:v>20</x:v>
      </x:c>
      <x:c r="D14" s="32" t="str">
        <x:f>"Rencana tindak lanjut "&amp;'BASELINE STAI NATUNA'!F21&amp;". "&amp;'BASELINE STAI NATUNA'!J21</x:f>
        <x:v>Rencana tindak lanjut BELUM TERSEDIA. Jumlah usulan: 6 | Prioritas pertama: Pembentukan/Penguatan Sentra Kekayaan Intelektual (Sentra KI) STAI/IAI Natuna melalui penetapan struktur, tugas, fungsi, dan mekanisme kerja | Target: September-Oktober 2026</x:v>
      </x:c>
      <x:c r="E14" s="63" t="str">
        <x:v>BUKTI BELUM MEMADAI</x:v>
      </x:c>
      <x:c r="F14" s="63" t="str">
        <x:v>Baseline baris 21 — Rencana tindak lanjut: BELUM TERSEDIA. Ruang lingkup naskah tersedia, tetapi belum ditemukan rencana aksi atau komitmen operasional yang memuat kegiatan, periode, target, dan PIC.</x:v>
      </x:c>
      <x:c r="G14" s="63"/>
      <x:c r="H14" s="63" t="str">
        <x:v>Belum diberi skor karena informasi 'belum ditemukan/belum tersedia' pada baseline belum selalu membuktikan secara memadai bahwa tindak lanjut memang tidak ada.</x:v>
      </x:c>
      <x:c r="I14" s="32" t="str">
        <x:f>IF(AND(E14="BUKTI MEMADAI",COUNT(G14)&gt;0),G14/4*C14,"")</x:f>
      </x:c>
      <x:c r="J14" s="32" t="str">
        <x:f>IF(E14="BELUM DITELAAH","PERIKSA BUKTI",IF(E14="BUKTI MEMADAI",IF(COUNT(G14)=0,"ISI SKOR",IF(F14="","TULIS TEMUAN/BUKTI",IF(H14="","TULIS ALASAN","OK"))),IF(OR(E14="BUKTI BELUM MEMADAI",E14="BELUM DAPAT DINILAI"),IF(COUNT(G14)&gt;0,"HAPUS SKOR","BELUM DIISI"),"PERIKSA STATUS")))</x:f>
        <x:v>BELUM DIISI</x:v>
      </x:c>
    </x:row>
    <x:row r="15">
      <x:c r="A15" s="32" t="str">
        <x:v>I3</x:v>
      </x:c>
      <x:c r="B15" s="32" t="str">
        <x:v>Realisasi kegiatan terhadap rencana
Cara periksa: Tentukan target yang sudah jatuh tempo. Cocokkan satu per satu dengan bukti realisasi. Target masa depan tidak boleh dianggap tidak tercapai.</x:v>
      </x:c>
      <x:c r="C15" s="32" t="n">
        <x:v>20</x:v>
      </x:c>
      <x:c r="D15" s="32" t="str">
        <x:f>"Pelaksanaan/hasil "&amp;'BASELINE STAI NATUNA'!F22&amp;". "&amp;'BASELINE STAI NATUNA'!J22</x:f>
        <x:v>Pelaksanaan/hasil BELUM TERSEDIA. Belum ada kegiatan pada sheet pelaksanaan</x:v>
      </x:c>
      <x:c r="E15" s="63" t="str">
        <x:v>BUKTI BELUM MEMADAI</x:v>
      </x:c>
      <x:c r="F15" s="63" t="str">
        <x:v>Baseline baris 22 — Pelaksanaan dan hasil: BELUM TERSEDIA. Status Berlangsung pada P2MA belum membuktikan kegiatan atau output. Laporan pelaksanaan dan data hasil belum diperiksa.</x:v>
      </x:c>
      <x:c r="G15" s="63"/>
      <x:c r="H15" s="63" t="str">
        <x:v>Belum diberi skor karena target yang jatuh tempo dan bukti realisasi belum tersedia atau belum cukup terverifikasi.</x:v>
      </x:c>
      <x:c r="I15" s="32" t="str">
        <x:f>IF(AND(E15="BUKTI MEMADAI",COUNT(G15)&gt;0),G15/4*C15,"")</x:f>
      </x:c>
      <x:c r="J15" s="32" t="str">
        <x:f>IF(E15="BELUM DITELAAH","PERIKSA BUKTI",IF(E15="BUKTI MEMADAI",IF(COUNT(G15)=0,"ISI SKOR",IF(F15="","TULIS TEMUAN/BUKTI",IF(H15="","TULIS ALASAN","OK"))),IF(OR(E15="BUKTI BELUM MEMADAI",E15="BELUM DAPAT DINILAI"),IF(COUNT(G15)&gt;0,"HAPUS SKOR","BELUM DIISI"),"PERIKSA STATUS")))</x:f>
        <x:v>BELUM DIISI</x:v>
      </x:c>
    </x:row>
    <x:row r="16">
      <x:c r="A16" s="32" t="str">
        <x:v>I4</x:v>
      </x:c>
      <x:c r="B16" s="32" t="str">
        <x:v>Kelengkapan dan konsolidasi eviden
Cara periksa: Buka bukti satu per satu. Periksa tanggal, konteks, kaitannya dengan naskah, lokasi penyimpanan resmi, indeks, dan keterlacakan.</x:v>
      </x:c>
      <x:c r="C16" s="32" t="n">
        <x:v>15</x:v>
      </x:c>
      <x:c r="D16" s="32" t="str">
        <x:f>"Eviden implementasi "&amp;'BASELINE STAI NATUNA'!F23&amp;". "&amp;'BASELINE STAI NATUNA'!J23</x:f>
        <x:v>Eviden implementasi BELUM TERSEDIA. Belum ada keterangan bukti pada sheet pelaksanaan</x:v>
      </x:c>
      <x:c r="E16" s="63" t="str">
        <x:v>BUKTI BELUM MEMADAI</x:v>
      </x:c>
      <x:c r="F16" s="63" t="str">
        <x:v>Baseline baris 23 — Eviden implementasi: BELUM TERSEDIA. Naskah dan entri P2MA tersedia, tetapi folder resmi, indeks, serta bukti implementasi belum diperiksa.</x:v>
      </x:c>
      <x:c r="G16" s="63"/>
      <x:c r="H16" s="63" t="str">
        <x:v>Belum diberi skor karena kelengkapan, konteks, lokasi, indeks, dan keterlacakan eviden belum memadai untuk menentukan skor.</x:v>
      </x:c>
      <x:c r="I16" s="32" t="str">
        <x:f>IF(AND(E16="BUKTI MEMADAI",COUNT(G16)&gt;0),G16/4*C16,"")</x:f>
      </x:c>
      <x:c r="J16" s="32" t="str">
        <x:f>IF(E16="BELUM DITELAAH","PERIKSA BUKTI",IF(E16="BUKTI MEMADAI",IF(COUNT(G16)=0,"ISI SKOR",IF(F16="","TULIS TEMUAN/BUKTI",IF(H16="","TULIS ALASAN","OK"))),IF(OR(E16="BUKTI BELUM MEMADAI",E16="BELUM DAPAT DINILAI"),IF(COUNT(G16)&gt;0,"HAPUS SKOR","BELUM DIISI"),"PERIKSA STATUS")))</x:f>
        <x:v>BELUM DIISI</x:v>
      </x:c>
    </x:row>
    <x:row r="17">
      <x:c r="A17" s="32" t="str">
        <x:v>I5</x:v>
      </x:c>
      <x:c r="B17" s="32" t="str">
        <x:v>Kontribusi terhadap kebutuhan kinerja organisasi
Cara periksa: Minta unit menetapkan target/kebutuhan. Cocokkan keluaran dan hasil dengan target serta data manfaat; jangan menyamakan kegiatan dengan hasil.</x:v>
      </x:c>
      <x:c r="C17" s="32" t="n">
        <x:v>20</x:v>
      </x:c>
      <x:c r="D17" s="32" t="str">
        <x:f>"Pelaksanaan/hasil "&amp;'BASELINE STAI NATUNA'!F22&amp;". "&amp;'BASELINE STAI NATUNA'!J22</x:f>
        <x:v>Pelaksanaan/hasil BELUM TERSEDIA. Belum ada kegiatan pada sheet pelaksanaan</x:v>
      </x:c>
      <x:c r="E17" s="63" t="str">
        <x:v>BUKTI BELUM MEMADAI</x:v>
      </x:c>
      <x:c r="F17" s="63" t="str">
        <x:v>Baseline baris 22 — Pelaksanaan dan hasil: BELUM TERSEDIA. Status Berlangsung pada P2MA belum membuktikan kegiatan atau output. Laporan pelaksanaan dan data hasil belum diperiksa. Target, output, hasil, dan data manfaat terukur belum tersedia secara lengkap.</x:v>
      </x:c>
      <x:c r="G17" s="63"/>
      <x:c r="H17" s="63" t="str">
        <x:v>Belum diberi skor karena output/hasil belum dapat dibandingkan dengan target organisasi dan data manfaat belum memadai.</x:v>
      </x:c>
      <x:c r="I17" s="32" t="str">
        <x:f>IF(AND(E17="BUKTI MEMADAI",COUNT(G17)&gt;0),G17/4*C17,"")</x:f>
      </x:c>
      <x:c r="J17" s="32" t="str">
        <x:f>IF(E17="BELUM DITELAAH","PERIKSA BUKTI",IF(E17="BUKTI MEMADAI",IF(COUNT(G17)=0,"ISI SKOR",IF(F17="","TULIS TEMUAN/BUKTI",IF(H17="","TULIS ALASAN","OK"))),IF(OR(E17="BUKTI BELUM MEMADAI",E17="BELUM DAPAT DINILAI"),IF(COUNT(G17)&gt;0,"HAPUS SKOR","BELUM DIISI"),"PERIKSA STATUS")))</x:f>
        <x:v>BELUM DIISI</x:v>
      </x:c>
    </x:row>
    <x:row r="18">
      <x:c r="A18" s="32" t="str">
        <x:v>I6</x:v>
      </x:c>
      <x:c r="B18" s="32" t="str">
        <x:v>Keberlanjutan dan risiko
Cara periksa: Periksa masa berlaku, aktivitas terakhir, risiko, dampak, PIC, mitigasi, pemantauan, dan kejelasan keputusan lanjut/perpanjang/evaluasi/akhiri.</x:v>
      </x:c>
      <x:c r="C18" s="32" t="n">
        <x:v>10</x:v>
      </x:c>
      <x:c r="D18" s="32" t="str">
        <x:f>"Masa berlaku "&amp;'BASELINE STAI NATUNA'!F14&amp;"; PIC internal "&amp;'BASELINE STAI NATUNA'!F19&amp;"; PIC mitra "&amp;'BASELINE STAI NATUNA'!F20&amp;"; hambatan/gap "&amp;'BASELINE STAI NATUNA'!F24&amp;". "&amp;'BASELINE STAI NATUNA'!J24</x:f>
        <x:v>Masa berlaku TERVERIFIKASI; PIC internal BELUM TERSEDIA; PIC mitra BELUM TERSEDIA; hambatan/gap BELUM TERSEDIA. Belum ada kendala/catatan pada sheet pelaksanaan</x:v>
      </x:c>
      <x:c r="E18" s="63" t="str">
        <x:v>BUKTI BELUM MEMADAI</x:v>
      </x:c>
      <x:c r="F18" s="63" t="str">
        <x:v>Masa berlaku TERVERIFIKASI. PIC internal BELUM TERSEDIA; PIC mitra BELUM TERSEDIA; rencana tindak lanjut BELUM TERSEDIA; hambatan/gap BELUM TERSEDIA. Hambatan operasional belum dikonfirmasi. Gap verifikasi sementara mencakup arsip internal, unit pengampu, PIC, rencana tindak lanjut, pelaksanaan, dan eviden. Ejaan judul dan nomor para pihak masih perlu dicocokkan dengan naskah final.</x:v>
      </x:c>
      <x:c r="G18" s="63"/>
      <x:c r="H18" s="63" t="str">
        <x:v>Belum diberi skor karena risiko, dampak, mitigasi, pemantauan, dan keputusan keberlanjutan belum dinilai dengan bukti yang memadai.</x:v>
      </x:c>
      <x:c r="I18" s="32" t="str">
        <x:f>IF(AND(E18="BUKTI MEMADAI",COUNT(G18)&gt;0),G18/4*C18,"")</x:f>
      </x:c>
      <x:c r="J18" s="32" t="str">
        <x:f>IF(E18="BELUM DITELAAH","PERIKSA BUKTI",IF(E18="BUKTI MEMADAI",IF(COUNT(G18)=0,"ISI SKOR",IF(F18="","TULIS TEMUAN/BUKTI",IF(H18="","TULIS ALASAN","OK"))),IF(OR(E18="BUKTI BELUM MEMADAI",E18="BELUM DAPAT DINILAI"),IF(COUNT(G18)&gt;0,"HAPUS SKOR","BELUM DIISI"),"PERIKSA STATUS")))</x:f>
        <x:v>BELUM DIISI</x:v>
      </x:c>
    </x:row>
    <x:row r="19">
      <x:c r="A19"/>
      <x:c r="B19"/>
      <x:c r="C19"/>
      <x:c r="D19"/>
      <x:c r="E19"/>
      <x:c r="F19"/>
      <x:c r="G19"/>
      <x:c r="H19"/>
      <x:c r="I19"/>
      <x:c r="J19"/>
    </x:row>
    <x:row r="20" ht="22" customHeight="1">
      <x:c r="A20" s="18" t="str">
        <x:v>C. RINGKASAN NILAI DAN VALIDASI</x:v>
      </x:c>
      <x:c r="B20" s="18" t="str">
        <x:v>C. RINGKASAN NILAI DAN VALIDASI</x:v>
      </x:c>
      <x:c r="C20" s="18" t="str">
        <x:v>C. RINGKASAN NILAI DAN VALIDASI</x:v>
      </x:c>
      <x:c r="D20" s="18" t="str">
        <x:v>C. RINGKASAN NILAI DAN VALIDASI</x:v>
      </x:c>
      <x:c r="E20" s="18" t="str">
        <x:v>C. RINGKASAN NILAI DAN VALIDASI</x:v>
      </x:c>
      <x:c r="F20" s="18" t="str">
        <x:v>C. RINGKASAN NILAI DAN VALIDASI</x:v>
      </x:c>
      <x:c r="G20" s="18" t="str">
        <x:v>C. RINGKASAN NILAI DAN VALIDASI</x:v>
      </x:c>
      <x:c r="H20" s="18" t="str">
        <x:v>C. RINGKASAN NILAI DAN VALIDASI</x:v>
      </x:c>
      <x:c r="I20" s="18" t="str">
        <x:v>C. RINGKASAN NILAI DAN VALIDASI</x:v>
      </x:c>
      <x:c r="J20" s="18" t="str">
        <x:v>C. RINGKASAN NILAI DAN VALIDASI</x:v>
      </x:c>
    </x:row>
    <x:row r="21">
      <x:c r="A21" s="32" t="str">
        <x:v>Nilai berjalan</x:v>
      </x:c>
      <x:c r="B21" s="35" t="n">
        <x:f>SUM(I13:I18)</x:f>
        <x:v>3.75</x:v>
      </x:c>
      <x:c r="C21" s="32" t="str">
        <x:v>Kelengkapan</x:v>
      </x:c>
      <x:c r="D21" s="37" t="n">
        <x:f>COUNT(G13:G18)/6</x:f>
        <x:v>0.16666666666666666</x:v>
      </x:c>
      <x:c r="E21" s="32" t="str">
        <x:v>Kategori</x:v>
      </x:c>
      <x:c r="F21" s="32" t="str">
        <x:f>IF(D21&lt;1,"BELUM LENGKAP",IF(B21&gt;=75,"PRODUKTIF",IF(B21&gt;=50,"BERJALAN",IF(B21&gt;=25,"PERLU AKTIVASI","KRITIS"))))</x:f>
        <x:v>BELUM LENGKAP</x:v>
      </x:c>
      <x:c r="G21" s="32" t="str">
        <x:v>Status Scorecard</x:v>
      </x:c>
      <x:c r="H21" s="32" t="str">
        <x:f>IF(D21&lt;1,"BELUM LENGKAP",IF(B22="DISETUJUI","FINAL/TERVALIDASI","SIAP DIVALIDASI"))</x:f>
        <x:v>BELUM LENGKAP</x:v>
      </x:c>
      <x:c r="I21" s="32"/>
      <x:c r="J21" s="32"/>
    </x:row>
    <x:row r="22">
      <x:c r="A22" s="32" t="str">
        <x:v>Validasi unit</x:v>
      </x:c>
      <x:c r="B22" s="63" t="str">
        <x:v>BELUM</x:v>
      </x:c>
      <x:c r="C22" s="63" t="str">
        <x:v>Validator</x:v>
      </x:c>
      <x:c r="D22" s="63"/>
      <x:c r="E22" s="32"/>
      <x:c r="F22" s="32" t="str">
        <x:v>Tanggal validasi</x:v>
      </x:c>
      <x:c r="G22" s="63"/>
      <x:c r="H22" s="63" t="str">
        <x:v>Catatan validator</x:v>
      </x:c>
      <x:c r="I22" s="63"/>
      <x:c r="J22" s="63"/>
    </x:row>
    <x:row r="23">
      <x:c r="A23"/>
      <x:c r="B23"/>
      <x:c r="C23"/>
      <x:c r="D23"/>
      <x:c r="E23"/>
      <x:c r="F23"/>
      <x:c r="G23"/>
      <x:c r="H23"/>
      <x:c r="I23"/>
      <x:c r="J23"/>
    </x:row>
    <x:row r="24">
      <x:c r="A24" t="str">
        <x:v>D. EARLY WARNING — TIDAK DITENTUKAN OLEH NILAI SCORECARD</x:v>
      </x:c>
      <x:c r="B24" t="str">
        <x:v>D. EARLY WARNING — TIDAK DITENTUKAN OLEH NILAI SCORECARD</x:v>
      </x:c>
      <x:c r="C24" t="str">
        <x:v>D. EARLY WARNING — TIDAK DITENTUKAN OLEH NILAI SCORECARD</x:v>
      </x:c>
      <x:c r="D24" t="str">
        <x:v>D. EARLY WARNING — TIDAK DITENTUKAN OLEH NILAI SCORECARD</x:v>
      </x:c>
      <x:c r="E24" t="str">
        <x:v>D. EARLY WARNING — TIDAK DITENTUKAN OLEH NILAI SCORECARD</x:v>
      </x:c>
      <x:c r="F24" t="str">
        <x:v>D. EARLY WARNING — TIDAK DITENTUKAN OLEH NILAI SCORECARD</x:v>
      </x:c>
      <x:c r="G24" t="str">
        <x:v>D. EARLY WARNING — TIDAK DITENTUKAN OLEH NILAI SCORECARD</x:v>
      </x:c>
      <x:c r="H24" t="str">
        <x:v>D. EARLY WARNING — TIDAK DITENTUKAN OLEH NILAI SCORECARD</x:v>
      </x:c>
      <x:c r="I24" t="str">
        <x:v>D. EARLY WARNING — TIDAK DITENTUKAN OLEH NILAI SCORECARD</x:v>
      </x:c>
      <x:c r="J24" t="str">
        <x:v>D. EARLY WARNING — TIDAK DITENTUKAN OLEH NILAI SCORECARD</x:v>
      </x:c>
    </x:row>
    <x:row r="25" ht="22" customHeight="1">
      <x:c r="A25" s="18" t="str">
        <x:v>Isi kondisi, fakta, tindakan, PIC, dan tenggat. Masa berlaku dihitung otomati...</x:v>
      </x:c>
      <x:c r="B25" s="18" t="str">
        <x:v>Isi kondisi, fakta, tindakan, PIC, dan tenggat. Masa berlaku dihitung otomati...</x:v>
      </x:c>
      <x:c r="C25" s="18" t="str">
        <x:v>Isi kondisi, fakta, tindakan, PIC, dan tenggat. Masa berlaku dihitung otomati...</x:v>
      </x:c>
      <x:c r="D25" s="18" t="str">
        <x:v>Isi kondisi, fakta, tindakan, PIC, dan tenggat. Masa berlaku dihitung otomati...</x:v>
      </x:c>
      <x:c r="E25" s="18" t="str">
        <x:v>Isi kondisi, fakta, tindakan, PIC, dan tenggat. Masa berlaku dihitung otomati...</x:v>
      </x:c>
      <x:c r="F25" s="18" t="str">
        <x:v>Isi kondisi, fakta, tindakan, PIC, dan tenggat. Masa berlaku dihitung otomati...</x:v>
      </x:c>
      <x:c r="G25" s="18" t="str">
        <x:v>Isi kondisi, fakta, tindakan, PIC, dan tenggat. Masa berlaku dihitung otomati...</x:v>
      </x:c>
      <x:c r="H25" s="18" t="str">
        <x:v>Isi kondisi, fakta, tindakan, PIC, dan tenggat. Masa berlaku dihitung otomati...</x:v>
      </x:c>
      <x:c r="I25" s="18" t="str">
        <x:v>Isi kondisi, fakta, tindakan, PIC, dan tenggat. Masa berlaku dihitung otomati...</x:v>
      </x:c>
      <x:c r="J25" s="18" t="str">
        <x:v>Isi kondisi, fakta, tindakan, PIC, dan tenggat. Masa berlaku dihitung otomati...</x:v>
      </x:c>
    </x:row>
    <x:row r="26">
      <x:c r="A26" s="49" t="str">
        <x:v>No</x:v>
      </x:c>
      <x:c r="B26" s="49" t="str">
        <x:v>Dimensi</x:v>
      </x:c>
      <x:c r="C26" s="49" t="str">
        <x:v>Kondisi</x:v>
      </x:c>
      <x:c r="D26" s="49" t="str">
        <x:v>Status</x:v>
      </x:c>
      <x:c r="E26" s="49" t="str">
        <x:v>Fakta/bukti</x:v>
      </x:c>
      <x:c r="F26" s="49" t="str">
        <x:v>Tindakan</x:v>
      </x:c>
      <x:c r="G26" s="49" t="str">
        <x:v>PIC</x:v>
      </x:c>
      <x:c r="H26" s="49" t="str">
        <x:v>Tenggat</x:v>
      </x:c>
      <x:c r="I26" s="49" t="str">
        <x:v>Progres</x:v>
      </x:c>
      <x:c r="J26" s="49" t="str">
        <x:v>Cek</x:v>
      </x:c>
    </x:row>
    <x:row r="27">
      <x:c r="A27" s="32" t="n">
        <x:v>1</x:v>
      </x:c>
      <x:c r="B27" s="32" t="str">
        <x:v>Masa berlaku</x:v>
      </x:c>
      <x:c r="C27" s="32" t="str">
        <x:f>IF(F9&lt;&gt;"TERVERIFIKASI","BELUM DAPAT DIPASTIKAN",IF(H9&lt;0,"SUDAH BERAKHIR",IF(H9&lt;=30,"H-30",IF(H9&lt;=90,"H-90",IF(H9&lt;=180,"H-180","&gt; H-180")))))</x:f>
        <x:v>&gt; H-180</x:v>
      </x:c>
      <x:c r="D27" s="32" t="str">
        <x:f>IF(C27="BELUM DAPAT DIPASTIKAN","V0 - DATA BELUM CUKUP",IF(OR(C27="SUDAH BERAKHIR",C27="H-30"),"E3 - MERAH",IF(C27="H-90","E2 - JINGGA",IF(C27="H-180","E1 - KUNING","E0 - HIJAU"))))</x:f>
        <x:v>E0 - HIJAU</x:v>
      </x:c>
      <x:c r="E27" s="32" t="str">
        <x:f>'BASELINE STAI NATUNA'!G14</x:f>
        <x:v>P2MA publik menampilkan status Berlangsung, mulai 8 Mei 2026 dan berakhir 7 Mei 2031; tanggal sesuai data awal.</x:v>
      </x:c>
      <x:c r="F27" s="63"/>
      <x:c r="G27" s="63"/>
      <x:c r="H27" s="63"/>
      <x:c r="I27" s="63" t="str">
        <x:v>BELUM MULAI</x:v>
      </x:c>
      <x:c r="J27" s="32" t="str">
        <x:f>IF(D27="V0 - DATA BELUM CUKUP","LENGKAPI DATA",IF(OR(D27="E1 - KUNING",D27="E2 - JINGGA",D27="E3 - MERAH"),IF(OR(F27="",G27="",H27=""),"LENGKAPI TINDAKAN","OK"),"OK"))</x:f>
        <x:v>OK</x:v>
      </x:c>
    </x:row>
    <x:row r="28">
      <x:c r="A28" s="32" t="n">
        <x:v>2</x:v>
      </x:c>
      <x:c r="B28" s="32" t="str">
        <x:v>Aktivitas/tenggat</x:v>
      </x:c>
      <x:c r="C28" s="32" t="str">
        <x:f>IF(COUNTA('PELAKSANAAN KEGIATAN'!B7:B12)=0,"BELUM DIPERIKSA","ADA DATA KEGIATAN - PERLU VERIFIKASI")</x:f>
        <x:v>BELUM DIPERIKSA</x:v>
      </x:c>
      <x:c r="D28" s="32" t="str">
        <x:f>"V0 - DATA BELUM CUKUP"</x:f>
        <x:v>V0 - DATA BELUM CUKUP</x:v>
      </x:c>
      <x:c r="E28" s="32" t="str">
        <x:f>'BASELINE STAI NATUNA'!J22</x:f>
        <x:v>Belum ada kegiatan pada sheet pelaksanaan</x:v>
      </x:c>
      <x:c r="F28" s="63"/>
      <x:c r="G28" s="63"/>
      <x:c r="H28" s="63"/>
      <x:c r="I28" s="63" t="str">
        <x:v>BELUM MULAI</x:v>
      </x:c>
      <x:c r="J28" s="32" t="str">
        <x:f>IF(D28="V0 - DATA BELUM CUKUP","LENGKAPI DATA",IF(OR(D28="E1 - KUNING",D28="E2 - JINGGA",D28="E3 - MERAH"),IF(OR(F28="",G28="",H28=""),"LENGKAPI TINDAKAN","OK"),"OK"))</x:f>
        <x:v>LENGKAPI DATA</x:v>
      </x:c>
    </x:row>
    <x:row r="29">
      <x:c r="A29" s="32" t="n">
        <x:v>3</x:v>
      </x:c>
      <x:c r="B29" s="32" t="str">
        <x:v>Data/eviden</x:v>
      </x:c>
      <x:c r="C29" s="32" t="str">
        <x:f>IF(COUNTA('PELAKSANAAN KEGIATAN'!E7:E12)=0,"BELUM DIPERIKSA","ADA KETERANGAN BUKTI - PERLU VERIFIKASI")</x:f>
        <x:v>BELUM DIPERIKSA</x:v>
      </x:c>
      <x:c r="D29" s="32" t="str">
        <x:f>"V0 - DATA BELUM CUKUP"</x:f>
        <x:v>V0 - DATA BELUM CUKUP</x:v>
      </x:c>
      <x:c r="E29" s="32" t="str">
        <x:f>'BASELINE STAI NATUNA'!J23</x:f>
        <x:v>Belum ada keterangan bukti pada sheet pelaksanaan</x:v>
      </x:c>
      <x:c r="F29" s="63"/>
      <x:c r="G29" s="63"/>
      <x:c r="H29" s="63"/>
      <x:c r="I29" s="63" t="str">
        <x:v>BELUM MULAI</x:v>
      </x:c>
      <x:c r="J29" s="32" t="str">
        <x:f>IF(D29="V0 - DATA BELUM CUKUP","LENGKAPI DATA",IF(OR(D29="E1 - KUNING",D29="E2 - JINGGA",D29="E3 - MERAH"),IF(OR(F29="",G29="",H29=""),"LENGKAPI TINDAKAN","OK"),"OK"))</x:f>
        <x:v>LENGKAPI DATA</x:v>
      </x:c>
    </x:row>
    <x:row r="30">
      <x:c r="A30" s="32" t="n">
        <x:v>4</x:v>
      </x:c>
      <x:c r="B30" s="32" t="str">
        <x:v>PIC</x:v>
      </x:c>
      <x:c r="C30" s="32" t="str">
        <x:f>IF(OR('IDENTITAS &amp; PIC'!C11="",LEFT('IDENTITAS &amp; PIC'!C11,1)="&lt;"),"BELUM DIPERIKSA",IF('BASELINE STAI NATUNA'!F19="TERVERIFIKASI","PIC DUA PIHAK TERSEDIA","PIC MITRA TERSEDIA; INTERNAL PERLU KONFIRMASI"))</x:f>
        <x:v>PIC MITRA TERSEDIA; INTERNAL PERLU KONFIRMASI</x:v>
      </x:c>
      <x:c r="D30" s="32" t="str">
        <x:f>IF(C30="PIC DUA PIHAK TERSEDIA","E0 - HIJAU","V0 - DATA BELUM CUKUP")</x:f>
        <x:v>V0 - DATA BELUM CUKUP</x:v>
      </x:c>
      <x:c r="E30" s="32" t="str">
        <x:f>'BASELINE STAI NATUNA'!J20</x:f>
        <x:v>PIC mitra: Dedi Supriadi, SE | Jabatan: Admin | Email: dedisoke1@gmail.com | Status: Tetap | PIC cadangan: Natuna Adi Putra, S.E</x:v>
      </x:c>
      <x:c r="F30" s="63"/>
      <x:c r="G30" s="63"/>
      <x:c r="H30" s="63"/>
      <x:c r="I30" s="63" t="str">
        <x:v>BELUM MULAI</x:v>
      </x:c>
      <x:c r="J30" s="32" t="str">
        <x:f>IF(D30="V0 - DATA BELUM CUKUP","LENGKAPI DATA",IF(OR(D30="E1 - KUNING",D30="E2 - JINGGA",D30="E3 - MERAH"),IF(OR(F30="",G30="",H30=""),"LENGKAPI TINDAKAN","OK"),"OK"))</x:f>
        <x:v>LENGKAPI DATA</x:v>
      </x:c>
    </x:row>
    <x:row r="31">
      <x:c r="A31"/>
      <x:c r="B31"/>
      <x:c r="C31"/>
      <x:c r="D31"/>
      <x:c r="E31"/>
      <x:c r="F31"/>
      <x:c r="G31"/>
      <x:c r="H31"/>
      <x:c r="I31"/>
      <x:c r="J31"/>
    </x:row>
    <x:row r="32">
      <x:c r="A32" s="32" t="str">
        <x:v>Warning tertinggi</x:v>
      </x:c>
      <x:c r="B32" s="32" t="str">
        <x:f>IF(OR(D27="E3 - MERAH",D28="E3 - MERAH",D29="E3 - MERAH",D30="E3 - MERAH"),"E3 - MERAH",IF(OR(D27="E2 - JINGGA",D28="E2 - JINGGA",D29="E2 - JINGGA",D30="E2 - JINGGA"),"E2 - JINGGA",IF(OR(D27="E1 - KUNING",D28="E1 - KUNING",D29="E1 - KUNING",D30="E1 - KUNING"),"E1 - KUNING",IF(OR(D27="V0 - DATA BELUM CUKUP",D28="V0 - DATA BELUM CUKUP",D29="V0 - DATA BELUM CUKUP",D30="V0 - DATA BELUM CUKUP"),"V0 - DATA BELUM CUKUP","E0 - HIJAU"))))</x:f>
        <x:v>V0 - DATA BELUM CUKUP</x:v>
      </x:c>
      <x:c r="C32" s="32" t="str">
        <x:v>Tingkat penanganan</x:v>
      </x:c>
      <x:c r="D32" s="32" t="str">
        <x:f>IF(B32="E3 - MERAH","PERLU KOORDINASI PROJECT LEADER",IF(OR(B32="E2 - JINGGA",B32="E1 - KUNING"),"DITANGANI PIC/UNIT",IF(B32="V0 - DATA BELUM CUKUP","LENGKAPI DATA","MONITORING RUTIN")))</x:f>
        <x:v>LENGKAPI DATA</x:v>
      </x:c>
      <x:c r="E32"/>
      <x:c r="F32"/>
      <x:c r="G32"/>
      <x:c r="H32"/>
      <x:c r="I32"/>
      <x:c r="J32"/>
    </x:row>
    <x:row r="33">
      <x:c r="A33"/>
      <x:c r="B33"/>
      <x:c r="C33"/>
      <x:c r="D33"/>
      <x:c r="E33"/>
      <x:c r="F33"/>
      <x:c r="G33"/>
      <x:c r="H33"/>
      <x:c r="I33"/>
      <x:c r="J33"/>
    </x:row>
    <x:row r="34">
      <x:c r="A34" t="str">
        <x:v>E. UJI KEBUTUHAN INTERVENSI PIMPINAN</x:v>
      </x:c>
      <x:c r="B34" t="str">
        <x:v>E. UJI KEBUTUHAN INTERVENSI PIMPINAN</x:v>
      </x:c>
      <x:c r="C34" t="str">
        <x:v>E. UJI KEBUTUHAN INTERVENSI PIMPINAN</x:v>
      </x:c>
      <x:c r="D34" t="str">
        <x:v>E. UJI KEBUTUHAN INTERVENSI PIMPINAN</x:v>
      </x:c>
      <x:c r="E34" t="str">
        <x:v>E. UJI KEBUTUHAN INTERVENSI PIMPINAN</x:v>
      </x:c>
      <x:c r="F34" t="str">
        <x:v>E. UJI KEBUTUHAN INTERVENSI PIMPINAN</x:v>
      </x:c>
      <x:c r="G34" t="str">
        <x:v>E. UJI KEBUTUHAN INTERVENSI PIMPINAN</x:v>
      </x:c>
      <x:c r="H34" t="str">
        <x:v>E. UJI KEBUTUHAN INTERVENSI PIMPINAN</x:v>
      </x:c>
      <x:c r="I34" t="str">
        <x:v>E. UJI KEBUTUHAN INTERVENSI PIMPINAN</x:v>
      </x:c>
      <x:c r="J34" t="str">
        <x:v>E. UJI KEBUTUHAN INTERVENSI PIMPINAN</x:v>
      </x:c>
    </x:row>
    <x:row r="35" ht="22" customHeight="1">
      <x:c r="A35" s="18" t="str">
        <x:v>Jawab YA hanya jika kondisi benar-benar terjadi dan berada di luar kewenangan...</x:v>
      </x:c>
      <x:c r="B35" s="18" t="str">
        <x:v>Jawab YA hanya jika kondisi benar-benar terjadi dan berada di luar kewenangan...</x:v>
      </x:c>
      <x:c r="C35" s="18" t="str">
        <x:v>Jawab YA hanya jika kondisi benar-benar terjadi dan berada di luar kewenangan...</x:v>
      </x:c>
      <x:c r="D35" s="18" t="str">
        <x:v>Jawab YA hanya jika kondisi benar-benar terjadi dan berada di luar kewenangan...</x:v>
      </x:c>
      <x:c r="E35" s="18" t="str">
        <x:v>Jawab YA hanya jika kondisi benar-benar terjadi dan berada di luar kewenangan...</x:v>
      </x:c>
      <x:c r="F35" s="18" t="str">
        <x:v>Jawab YA hanya jika kondisi benar-benar terjadi dan berada di luar kewenangan...</x:v>
      </x:c>
      <x:c r="G35" s="18" t="str">
        <x:v>Jawab YA hanya jika kondisi benar-benar terjadi dan berada di luar kewenangan...</x:v>
      </x:c>
      <x:c r="H35" s="18" t="str">
        <x:v>Jawab YA hanya jika kondisi benar-benar terjadi dan berada di luar kewenangan...</x:v>
      </x:c>
      <x:c r="I35" s="18" t="str">
        <x:v>Jawab YA hanya jika kondisi benar-benar terjadi dan berada di luar kewenangan...</x:v>
      </x:c>
      <x:c r="J35" s="18" t="str">
        <x:v>Jawab YA hanya jika kondisi benar-benar terjadi dan berada di luar kewenangan...</x:v>
      </x:c>
    </x:row>
    <x:row r="36">
      <x:c r="A36" s="49" t="str">
        <x:v>No</x:v>
      </x:c>
      <x:c r="B36" s="49" t="str">
        <x:v>Pemicu</x:v>
      </x:c>
      <x:c r="C36" s="49" t="str">
        <x:v>Ada?</x:v>
      </x:c>
      <x:c r="D36" s="49" t="str">
        <x:v>Bukti/alasan</x:v>
      </x:c>
      <x:c r="E36"/>
      <x:c r="F36"/>
      <x:c r="G36"/>
      <x:c r="H36"/>
      <x:c r="I36"/>
      <x:c r="J36"/>
    </x:row>
    <x:row r="37">
      <x:c r="A37" s="32" t="n">
        <x:v>1</x:v>
      </x:c>
      <x:c r="B37" s="32" t="str">
        <x:v>Perlu keputusan perpanjangan/addendum/evaluasi/pengakhiran</x:v>
      </x:c>
      <x:c r="C37" s="63" t="str">
        <x:v>BELUM DIPASTIKAN</x:v>
      </x:c>
      <x:c r="D37" s="63"/>
      <x:c r="E37"/>
      <x:c r="F37"/>
      <x:c r="G37"/>
      <x:c r="H37"/>
      <x:c r="I37"/>
      <x:c r="J37"/>
    </x:row>
    <x:row r="38">
      <x:c r="A38" s="32" t="n">
        <x:v>2</x:v>
      </x:c>
      <x:c r="B38" s="32" t="str">
        <x:v>Hambatan lintas unit di luar kewenangan PIC/unit</x:v>
      </x:c>
      <x:c r="C38" s="63" t="str">
        <x:v>BELUM DIPASTIKAN</x:v>
      </x:c>
      <x:c r="D38" s="63"/>
      <x:c r="E38"/>
      <x:c r="F38"/>
      <x:c r="G38"/>
      <x:c r="H38"/>
      <x:c r="I38"/>
      <x:c r="J38"/>
    </x:row>
    <x:row r="39">
      <x:c r="A39" s="32" t="n">
        <x:v>3</x:v>
      </x:c>
      <x:c r="B39" s="32" t="str">
        <x:v>Butuh anggaran/SDM/fasilitas di luar kewenangan unit</x:v>
      </x:c>
      <x:c r="C39" s="63" t="str">
        <x:v>BELUM DIPASTIKAN</x:v>
      </x:c>
      <x:c r="D39" s="63"/>
      <x:c r="E39"/>
      <x:c r="F39"/>
      <x:c r="G39"/>
      <x:c r="H39"/>
      <x:c r="I39"/>
      <x:c r="J39"/>
    </x:row>
    <x:row r="40">
      <x:c r="A40" s="32" t="n">
        <x:v>4</x:v>
      </x:c>
      <x:c r="B40" s="32" t="str">
        <x:v>Komitmen material mitra tidak dipenuhi</x:v>
      </x:c>
      <x:c r="C40" s="63" t="str">
        <x:v>BELUM DIPASTIKAN</x:v>
      </x:c>
      <x:c r="D40" s="63"/>
      <x:c r="E40"/>
      <x:c r="F40"/>
      <x:c r="G40"/>
      <x:c r="H40"/>
      <x:c r="I40"/>
      <x:c r="J40"/>
    </x:row>
    <x:row r="41">
      <x:c r="A41" s="32" t="n">
        <x:v>5</x:v>
      </x:c>
      <x:c r="B41" s="32" t="str">
        <x:v>Ada risiko hukum, reputasi, atau strategis yang material</x:v>
      </x:c>
      <x:c r="C41" s="63" t="str">
        <x:v>BELUM DIPASTIKAN</x:v>
      </x:c>
      <x:c r="D41" s="63"/>
      <x:c r="E41"/>
      <x:c r="F41"/>
      <x:c r="G41"/>
      <x:c r="H41"/>
      <x:c r="I41"/>
      <x:c r="J41"/>
    </x:row>
    <x:row r="42">
      <x:c r="A42"/>
      <x:c r="B42"/>
      <x:c r="C42"/>
      <x:c r="D42"/>
      <x:c r="E42"/>
      <x:c r="F42"/>
      <x:c r="G42"/>
      <x:c r="H42"/>
      <x:c r="I42"/>
      <x:c r="J42"/>
    </x:row>
    <x:row r="43">
      <x:c r="A43" s="32" t="str">
        <x:v>Hasil uji</x:v>
      </x:c>
      <x:c r="B43" s="32" t="str">
        <x:f>IF(OR(C37="BELUM DIPASTIKAN",C38="BELUM DIPASTIKAN",C39="BELUM DIPASTIKAN",C40="BELUM DIPASTIKAN",C41="BELUM DIPASTIKAN"),"LENGKAPI UJI INTERVENSI",IF(OR(C37="YA",C38="YA",C39="YA",C40="YA",C41="YA"),"PERLU INTERVENSI PIMPINAN","DITANGANI PIC/UNIT"))</x:f>
        <x:v>LENGKAPI UJI INTERVENSI</x:v>
      </x:c>
      <x:c r="C43"/>
      <x:c r="D43"/>
      <x:c r="E43"/>
      <x:c r="F43"/>
      <x:c r="G43"/>
      <x:c r="H43"/>
      <x:c r="I43"/>
      <x:c r="J43"/>
    </x:row>
    <x:row r="44">
      <x:c r="A44" s="32" t="str">
        <x:v>Upaya yang sudah dilakukan</x:v>
      </x:c>
      <x:c r="B44" s="63" t="str">
        <x:v>Upaya yang sudah dilakukan</x:v>
      </x:c>
      <x:c r="C44" t="str">
        <x:v>Upaya yang sudah dilakukan</x:v>
      </x:c>
      <x:c r="D44"/>
      <x:c r="E44"/>
      <x:c r="F44"/>
      <x:c r="G44"/>
      <x:c r="H44"/>
      <x:c r="I44"/>
      <x:c r="J44"/>
    </x:row>
    <x:row r="45">
      <x:c r="A45" s="32" t="str">
        <x:v>Keputusan spesifik yang diminta</x:v>
      </x:c>
      <x:c r="B45" s="63" t="str">
        <x:v>Keputusan spesifik yang diminta</x:v>
      </x:c>
      <x:c r="C45" t="str">
        <x:v>Keputusan spesifik yang diminta</x:v>
      </x:c>
      <x:c r="D45"/>
      <x:c r="E45"/>
      <x:c r="F45"/>
      <x:c r="G45"/>
      <x:c r="H45"/>
      <x:c r="I45"/>
      <x:c r="J45"/>
    </x:row>
    <x:row r="46">
      <x:c r="A46" s="32" t="str">
        <x:v>Cek usulan</x:v>
      </x:c>
      <x:c r="B46" s="32" t="str">
        <x:f>IF(B43="LENGKAPI UJI INTERVENSI","LENGKAPI UJI INTERVENSI",IF(B43="PERLU INTERVENSI PIMPINAN",IF(OR(B44="",B45=""),"LENGKAPI USULAN","SIAP DIBAWA KE FORUM"),"TIDAK PERLU USULAN PIMPINAN"))</x:f>
        <x:v>LENGKAPI UJI INTERVENSI</x:v>
      </x:c>
      <x:c r="C46" t="str">
        <x:v>Cek usulan</x:v>
      </x:c>
      <x:c r="D46" t="str">
        <x:f>IF(B43="LENGKAPI UJI INTERVENSI","LENGKAPI UJI INTERVENSI",IF(B43="PERLU INTERVENSI PIMPINAN",IF(OR(B44="",B45=""),"LENGKAPI USULAN","SIAP DIBAWA KE FORUM"),"TIDAK PERLU USULAN PIMPINAN"))</x:f>
        <x:v>LENGKAPI UJI INTERVENSI</x:v>
      </x:c>
      <x:c r="E46"/>
      <x:c r="F46"/>
      <x:c r="G46"/>
      <x:c r="H46"/>
      <x:c r="I46"/>
      <x:c r="J46"/>
    </x:row>
    <x:row r="47">
      <x:c r="A47"/>
      <x:c r="B47"/>
      <x:c r="C47"/>
      <x:c r="D47"/>
      <x:c r="E47"/>
      <x:c r="F47"/>
      <x:c r="G47"/>
      <x:c r="H47"/>
      <x:c r="I47"/>
      <x:c r="J47"/>
    </x:row>
    <x:row r="48">
      <x:c r="A48" s="53" t="str">
        <x:v>Pengingat: nilai, early warning, dan kebutuhan intervensi pimpinan adalah tig...</x:v>
      </x:c>
      <x:c r="B48" s="53"/>
      <x:c r="C48" s="53"/>
      <x:c r="D48" s="53"/>
      <x:c r="E48" s="53"/>
      <x:c r="F48" s="53"/>
      <x:c r="G48" s="53"/>
      <x:c r="H48" s="53"/>
      <x:c r="I48" s="53"/>
      <x:c r="J48" s="53"/>
    </x:row>
  </x:sheetData>
  <x:mergeCells>
    <x:mergeCell ref="A1:J1"/>
    <x:mergeCell ref="A2:J2"/>
    <x:mergeCell ref="A5:J5"/>
    <x:mergeCell ref="B8:J8"/>
    <x:mergeCell ref="A11:J11"/>
    <x:mergeCell ref="A20:J20"/>
    <x:mergeCell ref="A25:J25"/>
    <x:mergeCell ref="A35:J35"/>
    <x:mergeCell ref="A48:J48"/>
  </x:mergeCells>
  <x:conditionalFormatting sqref="J13:J18">
    <x:cfRule type="expression" dxfId="0" priority="1">
      <x:formula>J13="OK"</x:formula>
    </x:cfRule>
    <x:cfRule type="expression" dxfId="1" priority="2">
      <x:formula>J13&lt;&gt;"OK"</x:formula>
    </x:cfRule>
  </x:conditionalFormatting>
  <x:dataValidations count="4">
    <x:dataValidation type="list" sqref="E13:E18">
      <x:formula1>"BELUM DITELAAH,BUKTI MEMADAI,BUKTI BELUM MEMADAI,BELUM DAPAT DINILAI"</x:formula1>
    </x:dataValidation>
    <x:dataValidation type="list" sqref="G13:G18">
      <x:formula1>"0,1,2,3,4"</x:formula1>
    </x:dataValidation>
    <x:dataValidation type="list" sqref="B22">
      <x:formula1>"BELUM,DISETUJUI,PERLU PERBAIKAN"</x:formula1>
    </x:dataValidation>
    <x:dataValidation type="list" sqref="C37:C41">
      <x:formula1>"BELUM DIPASTIKAN,TIDAK,YA"</x:formula1>
    </x:dataValidation>
  </x:dataValidations>
  <x:pageMargins left="0.7" right="0.7" top="0.75" bottom="0.75" header="0.3" footer="0.3"/>
</x:worksheet>
</file>