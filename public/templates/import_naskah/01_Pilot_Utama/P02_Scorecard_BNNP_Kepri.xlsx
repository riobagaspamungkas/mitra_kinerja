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2f5570befe4f2d" /></Relationships>
</file>

<file path=xl/workbook.xml><?xml version="1.0" encoding="utf-8"?>
<x:workbook xmlns:x="http://schemas.openxmlformats.org/spreadsheetml/2006/main">
  <x:sheets>
    <x:sheet xmlns:r="http://schemas.openxmlformats.org/officeDocument/2006/relationships" name="RINGKASAN BNNP" sheetId="1" r:id="R00b816e35d664a8b"/>
    <x:sheet xmlns:r="http://schemas.openxmlformats.org/officeDocument/2006/relationships" name="IDENTITAS &amp; PIC" sheetId="2" r:id="R6651a1852363468a"/>
    <x:sheet xmlns:r="http://schemas.openxmlformats.org/officeDocument/2006/relationships" name="PELAKSANAAN KEGIATAN" sheetId="3" r:id="R0f1bacf6ad954095"/>
    <x:sheet xmlns:r="http://schemas.openxmlformats.org/officeDocument/2006/relationships" name="USULAN TINDAK LANJUT" sheetId="4" r:id="Rf5ef49d939964a15"/>
    <x:sheet xmlns:r="http://schemas.openxmlformats.org/officeDocument/2006/relationships" name="BASELINE BNNP" sheetId="5" r:id="Rde3dbbcef51e46aa"/>
    <x:sheet xmlns:r="http://schemas.openxmlformats.org/officeDocument/2006/relationships" name="SCORECARD BNNP" sheetId="6" r:id="Rea8f13130ad6436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dd mmmm yyyy"/>
    <x:numFmt numFmtId="203" formatCode="@"/>
  </x:numFmts>
  <x:fonts count="8">
    <x:font>
      <x:sz val="11"/>
      <x:name val="Carlito"/>
    </x:font>
    <x:font>
      <x:b/>
      <x:sz val="16"/>
      <x:color rgb="FFFFFFFF"/>
      <x:name val="Carlito"/>
    </x:font>
    <x:font>
      <x:i/>
      <x:sz val="11"/>
      <x:color rgb="FF1F2937"/>
      <x:name val="Carlito"/>
    </x:font>
    <x:font>
      <x:b/>
      <x:sz val="11"/>
      <x:color rgb="FFFFFFFF"/>
      <x:name val="Carlito"/>
    </x:font>
    <x:font>
      <x:b/>
      <x:sz val="11"/>
      <x:name val="Carlito"/>
    </x:font>
    <x:font>
      <x:b/>
      <x:sz val="11"/>
      <x:color rgb="FF6B4F00"/>
      <x:name val="Carlito"/>
    </x:font>
    <x:font>
      <x:i/>
      <x:sz val="11"/>
      <x:name val="Carlito"/>
    </x:font>
    <x:font>
      <x:b/>
      <x:sz val="11"/>
      <x:color rgb="FF8B1E1E"/>
      <x:name val="Carlito"/>
    </x:font>
  </x:fonts>
  <x:fills count="8">
    <x:fill>
      <x:patternFill patternType="none"/>
    </x:fill>
    <x:fill>
      <x:patternFill patternType="gray125"/>
    </x:fill>
    <x:fill>
      <x:patternFill patternType="solid">
        <x:fgColor rgb="FF0B1F3A"/>
      </x:patternFill>
    </x:fill>
    <x:fill>
      <x:patternFill patternType="solid">
        <x:fgColor rgb="FFEAF2F8"/>
      </x:patternFill>
    </x:fill>
    <x:fill>
      <x:patternFill patternType="solid">
        <x:fgColor rgb="FF173F6B"/>
      </x:patternFill>
    </x:fill>
    <x:fill>
      <x:patternFill patternType="solid">
        <x:fgColor rgb="FFF3F4F6"/>
      </x:patternFill>
    </x:fill>
    <x:fill>
      <x:patternFill patternType="solid">
        <x:fgColor rgb="FFFFF4CC"/>
      </x:patternFill>
    </x:fill>
    <x:fill>
      <x:patternFill patternType="solid">
        <x:fgColor rgb="FFFCE8E6"/>
      </x:patternFill>
    </x:fill>
  </x:fills>
  <x:borders count="2">
    <x:border/>
    <x:border/>
  </x:borders>
  <x:cellStyleXfs count="1">
    <x:xf numFmtId="0" fontId="0" fillId="0" borderId="0"/>
  </x:cellStyleXfs>
  <x:cellXfs count="10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0" fillId="0" borderId="0" xfId="0" applyNumberFormat="1" applyFont="1" applyFill="1" applyBorder="1"/>
    <x:xf numFmtId="0" fontId="4" fillId="5" borderId="0" xfId="0" applyNumberFormat="1" applyFont="1" applyFill="1" applyBorder="1" applyAlignment="1">
      <x:alignment vertical="top"/>
    </x:xf>
    <x:xf numFmtId="0" fontId="0" fillId="0" borderId="0" xfId="0" applyNumberFormat="1" applyFont="1" applyFill="1" applyBorder="1" applyAlignment="1">
      <x:alignment vertical="top"/>
    </x:xf>
    <x:xf numFmtId="0" fontId="4" fillId="5" borderId="1" xfId="0" applyNumberFormat="1" applyFont="1" applyFill="1" applyBorder="1" applyAlignment="1">
      <x:alignment vertical="top"/>
    </x:xf>
    <x:xf numFmtId="0" fontId="0" fillId="0" borderId="1" xfId="0" applyNumberFormat="1" applyFont="1" applyFill="1" applyBorder="1" applyAlignment="1">
      <x:alignment vertical="top"/>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2" borderId="0" xfId="0" applyNumberFormat="1" applyFont="1" applyFill="1" applyBorder="1" applyAlignment="1">
      <x:alignment horizontal="center" vertical="top" wrapText="1"/>
    </x:xf>
    <x:xf numFmtId="0" fontId="3" fillId="2" borderId="1"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6" fillId="3" borderId="0" xfId="0" applyNumberFormat="1" applyFont="1" applyFill="1" applyBorder="1"/>
    <x:xf numFmtId="0" fontId="6" fillId="3" borderId="0" xfId="0" applyNumberFormat="1" applyFont="1" applyFill="1" applyBorder="1" applyAlignment="1">
      <x:alignment horizontal="center"/>
    </x:xf>
    <x:xf numFmtId="0" fontId="6" fillId="3" borderId="1" xfId="0" applyNumberFormat="1" applyFont="1" applyFill="1" applyBorder="1"/>
    <x:xf numFmtId="0" fontId="6" fillId="3" borderId="1" xfId="0" applyNumberFormat="1" applyFont="1" applyFill="1" applyBorder="1" applyAlignment="1">
      <x:alignment horizontal="center"/>
    </x:xf>
    <x:xf numFmtId="0" fontId="0" fillId="6" borderId="0" xfId="0" applyNumberFormat="1" applyFont="1" applyFill="1" applyBorder="1" applyAlignment="1">
      <x:alignment vertical="top"/>
    </x:xf>
    <x:xf numFmtId="0" fontId="0" fillId="6" borderId="1" xfId="0" applyNumberFormat="1" applyFont="1" applyFill="1" applyBorder="1" applyAlignment="1">
      <x:alignment vertical="top"/>
    </x:xf>
    <x:xf numFmtId="0" fontId="0" fillId="6" borderId="0"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1" xfId="0" applyNumberFormat="1" applyFont="1" applyFill="1" applyBorder="1"/>
    <x:xf numFmtId="0" fontId="6" fillId="5" borderId="1"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xf numFmtId="0" fontId="4" fillId="6" borderId="1" xfId="0" applyNumberFormat="1" applyFont="1" applyFill="1" applyBorder="1"/>
    <x:xf numFmtId="0" fontId="4" fillId="6"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vertical="top"/>
    </x:xf>
    <x:xf numFmtId="202" fontId="0" fillId="0" borderId="1" xfId="0" applyNumberFormat="1" applyFont="1" applyFill="1" applyBorder="1" applyAlignment="1">
      <x:alignment vertical="top"/>
    </x:xf>
    <x:xf numFmtId="202" fontId="0" fillId="5" borderId="0" xfId="0" applyNumberFormat="1" applyFont="1" applyFill="1" applyBorder="1" applyAlignment="1">
      <x:alignment vertical="top" wrapText="1"/>
    </x:xf>
    <x:xf numFmtId="202" fontId="4" fillId="5" borderId="0" xfId="0" applyNumberFormat="1" applyFont="1" applyFill="1" applyBorder="1" applyAlignment="1">
      <x:alignment vertical="top" wrapText="1"/>
    </x:xf>
    <x:xf numFmtId="202" fontId="0" fillId="5" borderId="1" xfId="0" applyNumberFormat="1" applyFont="1" applyFill="1" applyBorder="1" applyAlignment="1">
      <x:alignment vertical="top" wrapText="1"/>
    </x:xf>
    <x:xf numFmtId="202" fontId="4" fillId="5"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202" fontId="0" fillId="6" borderId="0" xfId="0" applyNumberFormat="1" applyFont="1" applyFill="1" applyBorder="1" applyAlignment="1">
      <x:alignment vertical="top" wrapText="1"/>
    </x:xf>
    <x:xf numFmtId="201" fontId="3" fillId="2" borderId="0" xfId="0" applyNumberFormat="1" applyFont="1" applyFill="1" applyBorder="1" applyAlignment="1">
      <x:alignment horizontal="center" vertical="top" wrapText="1"/>
    </x:xf>
    <x:xf numFmtId="203" fontId="0" fillId="6" borderId="0" xfId="0" applyNumberFormat="1" applyFont="1" applyFill="1" applyBorder="1" applyAlignment="1">
      <x:alignment vertical="top" wrapText="1"/>
    </x:xf>
    <x:xf numFmtId="203" fontId="0" fillId="0" borderId="0" xfId="0" applyNumberFormat="1" applyFont="1" applyFill="1" applyBorder="1"/>
    <x:xf numFmtId="203" fontId="3" fillId="4" borderId="0" xfId="0" applyNumberFormat="1" applyFont="1" applyFill="1" applyBorder="1" applyAlignment="1">
      <x:alignment vertical="center"/>
    </x:xf>
  </x:cellXfs>
  <x:cellStyles count="1">
    <x:cellStyle name="Normal" xfId="0"/>
  </x:cellStyles>
  <x:dxfs count="4">
    <x:dxf>
      <x:fill>
        <x:patternFill>
          <x:bgColor rgb="FFDFF2E1"/>
        </x:patternFill>
      </x:fill>
    </x:dxf>
    <x:dxf>
      <x:fill>
        <x:patternFill>
          <x:bgColor rgb="FFFDEBD0"/>
        </x:patternFill>
      </x:fill>
    </x:dxf>
    <x:dxf>
      <x:fill>
        <x:patternFill>
          <x:bgColor rgb="FFDFF2E1"/>
        </x:patternFill>
      </x:fill>
    </x:dxf>
    <x:dxf>
      <x:fill>
        <x:patternFill>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cfd87b630704454" /><Relationship Type="http://schemas.openxmlformats.org/officeDocument/2006/relationships/theme" Target="/xl/theme/theme1.xml" Id="R070fe8e96a02469c" /><Relationship Type="http://schemas.openxmlformats.org/officeDocument/2006/relationships/sharedStrings" Target="/xl/sharedStrings.xml" Id="Refb71143e8ec4e92" /><Relationship Type="http://schemas.openxmlformats.org/officeDocument/2006/relationships/worksheet" Target="/xl/worksheets/sheet1.xml" Id="R00b816e35d664a8b" /><Relationship Type="http://schemas.openxmlformats.org/officeDocument/2006/relationships/worksheet" Target="/xl/worksheets/sheet2.xml" Id="R6651a1852363468a" /><Relationship Type="http://schemas.openxmlformats.org/officeDocument/2006/relationships/worksheet" Target="/xl/worksheets/sheet3.xml" Id="R0f1bacf6ad954095" /><Relationship Type="http://schemas.openxmlformats.org/officeDocument/2006/relationships/worksheet" Target="/xl/worksheets/sheet4.xml" Id="Rf5ef49d939964a15" /><Relationship Type="http://schemas.openxmlformats.org/officeDocument/2006/relationships/worksheet" Target="/xl/worksheets/sheet5.xml" Id="Rde3dbbcef51e46aa" /><Relationship Type="http://schemas.openxmlformats.org/officeDocument/2006/relationships/worksheet" Target="/xl/worksheets/sheet6.xml" Id="Rea8f13130ad6436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34" hidden="0" customWidth="1"/>
    <x:col min="3" max="3" width="38" hidden="0" customWidth="1"/>
    <x:col min="4" max="4" width="42" hidden="0" customWidth="1"/>
    <x:col min="5" max="5" width="26" hidden="0" customWidth="1"/>
    <x:col min="6" max="6" width="6" hidden="0" customWidth="1"/>
    <x:col min="7" max="7" width="24" hidden="0" customWidth="1"/>
    <x:col min="8" max="8" width="26" hidden="0" customWidth="1"/>
  </x:cols>
  <x:sheetData>
    <x:row r="1" ht="28" customHeight="1">
      <x:c r="A1" s="5" t="str">
        <x:v>MITRA KINERJA — RINGKASAN TERINTEGRASI BNNP KEPULAUAN RIAU</x:v>
      </x:c>
      <x:c r="B1" s="5"/>
      <x:c r="C1" s="5"/>
      <x:c r="D1" s="5"/>
      <x:c r="E1" s="5"/>
      <x:c r="F1" s="5"/>
      <x:c r="G1" s="5"/>
      <x:c r="H1" s="5"/>
    </x:row>
    <x:row r="2">
      <x:c r="A2" s="12" t="str">
        <x:v>Data Stakeholder → Baseline → Scorecard → Early Warning → Tindak Lanjut</x:v>
      </x:c>
      <x:c r="B2" s="12"/>
      <x:c r="C2" s="12"/>
      <x:c r="D2" s="12"/>
      <x:c r="E2" s="12"/>
      <x:c r="F2" s="12"/>
      <x:c r="G2" s="12"/>
      <x:c r="H2" s="12"/>
    </x:row>
    <x:row r="4" ht="22" customHeight="1">
      <x:c r="A4" s="18" t="str">
        <x:v>IDENTITAS PORTOFOLIO</x:v>
      </x:c>
      <x:c r="B4" s="18"/>
      <x:c r="C4" s="18"/>
      <x:c r="D4" s="18"/>
      <x:c r="E4" s="18"/>
      <x:c r="F4" s="18"/>
      <x:c r="G4" s="18"/>
      <x:c r="H4" s="18"/>
    </x:row>
    <x:row r="5">
      <x:c r="A5" s="31" t="str">
        <x:v>Kode Naskah</x:v>
      </x:c>
      <x:c r="B5" s="32" t="str">
        <x:v>P02</x:v>
      </x:c>
      <x:c r="D5" s="31" t="str">
        <x:v>PIC Mitra</x:v>
      </x:c>
      <x:c r="E5" s="32" t="str">
        <x:f>IF(OR('IDENTITAS &amp; PIC'!C11="",LEFT('IDENTITAS &amp; PIC'!C11,1)="&lt;"),"Belum tersedia",'IDENTITAS &amp; PIC'!C11)</x:f>
        <x:v>Belum tersedia</x:v>
      </x:c>
      <x:c r="G5" s="31" t="str">
        <x:v>Nilai Berjalan</x:v>
      </x:c>
      <x:c r="H5" s="35" t="n">
        <x:f>'SCORECARD BNNP'!B21</x:f>
        <x:v>3.75</x:v>
      </x:c>
    </x:row>
    <x:row r="6">
      <x:c r="A6" s="31" t="str">
        <x:v>Mitra</x:v>
      </x:c>
      <x:c r="B6" s="32" t="str">
        <x:f>'IDENTITAS &amp; PIC'!C5</x:f>
        <x:v>Badan Narkotika Nasional Provinsi Kepulauan Riau</x:v>
      </x:c>
      <x:c r="D6" s="31" t="str">
        <x:v>Total Kegiatan</x:v>
      </x:c>
      <x:c r="E6" s="32" t="n">
        <x:f>IF('PELAKSANAAN KEGIATAN'!B7&lt;&gt;"",1,0)+IF('PELAKSANAAN KEGIATAN'!B8&lt;&gt;"",1,0)+IF('PELAKSANAAN KEGIATAN'!B9&lt;&gt;"",1,0)+IF('PELAKSANAAN KEGIATAN'!B10&lt;&gt;"",1,0)+IF('PELAKSANAAN KEGIATAN'!B11&lt;&gt;"",1,0)+IF('PELAKSANAAN KEGIATAN'!B12&lt;&gt;"",1,0)</x:f>
        <x:v>0</x:v>
      </x:c>
      <x:c r="F6"/>
      <x:c r="G6" s="31" t="str">
        <x:v>Kelengkapan Scorecard</x:v>
      </x:c>
      <x:c r="H6" s="37" t="n">
        <x:f>'SCORECARD BNNP'!D21</x:f>
        <x:v>0.16666666666666666</x:v>
      </x:c>
    </x:row>
    <x:row r="7">
      <x:c r="A7" s="31" t="str">
        <x:v>Jenis</x:v>
      </x:c>
      <x:c r="B7" s="32" t="str">
        <x:v>PKS</x:v>
      </x:c>
      <x:c r="D7" s="31" t="str">
        <x:v>Usulan Tindak Lanjut</x:v>
      </x:c>
      <x:c r="E7" s="32" t="n">
        <x:f>IF('USULAN TINDAK LANJUT'!B7&lt;&gt;"",1,0)+IF('USULAN TINDAK LANJUT'!B8&lt;&gt;"",1,0)+IF('USULAN TINDAK LANJUT'!B9&lt;&gt;"",1,0)+IF('USULAN TINDAK LANJUT'!B10&lt;&gt;"",1,0)+IF('USULAN TINDAK LANJUT'!B11&lt;&gt;"",1,0)+IF('USULAN TINDAK LANJUT'!B12&lt;&gt;"",1,0)</x:f>
        <x:v>0</x:v>
      </x:c>
      <x:c r="G7" s="31" t="str">
        <x:v>Kategori</x:v>
      </x:c>
      <x:c r="H7" s="39" t="str">
        <x:f>'SCORECARD BNNP'!F21</x:f>
        <x:v>BELUM LENGKAP</x:v>
      </x:c>
    </x:row>
    <x:row r="8">
      <x:c r="A8" s="31" t="str">
        <x:v>Judul</x:v>
      </x:c>
      <x:c r="B8" s="32" t="str">
        <x:v>Integrasi dan Pemanfaatan Belajar Seru Tiap Hari Learning Hub sebagai Platform Pembelajaran Digital dalam Penguatan Literasi Hukum, Pencegahan Penyalahgunaan Narkotika, dan Pembangunan Karakter Generasi Muda di Provinsi Kepulauan Riau</x:v>
      </x:c>
      <x:c r="D8" s="31" t="str">
        <x:v>Keterangan Bukti</x:v>
      </x:c>
      <x:c r="E8" s="32" t="n">
        <x:f>IF('PELAKSANAAN KEGIATAN'!E7&lt;&gt;"",1,0)+IF('PELAKSANAAN KEGIATAN'!E8&lt;&gt;"",1,0)+IF('PELAKSANAAN KEGIATAN'!E9&lt;&gt;"",1,0)+IF('PELAKSANAAN KEGIATAN'!E10&lt;&gt;"",1,0)+IF('PELAKSANAAN KEGIATAN'!E11&lt;&gt;"",1,0)+IF('PELAKSANAAN KEGIATAN'!E12&lt;&gt;"",1,0)</x:f>
        <x:v>0</x:v>
      </x:c>
      <x:c r="G8" s="31" t="str">
        <x:v>Early Warning</x:v>
      </x:c>
      <x:c r="H8" s="39" t="str">
        <x:f>'SCORECARD BNNP'!B32</x:f>
        <x:v>V0 - DATA BELUM CUKUP</x:v>
      </x:c>
    </x:row>
    <x:row r="10" ht="22" customHeight="1">
      <x:c r="A10" s="18" t="str">
        <x:v>STATUS BASELINE TERINTEGRASI</x:v>
      </x:c>
      <x:c r="B10" s="18"/>
      <x:c r="C10" s="18"/>
      <x:c r="D10" s="18"/>
      <x:c r="E10" s="18"/>
      <x:c r="F10" s="18"/>
      <x:c r="G10" s="18"/>
      <x:c r="H10" s="18"/>
    </x:row>
    <x:row r="11">
      <x:c r="A11" s="49" t="str">
        <x:v>Elemen</x:v>
      </x:c>
      <x:c r="B11" s="49" t="str">
        <x:v>Status Baseline</x:v>
      </x:c>
      <x:c r="C11" s="49" t="str">
        <x:v>Pembaruan Terintegrasi</x:v>
      </x:c>
      <x:c r="D11" s="49" t="str">
        <x:v>Catatan</x:v>
      </x:c>
    </x:row>
    <x:row r="12">
      <x:c r="A12" s="39" t="str">
        <x:v>PIC Mitra</x:v>
      </x:c>
      <x:c r="B12" s="32" t="str">
        <x:f>'BASELINE BNNP'!F20</x:f>
        <x:v>BELUM TERVERIFIKASI</x:v>
      </x:c>
      <x:c r="C12" s="32" t="str">
        <x:f>'BASELINE BNNP'!J20</x:f>
        <x:v>Belum ada PIC mitra yang diisi</x:v>
      </x:c>
      <x:c r="D12" s="32" t="str">
        <x:f>'BASELINE BNNP'!K20</x:f>
        <x:v>Tidak ada pembaruan yang mengubah baseline.</x:v>
      </x:c>
    </x:row>
    <x:row r="13">
      <x:c r="A13" s="39" t="str">
        <x:v>Rencana Tindak Lanjut</x:v>
      </x:c>
      <x:c r="B13" s="32" t="str">
        <x:f>'BASELINE BNNP'!F21</x:f>
        <x:v>BELUM TERVERIFIKASI</x:v>
      </x:c>
      <x:c r="C13" s="32" t="str">
        <x:f>'BASELINE BNNP'!J21</x:f>
        <x:v>Belum ada usulan tindak lanjut terisi</x:v>
      </x:c>
      <x:c r="D13" s="32" t="str">
        <x:f>'BASELINE BNNP'!K21</x:f>
        <x:v>Tidak ada pembaruan yang mengubah baseline.</x:v>
      </x:c>
    </x:row>
    <x:row r="14">
      <x:c r="A14" s="39" t="str">
        <x:v>Pelaksanaan &amp; Hasil</x:v>
      </x:c>
      <x:c r="B14" s="32" t="str">
        <x:f>'BASELINE BNNP'!F22</x:f>
        <x:v>BELUM TERVERIFIKASI</x:v>
      </x:c>
      <x:c r="C14" s="32" t="str">
        <x:f>'BASELINE BNNP'!J22</x:f>
        <x:v>Belum ada kegiatan pada sheet pelaksanaan</x:v>
      </x:c>
      <x:c r="D14" s="32" t="str">
        <x:f>'BASELINE BNNP'!K22</x:f>
        <x:v>Tidak ada pembaruan yang mengubah baseline.</x:v>
      </x:c>
    </x:row>
    <x:row r="15">
      <x:c r="A15" s="39" t="str">
        <x:v>Eviden Implementasi</x:v>
      </x:c>
      <x:c r="B15" s="32" t="str">
        <x:f>'BASELINE BNNP'!F23</x:f>
        <x:v>BELUM TERVERIFIKASI</x:v>
      </x:c>
      <x:c r="C15" s="32" t="str">
        <x:f>'BASELINE BNNP'!J23</x:f>
        <x:v>Belum ada keterangan bukti pada sheet pelaksanaan</x:v>
      </x:c>
      <x:c r="D15" s="32" t="str">
        <x:f>'BASELINE BNNP'!K23</x:f>
        <x:v>Tidak ada pembaruan yang mengubah baseline.</x:v>
      </x:c>
    </x:row>
    <x:row r="17">
      <x:c r="A17" s="53" t="str">
        <x:v>Catatan kendali: data pada sheet input mengalir otomatis sebagai referensi, tetapi TIDAK otomatis mengubah status Baseline atau skor Scorecard. Pemeriksaan bukti dan validasi tetap diperlukan.</x:v>
      </x:c>
      <x:c r="B17" s="53"/>
      <x:c r="C17" s="53"/>
      <x:c r="D17" s="53"/>
      <x:c r="E17" s="53"/>
      <x:c r="F17" s="53"/>
      <x:c r="G17" s="53"/>
      <x:c r="H17" s="53"/>
    </x:row>
    <x:row r="19" ht="42" customHeight="1">
      <x:c r="A19" s="95" t="str">
        <x:v>CATATAN BNNP: pada file stakeholder terbaru belum terdapat PIC, kegiatan, bukti, maupun usulan tindak lanjut. Karena itu workbook mempertahankan kondisi Baseline/Scorecard P02 dari file terbaru dan hanya menggunakan identitas dasar sebagai isian awal. Data operasional baru akan mengalir otomatis ketika diisi, tanpa mengubah skor sebelum verifikasi.</x:v>
      </x:c>
      <x:c r="B19" s="95"/>
      <x:c r="C19" s="95"/>
      <x:c r="D19" s="95"/>
      <x:c r="E19" s="95"/>
      <x:c r="F19" s="95"/>
      <x:c r="G19" s="95"/>
      <x:c r="H19" s="95"/>
    </x:row>
  </x:sheetData>
  <x:mergeCells>
    <x:mergeCell ref="A1:H1"/>
    <x:mergeCell ref="A2:H2"/>
    <x:mergeCell ref="A4:H4"/>
    <x:mergeCell ref="A10:H10"/>
    <x:mergeCell ref="A17:H17"/>
    <x:mergeCell ref="A19:H19"/>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4" hidden="0" customWidth="1"/>
    <x:col min="3" max="3" width="34" hidden="0" customWidth="1"/>
    <x:col min="4" max="4" width="4" hidden="0" customWidth="1"/>
    <x:col min="5" max="5" width="20" hidden="0" customWidth="1"/>
    <x:col min="6" max="6" width="4" hidden="0" customWidth="1"/>
    <x:col min="7" max="7" width="28" hidden="0" customWidth="1"/>
  </x:cols>
  <x:sheetData>
    <x:row r="1" ht="28" customHeight="1">
      <x:c r="A1" s="5" t="str">
        <x:v>IDENTITAS KERJA SAMA DAN PIC — BNNP KEPULAUAN RIAU</x:v>
      </x:c>
      <x:c r="B1" s="5" t="str">
        <x:v>IDENTITAS KERJA SAMA DAN PIC</x:v>
      </x:c>
      <x:c r="C1" s="5" t="str">
        <x:v>IDENTITAS KERJA SAMA DAN PIC</x:v>
      </x:c>
      <x:c r="D1" s="5" t="str">
        <x:v>IDENTITAS KERJA SAMA DAN PIC</x:v>
      </x:c>
      <x:c r="E1" s="5" t="str">
        <x:v>IDENTITAS KERJA SAMA DAN PIC</x:v>
      </x:c>
      <x:c r="F1" s="5" t="str">
        <x:v>IDENTITAS KERJA SAMA DAN PIC</x:v>
      </x:c>
      <x:c r="G1" s="5" t="str">
        <x:v>IDENTITAS KERJA SAMA DAN PIC</x:v>
      </x:c>
      <x:c r="H1" t="str">
        <x:v>IDENTITAS KERJA SAMA DAN PIC</x:v>
      </x:c>
    </x:row>
    <x:row r="2">
      <x:c r="A2" s="58" t="str">
        <x:v>File stakeholder yang diunggah belum memuat PIC, kegiatan, atau tindak lanjut. Identitas dasar diambil dari Baseline P02; data operasional dapat dilengkapi pada sel input dan akan mengalir otomatis sebagai referensi.</x:v>
      </x:c>
      <x:c r="B2" s="58" t="str">
        <x:v>Sel kuning diisi oleh mitra; data naskah telah dipersiapkan untuk STAI Natuna dan dapat disesuaikan.</x:v>
      </x:c>
      <x:c r="C2" s="58" t="str">
        <x:v>Sel kuning diisi oleh mitra; data naskah telah dipersiapkan untuk STAI Natuna dan dapat disesuaikan.</x:v>
      </x:c>
      <x:c r="D2" s="58" t="str">
        <x:v>Sel kuning diisi oleh mitra; data naskah telah dipersiapkan untuk STAI Natuna dan dapat disesuaikan.</x:v>
      </x:c>
      <x:c r="E2" s="58" t="str">
        <x:v>Sel kuning diisi oleh mitra; data naskah telah dipersiapkan untuk STAI Natuna dan dapat disesuaikan.</x:v>
      </x:c>
      <x:c r="F2" s="58" t="str">
        <x:v>Sel kuning diisi oleh mitra; data naskah telah dipersiapkan untuk STAI Natuna dan dapat disesuaikan.</x:v>
      </x:c>
      <x:c r="G2" s="58" t="str">
        <x:v>Sel kuning diisi oleh mitra; data naskah telah dipersiapkan untuk STAI Natuna dan dapat disesuaikan.</x:v>
      </x:c>
      <x:c r="H2" t="str">
        <x:v>Sel kuning diisi oleh mitra; data naskah telah dipersiapkan untuk STAI Natuna dan dapat disesuaikan.</x:v>
      </x:c>
    </x:row>
    <x:row r="3">
      <x:c r="A3"/>
      <x:c r="B3"/>
      <x:c r="C3"/>
      <x:c r="D3"/>
      <x:c r="E3"/>
      <x:c r="F3"/>
      <x:c r="G3"/>
      <x:c r="H3"/>
    </x:row>
    <x:row r="4" ht="22" customHeight="1">
      <x:c r="A4" s="18" t="str">
        <x:v>A. IDENTITAS KERJA SAMA</x:v>
      </x:c>
      <x:c r="B4" s="18" t="str">
        <x:v>A. IDENTITAS KERJA SAMA</x:v>
      </x:c>
      <x:c r="C4" s="18" t="str">
        <x:v>A. IDENTITAS KERJA SAMA</x:v>
      </x:c>
      <x:c r="D4" s="18" t="str">
        <x:v>A. IDENTITAS KERJA SAMA</x:v>
      </x:c>
      <x:c r="E4" s="18" t="str">
        <x:v>A. IDENTITAS KERJA SAMA</x:v>
      </x:c>
      <x:c r="F4" s="18" t="str">
        <x:v>A. IDENTITAS KERJA SAMA</x:v>
      </x:c>
      <x:c r="G4" s="18" t="str">
        <x:v>A. IDENTITAS KERJA SAMA</x:v>
      </x:c>
      <x:c r="H4" t="str">
        <x:v>A. IDENTITAS KERJA SAMA</x:v>
      </x:c>
    </x:row>
    <x:row r="5">
      <x:c r="A5" s="31" t="str">
        <x:v>Nama Mitra</x:v>
      </x:c>
      <x:c r="B5" s="32"/>
      <x:c r="C5" s="63" t="str">
        <x:v>Badan Narkotika Nasional Provinsi Kepulauan Riau</x:v>
      </x:c>
      <x:c r="D5" s="63"/>
      <x:c r="E5" s="63"/>
      <x:c r="F5" s="63"/>
      <x:c r="G5" s="63"/>
      <x:c r="H5"/>
    </x:row>
    <x:row r="6">
      <x:c r="A6" s="31" t="str">
        <x:v>Nomor Nota Kesepahaman/Perjanjian Kerja Sama</x:v>
      </x:c>
      <x:c r="B6" s="32"/>
      <x:c r="C6" s="63" t="str">
        <x:v>BELUM TERVERIFIKASI</x:v>
      </x:c>
      <x:c r="D6" s="63"/>
      <x:c r="E6" s="63"/>
      <x:c r="F6" s="63"/>
      <x:c r="G6" s="63"/>
      <x:c r="H6"/>
    </x:row>
    <x:row r="7">
      <x:c r="A7" s="31" t="str">
        <x:v>Tanggal</x:v>
      </x:c>
      <x:c r="B7" s="32"/>
      <x:c r="C7" s="96" t="n">
        <x:v>46216</x:v>
      </x:c>
      <x:c r="D7" s="63"/>
      <x:c r="E7" s="63"/>
      <x:c r="F7" s="63"/>
      <x:c r="G7" s="63"/>
      <x:c r="H7"/>
    </x:row>
    <x:row r="8">
      <x:c r="A8" s="31" t="str">
        <x:v>Ruang Lingkup</x:v>
      </x:c>
      <x:c r="B8" s="32"/>
      <x:c r="C8" s="63" t="str">
        <x:v>Ruang lingkup yang tercatat meliputi integrasi materi pembelajaran pada BESTI Learning Hub; penempatan logo; kampanye komunikasi publik; kolaborasi narasumber untuk podcast/webinar/seminar; serta penyediaan infografis atau videografis.</x:v>
      </x:c>
      <x:c r="D8" s="63"/>
      <x:c r="E8" s="63"/>
      <x:c r="F8" s="63"/>
      <x:c r="G8" s="63"/>
      <x:c r="H8"/>
    </x:row>
    <x:row r="9">
      <x:c r="A9"/>
      <x:c r="B9"/>
      <x:c r="C9"/>
      <x:c r="D9"/>
      <x:c r="E9"/>
      <x:c r="F9"/>
      <x:c r="G9"/>
      <x:c r="H9"/>
    </x:row>
    <x:row r="10" ht="22" customHeight="1">
      <x:c r="A10" s="18" t="str">
        <x:v>B. PIC UTAMA</x:v>
      </x:c>
      <x:c r="B10" s="18" t="str">
        <x:v>B. PIC UTAMA</x:v>
      </x:c>
      <x:c r="C10" s="18" t="str">
        <x:v>B. PIC UTAMA</x:v>
      </x:c>
      <x:c r="D10" s="18" t="str">
        <x:v>B. PIC UTAMA</x:v>
      </x:c>
      <x:c r="E10" s="18" t="str">
        <x:v>B. PIC UTAMA</x:v>
      </x:c>
      <x:c r="F10" s="18" t="str">
        <x:v>B. PIC UTAMA</x:v>
      </x:c>
      <x:c r="G10" s="18" t="str">
        <x:v>B. PIC UTAMA</x:v>
      </x:c>
      <x:c r="H10" t="str">
        <x:v>B. PIC UTAMA</x:v>
      </x:c>
    </x:row>
    <x:row r="11">
      <x:c r="A11" s="31" t="str">
        <x:v>Nama Lengkap*</x:v>
      </x:c>
      <x:c r="B11" s="32"/>
      <x:c r="C11" s="63"/>
      <x:c r="D11" s="32"/>
      <x:c r="E11" s="31" t="str">
        <x:v>Jabatan*</x:v>
      </x:c>
      <x:c r="F11" s="32"/>
      <x:c r="G11" s="63"/>
      <x:c r="H11"/>
    </x:row>
    <x:row r="12">
      <x:c r="A12" s="31" t="str">
        <x:v>Unit Kerja*</x:v>
      </x:c>
      <x:c r="B12" s="32"/>
      <x:c r="C12" s="63"/>
      <x:c r="D12" s="32"/>
      <x:c r="E12" s="31" t="str">
        <x:v>No. HP/WA*</x:v>
      </x:c>
      <x:c r="F12" s="32"/>
      <x:c r="G12" s="98"/>
      <x:c r="H12"/>
    </x:row>
    <x:row r="13">
      <x:c r="A13" s="31" t="str">
        <x:v>Email Resmi*</x:v>
      </x:c>
      <x:c r="B13" s="32"/>
      <x:c r="C13" s="63"/>
      <x:c r="D13" s="32"/>
      <x:c r="E13" s="31" t="str">
        <x:v>Status</x:v>
      </x:c>
      <x:c r="F13" s="32"/>
      <x:c r="G13" s="98" t="str">
        <x:v>Tetap</x:v>
      </x:c>
      <x:c r="H13"/>
    </x:row>
    <x:row r="14">
      <x:c r="A14"/>
      <x:c r="B14"/>
      <x:c r="C14"/>
      <x:c r="D14"/>
      <x:c r="E14"/>
      <x:c r="F14"/>
      <x:c r="G14" s="99"/>
      <x:c r="H14"/>
    </x:row>
    <x:row r="15" ht="22" customHeight="1">
      <x:c r="A15" s="18" t="str">
        <x:v>C. PIC CADANGAN</x:v>
      </x:c>
      <x:c r="B15" s="18" t="str">
        <x:v>C. PIC CADANGAN</x:v>
      </x:c>
      <x:c r="C15" s="18" t="str">
        <x:v>C. PIC CADANGAN</x:v>
      </x:c>
      <x:c r="D15" s="18" t="str">
        <x:v>C. PIC CADANGAN</x:v>
      </x:c>
      <x:c r="E15" s="18" t="str">
        <x:v>C. PIC CADANGAN</x:v>
      </x:c>
      <x:c r="F15" s="18" t="str">
        <x:v>C. PIC CADANGAN</x:v>
      </x:c>
      <x:c r="G15" s="100" t="str">
        <x:v>C. PIC CADANGAN</x:v>
      </x:c>
      <x:c r="H15" t="str">
        <x:v>C. PIC CADANGAN</x:v>
      </x:c>
    </x:row>
    <x:row r="16">
      <x:c r="A16" s="31" t="str">
        <x:v>Nama Lengkap*</x:v>
      </x:c>
      <x:c r="B16" s="32"/>
      <x:c r="C16" s="63"/>
      <x:c r="D16" s="32"/>
      <x:c r="E16" s="31" t="str">
        <x:v>Jabatan*</x:v>
      </x:c>
      <x:c r="F16" s="32"/>
      <x:c r="G16" s="98"/>
      <x:c r="H16"/>
    </x:row>
    <x:row r="17">
      <x:c r="A17" s="31" t="str">
        <x:v>Unit Kerja*</x:v>
      </x:c>
      <x:c r="B17" s="32"/>
      <x:c r="C17" s="63"/>
      <x:c r="D17" s="32"/>
      <x:c r="E17" s="31" t="str">
        <x:v>No. HP/WA*</x:v>
      </x:c>
      <x:c r="F17" s="32"/>
      <x:c r="G17" s="98"/>
      <x:c r="H17"/>
    </x:row>
    <x:row r="18">
      <x:c r="A18" s="31" t="str">
        <x:v>Email Resmi*</x:v>
      </x:c>
      <x:c r="B18" s="32"/>
      <x:c r="C18" s="63"/>
      <x:c r="D18" s="32"/>
      <x:c r="E18" s="31" t="str">
        <x:v>Status</x:v>
      </x:c>
      <x:c r="F18" s="32"/>
      <x:c r="G18" s="63" t="str">
        <x:v>Tetap</x:v>
      </x:c>
      <x:c r="H18"/>
    </x:row>
    <x:row r="19">
      <x:c r="A19"/>
      <x:c r="B19"/>
      <x:c r="C19"/>
      <x:c r="D19"/>
      <x:c r="E19"/>
      <x:c r="F19"/>
      <x:c r="G19"/>
      <x:c r="H19"/>
    </x:row>
    <x:row r="20" ht="22" customHeight="1">
      <x:c r="A20" s="18" t="str">
        <x:v>D. KONFIRMASI RAPAT PENGUATAN PIC</x:v>
      </x:c>
      <x:c r="B20" s="18" t="str">
        <x:v>D. KONFIRMASI RAPAT PENGUATAN PIC</x:v>
      </x:c>
      <x:c r="C20" s="18" t="str">
        <x:v>D. KONFIRMASI RAPAT PENGUATAN PIC</x:v>
      </x:c>
      <x:c r="D20" s="18" t="str">
        <x:v>D. KONFIRMASI RAPAT PENGUATAN PIC</x:v>
      </x:c>
      <x:c r="E20" s="18" t="str">
        <x:v>D. KONFIRMASI RAPAT PENGUATAN PIC</x:v>
      </x:c>
      <x:c r="F20" s="18" t="str">
        <x:v>D. KONFIRMASI RAPAT PENGUATAN PIC</x:v>
      </x:c>
      <x:c r="G20" s="18" t="str">
        <x:v>D. KONFIRMASI RAPAT PENGUATAN PIC</x:v>
      </x:c>
      <x:c r="H20" t="str">
        <x:v>D. KONFIRMASI RAPAT PENGUATAN PIC</x:v>
      </x:c>
    </x:row>
    <x:row r="21">
      <x:c r="A21" s="31" t="str">
        <x:v>Kesediaan Hadir*</x:v>
      </x:c>
      <x:c r="B21" s="32"/>
      <x:c r="C21" s="63" t="str">
        <x:v>Hadir</x:v>
      </x:c>
      <x:c r="D21" s="32"/>
      <x:c r="E21" s="31" t="str">
        <x:v>Nama Peserta*</x:v>
      </x:c>
      <x:c r="F21" s="32"/>
      <x:c r="G21" s="63"/>
      <x:c r="H21"/>
    </x:row>
    <x:row r="22">
      <x:c r="A22" s="31" t="str">
        <x:v>Pertanyaan/Kebutuhan Awal</x:v>
      </x:c>
      <x:c r="B22" s="32"/>
      <x:c r="C22" s="63"/>
      <x:c r="D22" s="32"/>
      <x:c r="E22" s="32"/>
      <x:c r="F22" s="32"/>
      <x:c r="G22" s="32"/>
      <x:c r="H22"/>
    </x:row>
    <x:row r="23">
      <x:c r="A23"/>
      <x:c r="B23"/>
      <x:c r="C23"/>
      <x:c r="D23"/>
      <x:c r="E23"/>
      <x:c r="F23"/>
      <x:c r="G23"/>
      <x:c r="H23"/>
    </x:row>
    <x:row r="24">
      <x:c r="A24" s="66" t="str">
        <x:v>Data kontak digunakan untuk koordinasi, monitoring, evaluasi, dan tindak lanjut pelaksanaan kerja sama.</x:v>
      </x:c>
      <x:c r="B24" s="66" t="str">
        <x:v>Data kontak digunakan untuk koordinasi, monitoring, evaluasi, dan tindak lanjut pelaksanaan kerja sama.</x:v>
      </x:c>
      <x:c r="C24" s="66" t="str">
        <x:v>Data kontak digunakan untuk koordinasi, monitoring, evaluasi, dan tindak lanjut pelaksanaan kerja sama.</x:v>
      </x:c>
      <x:c r="D24" s="66" t="str">
        <x:v>Data kontak digunakan untuk koordinasi, monitoring, evaluasi, dan tindak lanjut pelaksanaan kerja sama.</x:v>
      </x:c>
      <x:c r="E24" s="66" t="str">
        <x:v>Data kontak digunakan untuk koordinasi, monitoring, evaluasi, dan tindak lanjut pelaksanaan kerja sama.</x:v>
      </x:c>
      <x:c r="F24" s="66" t="str">
        <x:v>Data kontak digunakan untuk koordinasi, monitoring, evaluasi, dan tindak lanjut pelaksanaan kerja sama.</x:v>
      </x:c>
      <x:c r="G24" s="66" t="str">
        <x:v>Data kontak digunakan untuk koordinasi, monitoring, evaluasi, dan tindak lanjut pelaksanaan kerja sama.</x:v>
      </x:c>
      <x:c r="H24" t="str">
        <x:v>Data kontak digunakan untuk koordinasi, monitoring, evaluasi, dan tindak lanjut pelaksanaan kerja sama.</x:v>
      </x:c>
    </x:row>
    <x:row r="25">
      <x:c r="A25" t="str">
        <x:v>Data kontak digunakan untuk koordinasi, monitoring, evaluasi, dan tindak lanjut pelaksanaan kerja sama.</x:v>
      </x:c>
      <x:c r="B25" t="str">
        <x:v>Data kontak digunakan untuk koordinasi, monitoring, evaluasi, dan tindak lanjut pelaksanaan kerja sama.</x:v>
      </x:c>
      <x:c r="C25" t="str">
        <x:v>Data kontak digunakan untuk koordinasi, monitoring, evaluasi, dan tindak lanjut pelaksanaan kerja sama.</x:v>
      </x:c>
      <x:c r="D25" t="str">
        <x:v>Data kontak digunakan untuk koordinasi, monitoring, evaluasi, dan tindak lanjut pelaksanaan kerja sama.</x:v>
      </x:c>
      <x:c r="E25" t="str">
        <x:v>Data kontak digunakan untuk koordinasi, monitoring, evaluasi, dan tindak lanjut pelaksanaan kerja sama.</x:v>
      </x:c>
      <x:c r="F25" t="str">
        <x:v>Data kontak digunakan untuk koordinasi, monitoring, evaluasi, dan tindak lanjut pelaksanaan kerja sama.</x:v>
      </x:c>
      <x:c r="G25" t="str">
        <x:v>Data kontak digunakan untuk koordinasi, monitoring, evaluasi, dan tindak lanjut pelaksanaan kerja sama.</x:v>
      </x:c>
      <x:c r="H25" t="str">
        <x:v>Data kontak digunakan untuk koordinasi, monitoring, evaluasi, dan tindak lanjut pelaksanaan kerja sama.</x:v>
      </x:c>
    </x:row>
  </x:sheetData>
  <x:mergeCells>
    <x:mergeCell ref="A1:G1"/>
    <x:mergeCell ref="A2:G2"/>
    <x:mergeCell ref="A4:G4"/>
    <x:mergeCell ref="C5:G5"/>
    <x:mergeCell ref="C6:G6"/>
    <x:mergeCell ref="C7:G7"/>
    <x:mergeCell ref="C8:G8"/>
    <x:mergeCell ref="A10:G10"/>
    <x:mergeCell ref="A15:G15"/>
    <x:mergeCell ref="A20:G20"/>
    <x:mergeCell ref="C22:G22"/>
    <x:mergeCell ref="A24:G24"/>
  </x:mergeCells>
  <x:dataValidations count="3">
    <x:dataValidation type="list" sqref="C13">
      <x:formula1>"Tetap,Tidak Aktif,Pengganti"</x:formula1>
    </x:dataValidation>
    <x:dataValidation type="list" sqref="G13">
      <x:formula1>"Tetap,Tidak Aktif,Pengganti"</x:formula1>
    </x:dataValidation>
    <x:dataValidation type="list" sqref="C21">
      <x:formula1>"Hadir,Tidak Hadir,Daring"</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36" hidden="0" customWidth="1"/>
    <x:col min="3" max="3" width="20" hidden="0" customWidth="1"/>
    <x:col min="4" max="4" width="32" hidden="0" customWidth="1"/>
    <x:col min="5" max="5" width="38" hidden="0" customWidth="1"/>
    <x:col min="6" max="6" width="30" hidden="0" customWidth="1"/>
  </x:cols>
  <x:sheetData>
    <x:row r="1" ht="28" customHeight="1">
      <x:c r="A1" s="5" t="str">
        <x:v>KEGIATAN YANG SUDAH/SEDANG DILAKSANAKAN — BNNP KEPULAUAN RIAU</x:v>
      </x:c>
      <x:c r="B1" s="5" t="str">
        <x:v>KEGIATAN YANG SUDAH/SEDANG DILAKSANAKAN</x:v>
      </x:c>
      <x:c r="C1" s="5" t="str">
        <x:v>KEGIATAN YANG SUDAH/SEDANG DILAKSANAKAN</x:v>
      </x:c>
      <x:c r="D1" s="5" t="str">
        <x:v>KEGIATAN YANG SUDAH/SEDANG DILAKSANAKAN</x:v>
      </x:c>
      <x:c r="E1" s="5" t="str">
        <x:v>KEGIATAN YANG SUDAH/SEDANG DILAKSANAKAN</x:v>
      </x:c>
      <x:c r="F1" s="5" t="str">
        <x:v>KEGIATAN YANG SUDAH/SEDANG DILAKSANAKAN</x:v>
      </x:c>
    </x:row>
    <x:row r="2">
      <x:c r="A2" s="58" t="str">
        <x:v>File stakeholder baru belum memuat kegiatan. Isi hanya kegiatan yang sudah/sedang dilaksanakan dan dapat dikonfirmasi; data baru menjadi referensi otomatis pada Baseline, Scorecard, dan Early Warning.</x:v>
      </x:c>
      <x:c r="B2" s="58" t="str">
        <x:v>Khusus untuk mencatat pelaksanaan yang sudah terjadi atau masih berjalan.</x:v>
      </x:c>
      <x:c r="C2" s="58" t="str">
        <x:v>Khusus untuk mencatat pelaksanaan yang sudah terjadi atau masih berjalan.</x:v>
      </x:c>
      <x:c r="D2" s="58" t="str">
        <x:v>Khusus untuk mencatat pelaksanaan yang sudah terjadi atau masih berjalan.</x:v>
      </x:c>
      <x:c r="E2" s="58" t="str">
        <x:v>Khusus untuk mencatat pelaksanaan yang sudah terjadi atau masih berjalan.</x:v>
      </x:c>
      <x:c r="F2" s="58" t="str">
        <x:v>Khusus untuk mencatat pelaksanaan yang sudah terjadi atau masih berjalan.</x:v>
      </x:c>
    </x:row>
    <x:row r="3">
      <x:c r="A3"/>
      <x:c r="B3"/>
      <x:c r="C3"/>
      <x:c r="D3"/>
      <x:c r="E3"/>
      <x:c r="F3"/>
    </x:row>
    <x:row r="4">
      <x:c r="A4" s="70" t="str">
        <x:v>Pengisian data tidak otomatis mengubah skor. Bukti tetap harus diperiksa dan divalidasi.</x:v>
      </x:c>
      <x:c r="B4" s="70" t="str">
        <x:v>Isi hanya kegiatan utama. Jika belum ada kegiatan, sheet ini boleh dikosongkan. Kolom tanpa tanda * bersifat opsional.</x:v>
      </x:c>
      <x:c r="C4" s="70" t="str">
        <x:v>Isi hanya kegiatan utama. Jika belum ada kegiatan, sheet ini boleh dikosongkan. Kolom tanpa tanda * bersifat opsional.</x:v>
      </x:c>
      <x:c r="D4" s="70" t="str">
        <x:v>Isi hanya kegiatan utama. Jika belum ada kegiatan, sheet ini boleh dikosongkan. Kolom tanpa tanda * bersifat opsional.</x:v>
      </x:c>
      <x:c r="E4" s="70" t="str">
        <x:v>Isi hanya kegiatan utama. Jika belum ada kegiatan, sheet ini boleh dikosongkan. Kolom tanpa tanda * bersifat opsional.</x:v>
      </x:c>
      <x:c r="F4" s="70" t="str">
        <x:v>Isi hanya kegiatan utama. Jika belum ada kegiatan, sheet ini boleh dikosongkan. Kolom tanpa tanda * bersifat opsional.</x:v>
      </x:c>
    </x:row>
    <x:row r="5">
      <x:c r="A5"/>
      <x:c r="B5"/>
      <x:c r="C5"/>
      <x:c r="D5"/>
      <x:c r="E5"/>
      <x:c r="F5"/>
    </x:row>
    <x:row r="6">
      <x:c r="A6" s="49" t="str">
        <x:v>No.</x:v>
      </x:c>
      <x:c r="B6" s="49" t="str">
        <x:v>Kegiatan yang Sudah/Sedang Dilaksanakan*</x:v>
      </x:c>
      <x:c r="C6" s="49" t="str">
        <x:v>Status*</x:v>
      </x:c>
      <x:c r="D6" s="49" t="str">
        <x:v>Hasil/Manfaat Singkat</x:v>
      </x:c>
      <x:c r="E6" s="49" t="str">
        <x:v>Bukti yang Tersedia (opsional: nama file/tautan)</x:v>
      </x:c>
      <x:c r="F6" s="49" t="str">
        <x:v>Kendala/Catatan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dataValidations count="1">
    <x:dataValidation type="list" sqref="C7:C10">
      <x:formula1>"Sudah Dilaksanakan,Sedang Berjalan,Belum Dilaksanakan"</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36" hidden="0" customWidth="1"/>
    <x:col min="3" max="3" width="18" hidden="0" customWidth="1"/>
    <x:col min="4" max="4" width="34" hidden="0" customWidth="1"/>
    <x:col min="5" max="5" width="32" hidden="0" customWidth="1"/>
    <x:col min="6" max="6" width="32" hidden="0" customWidth="1"/>
  </x:cols>
  <x:sheetData>
    <x:row r="1" ht="28" customHeight="1">
      <x:c r="A1" s="5" t="str">
        <x:v>USULAN TINDAK LANJUT — BNNP KEPULAUAN RIAU</x:v>
      </x:c>
      <x:c r="B1" s="5" t="str">
        <x:v>USULAN TINDAK LANJUT</x:v>
      </x:c>
      <x:c r="C1" s="5" t="str">
        <x:v>USULAN TINDAK LANJUT</x:v>
      </x:c>
      <x:c r="D1" s="5" t="str">
        <x:v>USULAN TINDAK LANJUT</x:v>
      </x:c>
      <x:c r="E1" s="5" t="str">
        <x:v>USULAN TINDAK LANJUT</x:v>
      </x:c>
      <x:c r="F1" s="5" t="str">
        <x:v>USULAN TINDAK LANJUT</x:v>
      </x:c>
    </x:row>
    <x:row r="2">
      <x:c r="A2" s="58" t="str">
        <x:v>File stakeholder baru belum memuat usulan tindak lanjut. Isi usulan prioritas bila sudah dikonfirmasi oleh PIC/unit/mitra.</x:v>
      </x:c>
      <x:c r="B2" s="58" t="str">
        <x:v>Khusus untuk mencatat rencana ke depan, terpisah dari kegiatan yang sudah/sedang dilaksanakan.</x:v>
      </x:c>
      <x:c r="C2" s="58" t="str">
        <x:v>Khusus untuk mencatat rencana ke depan, terpisah dari kegiatan yang sudah/sedang dilaksanakan.</x:v>
      </x:c>
      <x:c r="D2" s="58" t="str">
        <x:v>Khusus untuk mencatat rencana ke depan, terpisah dari kegiatan yang sudah/sedang dilaksanakan.</x:v>
      </x:c>
      <x:c r="E2" s="58" t="str">
        <x:v>Khusus untuk mencatat rencana ke depan, terpisah dari kegiatan yang sudah/sedang dilaksanakan.</x:v>
      </x:c>
      <x:c r="F2" s="58" t="str">
        <x:v>Khusus untuk mencatat rencana ke depan, terpisah dari kegiatan yang sudah/sedang dilaksanakan.</x:v>
      </x:c>
    </x:row>
    <x:row r="3">
      <x:c r="A3"/>
      <x:c r="B3"/>
      <x:c r="C3"/>
      <x:c r="D3"/>
      <x:c r="E3"/>
      <x:c r="F3"/>
    </x:row>
    <x:row r="4">
      <x:c r="A4" s="70" t="str">
        <x:v>Data baru otomatis menjadi referensi Baseline dan Scorecard, tetapi status verifikasi dan skor tidak berubah tanpa pemeriksaan bukti.</x:v>
      </x:c>
      <x:c r="B4" s="70" t="str">
        <x:v>Cukup isi usulan prioritas. Kolom E–F opsional: bantuan = data/narasumber/surat/fasilitasi; pihak = unit atau instansi yang perlu diajak berkoordinasi.</x:v>
      </x:c>
      <x:c r="C4" s="70" t="str">
        <x:v>Cukup isi usulan prioritas. Kolom E–F opsional: bantuan = data/narasumber/surat/fasilitasi; pihak = unit atau instansi yang perlu diajak berkoordinasi.</x:v>
      </x:c>
      <x:c r="D4" s="70" t="str">
        <x:v>Cukup isi usulan prioritas. Kolom E–F opsional: bantuan = data/narasumber/surat/fasilitasi; pihak = unit atau instansi yang perlu diajak berkoordinasi.</x:v>
      </x:c>
      <x:c r="E4" s="70" t="str">
        <x:v>Cukup isi usulan prioritas. Kolom E–F opsional: bantuan = data/narasumber/surat/fasilitasi; pihak = unit atau instansi yang perlu diajak berkoordinasi.</x:v>
      </x:c>
      <x:c r="F4" s="70" t="str">
        <x:v>Cukup isi usulan prioritas. Kolom E–F opsional: bantuan = data/narasumber/surat/fasilitasi; pihak = unit atau instansi yang perlu diajak berkoordinasi.</x:v>
      </x:c>
    </x:row>
    <x:row r="5">
      <x:c r="A5"/>
      <x:c r="B5"/>
      <x:c r="C5"/>
      <x:c r="D5"/>
      <x:c r="E5"/>
      <x:c r="F5"/>
    </x:row>
    <x:row r="6">
      <x:c r="A6" s="49" t="str">
        <x:v>No.</x:v>
      </x:c>
      <x:c r="B6" s="49" t="str">
        <x:v>Usulan Kegiatan/Tindak Lanjut*</x:v>
      </x:c>
      <x:c r="C6" s="49" t="str">
        <x:v>Target Waktu*</x:v>
      </x:c>
      <x:c r="D6" s="49" t="str">
        <x:v>Hasil/Manfaat yang Diharapkan</x:v>
      </x:c>
      <x:c r="E6" s="49" t="str">
        <x:v>Bantuan yang Dibutuhkan (jika ada)</x:v>
      </x:c>
      <x:c r="F6" s="49" t="str">
        <x:v>Pihak yang Perlu Dilibatkan (jika ada)</x:v>
      </x:c>
    </x:row>
    <x:row r="7">
      <x:c r="A7" s="32"/>
      <x:c r="B7" s="63"/>
      <x:c r="C7" s="63"/>
      <x:c r="D7" s="63"/>
      <x:c r="E7" s="63"/>
      <x:c r="F7" s="63"/>
    </x:row>
    <x:row r="8">
      <x:c r="A8" s="32"/>
      <x:c r="B8" s="63"/>
      <x:c r="C8" s="63"/>
      <x:c r="D8" s="63"/>
      <x:c r="E8" s="63"/>
      <x:c r="F8" s="63"/>
    </x:row>
    <x:row r="9">
      <x:c r="A9" s="32"/>
      <x:c r="B9" s="63"/>
      <x:c r="C9" s="63"/>
      <x:c r="D9" s="63"/>
      <x:c r="E9" s="63"/>
      <x:c r="F9" s="63"/>
    </x:row>
    <x:row r="10">
      <x:c r="A10" s="32"/>
      <x:c r="B10" s="63"/>
      <x:c r="C10" s="63"/>
      <x:c r="D10" s="63"/>
      <x:c r="E10" s="63"/>
      <x:c r="F10" s="63"/>
    </x:row>
    <x:row r="11">
      <x:c r="A11"/>
      <x:c r="B11"/>
      <x:c r="C11"/>
      <x:c r="D11"/>
      <x:c r="E11"/>
      <x:c r="F11"/>
    </x:row>
    <x:row r="12">
      <x:c r="A12"/>
      <x:c r="B12"/>
      <x:c r="C12"/>
      <x:c r="D12"/>
      <x:c r="E12"/>
      <x:c r="F12"/>
    </x:row>
  </x:sheetData>
  <x:mergeCells>
    <x:mergeCell ref="A1:F1"/>
    <x:mergeCell ref="A2:F2"/>
    <x:mergeCell ref="A4:F4"/>
  </x:mergeCells>
  <x:pageMargins left="0.7" right="0.7" top="0.75" bottom="0.75" header="0.3" footer="0.3"/>
</x:worksheet>
</file>

<file path=xl/worksheets/sheet5.xml><?xml version="1.0" encoding="utf-8"?>
<x:worksheet xmlns:x="http://schemas.openxmlformats.org/spreadsheetml/2006/main">
  <x:sheetFormatPr defaultRowHeight="15"/>
  <x:cols>
    <x:col min="1" max="1" width="6" hidden="0" customWidth="1"/>
    <x:col min="2" max="2" width="16" hidden="0" customWidth="1"/>
    <x:col min="3" max="3" width="24" hidden="0" customWidth="1"/>
    <x:col min="4" max="4" width="31" hidden="0" customWidth="1"/>
    <x:col min="5" max="5" width="30" hidden="0" customWidth="1"/>
    <x:col min="6" max="6" width="20" hidden="0" customWidth="1"/>
    <x:col min="7" max="7" width="48" hidden="0" customWidth="1"/>
    <x:col min="8" max="8" width="38" hidden="0" customWidth="1"/>
    <x:col min="9" max="9" width="38" hidden="0" customWidth="1"/>
    <x:col min="10" max="10" width="48" hidden="0" customWidth="1"/>
    <x:col min="11" max="11" width="42" hidden="0" customWidth="1"/>
  </x:cols>
  <x:sheetData>
    <x:row r="1" ht="28" customHeight="1">
      <x:c r="A1" s="5" t="str">
        <x:v>FORMULIR BASELINE V.0 — MITRA KINERJA — BNNP KEPULAUAN RIAU</x:v>
      </x:c>
      <x:c r="B1" s="5" t="str">
        <x:v>SIMULASI FORMULIR BASELINE V.0 — MITRA KINERJA</x:v>
      </x:c>
      <x:c r="C1" s="5" t="str">
        <x:v>SIMULASI FORMULIR BASELINE V.0 — MITRA KINERJA</x:v>
      </x:c>
      <x:c r="D1" s="5" t="str">
        <x:v>SIMULASI FORMULIR BASELINE V.0 — MITRA KINERJA</x:v>
      </x:c>
      <x:c r="E1" s="5" t="str">
        <x:v>SIMULASI FORMULIR BASELINE V.0 — MITRA KINERJA</x:v>
      </x:c>
      <x:c r="F1" s="5" t="str">
        <x:v>SIMULASI FORMULIR BASELINE V.0 — MITRA KINERJA</x:v>
      </x:c>
      <x:c r="G1" s="5" t="str">
        <x:v>SIMULASI FORMULIR BASELINE V.0 — MITRA KINERJA</x:v>
      </x:c>
      <x:c r="H1" s="5" t="str">
        <x:v>SIMULASI FORMULIR BASELINE V.0 — MITRA KINERJA</x:v>
      </x:c>
      <x:c r="I1" s="5" t="str">
        <x:v>SIMULASI FORMULIR BASELINE V.0 — MITRA KINERJA</x:v>
      </x:c>
      <x:c r="J1" s="5"/>
      <x:c r="K1" s="5"/>
    </x:row>
    <x:row r="2">
      <x:c r="A2" s="58" t="str">
        <x:v>P02 — PILOT UTAMA — Badan Narkotika Nasional Provinsi Kepulauan Riau</x:v>
      </x:c>
      <x:c r="B2" s="58"/>
      <x:c r="C2" s="58"/>
      <x:c r="D2" s="58"/>
      <x:c r="E2" s="58"/>
      <x:c r="F2" s="58"/>
      <x:c r="G2" s="58"/>
      <x:c r="H2" s="58"/>
      <x:c r="I2" s="58"/>
      <x:c r="J2" s="58"/>
      <x:c r="K2" s="58"/>
    </x:row>
    <x:row r="3">
      <x:c r="A3"/>
      <x:c r="B3"/>
      <x:c r="C3"/>
      <x:c r="D3"/>
      <x:c r="E3"/>
      <x:c r="F3"/>
      <x:c r="G3"/>
      <x:c r="H3"/>
      <x:c r="I3"/>
    </x:row>
    <x:row r="4" ht="22" customHeight="1">
      <x:c r="A4" s="18" t="str">
        <x:v>IDENTITAS NASKAH DAN KONTROL PEMERIKSAAN</x:v>
      </x:c>
      <x:c r="B4" s="18"/>
      <x:c r="C4" s="18"/>
      <x:c r="D4" s="18"/>
      <x:c r="E4" s="18"/>
      <x:c r="F4" s="18"/>
      <x:c r="G4" s="18"/>
      <x:c r="H4" s="18"/>
      <x:c r="I4" s="18"/>
      <x:c r="J4" s="18"/>
      <x:c r="K4" s="18"/>
    </x:row>
    <x:row r="5">
      <x:c r="A5" s="31" t="str">
        <x:v>Kode naskah</x:v>
      </x:c>
      <x:c r="B5" s="32" t="str">
        <x:v>P02</x:v>
      </x:c>
      <x:c r="C5" s="32"/>
      <x:c r="D5" s="31" t="str">
        <x:v>Status portofolio</x:v>
      </x:c>
      <x:c r="E5" s="32" t="str">
        <x:v>Pilot Utama</x:v>
      </x:c>
      <x:c r="F5" s="32"/>
      <x:c r="G5" s="31" t="str">
        <x:v>Nama pemeriksa</x:v>
      </x:c>
      <x:c r="H5" s="32" t="str">
        <x:v>SIMULASI AWAL — belum diverifikasi petugas</x:v>
      </x:c>
      <x:c r="I5" s="32" t="str">
        <x:v>SIMULASI AWAL — belum diverifikasi petugas</x:v>
      </x:c>
      <x:c r="J5" s="32"/>
      <x:c r="K5" s="32"/>
    </x:row>
    <x:row r="6">
      <x:c r="A6" s="31" t="str">
        <x:v>Mitra</x:v>
      </x:c>
      <x:c r="B6" s="32" t="str">
        <x:v>Badan Narkotika Nasional Provinsi Kepulauan Riau</x:v>
      </x:c>
      <x:c r="C6" s="32"/>
      <x:c r="D6" s="31"/>
      <x:c r="E6" s="32"/>
      <x:c r="F6" s="32"/>
      <x:c r="G6" s="31" t="str">
        <x:v>Unit/Tim pemeriksa</x:v>
      </x:c>
      <x:c r="H6" s="32" t="str">
        <x:v>Pokja Data / pemeriksa naskah (simulasi)</x:v>
      </x:c>
      <x:c r="I6" s="32" t="str">
        <x:v>Pokja Data / pemeriksa naskah (simulasi)</x:v>
      </x:c>
      <x:c r="J6" s="32"/>
      <x:c r="K6" s="32"/>
    </x:row>
    <x:row r="7">
      <x:c r="A7" s="31" t="str">
        <x:v>Jenis awal</x:v>
      </x:c>
      <x:c r="B7" s="32" t="str">
        <x:v>PKS</x:v>
      </x:c>
      <x:c r="C7" s="32"/>
      <x:c r="D7" s="31" t="str">
        <x:v>Nomor naskah awal</x:v>
      </x:c>
      <x:c r="E7" s="32" t="str">
        <x:v>BELUM TERVERIFIKASI</x:v>
      </x:c>
      <x:c r="F7" s="32" t="str">
        <x:v>BELUM TERVERIFIKASI</x:v>
      </x:c>
      <x:c r="G7" s="31" t="str">
        <x:v>Tanggal pemeriksaan</x:v>
      </x:c>
      <x:c r="H7" s="75" t="n">
        <x:v>46262</x:v>
      </x:c>
      <x:c r="I7" s="32" t="n">
        <x:v>46262</x:v>
      </x:c>
      <x:c r="J7" s="32"/>
      <x:c r="K7" s="32"/>
    </x:row>
    <x:row r="8">
      <x:c r="A8" s="31" t="str">
        <x:v>Judul awal</x:v>
      </x:c>
      <x:c r="B8" s="32" t="str">
        <x:v>Integrasi dan Pemanfaatan Belajar Seru Tiap Hari Learning Hub sebagai Platform Pembelajaran Digital dalam Penguatan Literasi Hukum, Pencegahan Penyalahgunaan Narkotika, dan Pembangunan Karakter Generasi Muda di Provinsi Kepulauan Riau</x:v>
      </x:c>
      <x:c r="C8" s="32"/>
      <x:c r="D8" s="31"/>
      <x:c r="E8" s="32"/>
      <x:c r="F8" s="32"/>
      <x:c r="G8" s="31" t="str">
        <x:v>Cut-off baseline</x:v>
      </x:c>
      <x:c r="H8" s="75" t="n">
        <x:v>46262</x:v>
      </x:c>
      <x:c r="I8" s="32" t="n">
        <x:v>46262</x:v>
      </x:c>
      <x:c r="J8" s="32"/>
      <x:c r="K8" s="32"/>
    </x:row>
    <x:row r="9">
      <x:c r="A9" s="31" t="str">
        <x:v>Tanggal mulai awal</x:v>
      </x:c>
      <x:c r="B9" s="75" t="n">
        <x:v>46216</x:v>
      </x:c>
      <x:c r="C9" s="32"/>
      <x:c r="D9" s="31" t="str">
        <x:v>Tanggal berakhir awal</x:v>
      </x:c>
      <x:c r="E9" s="75" t="n">
        <x:v>47312</x:v>
      </x:c>
      <x:c r="F9" s="32"/>
      <x:c r="G9" s="31" t="str">
        <x:v>Status pengisian</x:v>
      </x:c>
      <x:c r="H9" s="32" t="str">
        <x:v>SELESAI DIISI</x:v>
      </x:c>
      <x:c r="I9" s="32"/>
      <x:c r="J9" s="32"/>
      <x:c r="K9" s="32"/>
    </x:row>
    <x:row r="10">
      <x:c r="A10" t="str">
        <x:v>SIMULASI — Data awal berasal dari matriks scoring dan penelusuran publik P2MA per 28 Agustus 2026. Isian ini belum merupakan verifikasi resmi; nomor naskah, arsip internal, PIC, pelaksanaan, eviden, dan hambatan tetap harus dikonfirmasi.</x:v>
      </x:c>
      <x:c r="B10" t="str">
        <x:v>SIMULASI — Data awal berasal dari matriks scoring dan penelusuran publik P2MA per 28 Agustus 2026. Isian ini belum merupakan verifikasi resmi; nomor naskah, arsip internal, PIC, pelaksanaan, eviden, dan hambatan tetap harus dikonfirmasi.</x:v>
      </x:c>
      <x:c r="C10" t="str">
        <x:v>SIMULASI — Data awal berasal dari matriks scoring dan penelusuran publik P2MA per 28 Agustus 2026. Isian ini belum merupakan verifikasi resmi; nomor naskah, arsip internal, PIC, pelaksanaan, eviden, dan hambatan tetap harus dikonfirmasi.</x:v>
      </x:c>
      <x:c r="D10" t="str">
        <x:v>SIMULASI — Data awal berasal dari matriks scoring dan penelusuran publik P2MA per 28 Agustus 2026. Isian ini belum merupakan verifikasi resmi; nomor naskah, arsip internal, PIC, pelaksanaan, eviden, dan hambatan tetap harus dikonfirmasi.</x:v>
      </x:c>
      <x:c r="E10" t="str">
        <x:v>SIMULASI — Data awal berasal dari matriks scoring dan penelusuran publik P2MA per 28 Agustus 2026. Isian ini belum merupakan verifikasi resmi; nomor naskah, arsip internal, PIC, pelaksanaan, eviden, dan hambatan tetap harus dikonfirmasi.</x:v>
      </x:c>
      <x:c r="F10" t="str">
        <x:v>SIMULASI — Data awal berasal dari matriks scoring dan penelusuran publik P2MA per 28 Agustus 2026. Isian ini belum merupakan verifikasi resmi; nomor naskah, arsip internal, PIC, pelaksanaan, eviden, dan hambatan tetap harus dikonfirmasi.</x:v>
      </x:c>
      <x:c r="G10" t="str">
        <x:v>SIMULASI — Data awal berasal dari matriks scoring dan penelusuran publik P2MA per 28 Agustus 2026. Isian ini belum merupakan verifikasi resmi; nomor naskah, arsip internal, PIC, pelaksanaan, eviden, dan hambatan tetap harus dikonfirmasi.</x:v>
      </x:c>
      <x:c r="H10" t="str">
        <x:v>SIMULASI — Data awal berasal dari matriks scoring dan penelusuran publik P2MA per 28 Agustus 2026. Isian ini belum merupakan verifikasi resmi; nomor naskah, arsip internal, PIC, pelaksanaan, eviden, dan hambatan tetap harus dikonfirmasi.</x:v>
      </x:c>
      <x:c r="I10" t="str">
        <x:v>SIMULASI — Data awal berasal dari matriks scoring dan penelusuran publik P2MA per 28 Agustus 2026. Isian ini belum merupakan verifikasi resmi; nomor naskah, arsip internal, PIC, pelaksanaan, eviden, dan hambatan tetap harus dikonfirmasi.</x:v>
      </x:c>
    </x:row>
    <x:row r="11">
      <x:c r="A11"/>
      <x:c r="B11"/>
      <x:c r="C11"/>
      <x:c r="D11"/>
      <x:c r="E11"/>
      <x:c r="F11"/>
      <x:c r="G11"/>
      <x:c r="H11"/>
      <x:c r="I11"/>
    </x:row>
    <x:row r="12">
      <x:c r="A12" s="49" t="str">
        <x:v>No</x:v>
      </x:c>
      <x:c r="B12" s="49" t="str">
        <x:v>Kelompok</x:v>
      </x:c>
      <x:c r="C12" s="49" t="str">
        <x:v>Elemen baseline</x:v>
      </x:c>
      <x:c r="D12" s="49" t="str">
        <x:v>Yang diperiksa</x:v>
      </x:c>
      <x:c r="E12" s="49" t="str">
        <x:v>Sumber/bukti minimum</x:v>
      </x:c>
      <x:c r="F12" s="49" t="str">
        <x:v>Status</x:v>
      </x:c>
      <x:c r="G12" s="49" t="str">
        <x:v>Fakta/hasil pemeriksaan</x:v>
      </x:c>
      <x:c r="H12" s="49" t="str">
        <x:v>Sumber/link bukti</x:v>
      </x:c>
      <x:c r="I12" s="49" t="str">
        <x:v>Catatan verifikasi</x:v>
      </x:c>
      <x:c r="J12" s="49" t="str">
        <x:v>PEMBARUAN TERINTEGRASI</x:v>
      </x:c>
      <x:c r="K12" s="49" t="str">
        <x:v>CATATAN KENDALI</x:v>
      </x:c>
    </x:row>
    <x:row r="13">
      <x:c r="A13" s="32" t="n">
        <x:v>1</x:v>
      </x:c>
      <x:c r="B13" s="32" t="str">
        <x:v>IDENTITAS</x:v>
      </x:c>
      <x:c r="C13" s="32" t="str">
        <x:v>Identitas naskah</x:v>
      </x:c>
      <x:c r="D13" s="32" t="str">
        <x:v>Jenis, nomor para pihak, judul, dan nama resmi mitra sesuai naskah.</x:v>
      </x:c>
      <x:c r="E13" s="32" t="str">
        <x:v>Naskah bertanda tangan; P2MA sebagai pembanding.</x:v>
      </x:c>
      <x:c r="F13" s="32" t="str">
        <x:v>BELUM TERVERIFIKASI</x:v>
      </x:c>
      <x:c r="G13" s="32" t="str">
        <x:v>Jenis, mitra, dan judul dapat dicocokkan dengan hasil pencarian/naskah P2MA. Pencarian berdasarkan mitra menghasilkan dua entri; naskah dipilih berdasarkan kecocokan judul dan tautan PDF. Nomor para pihak belum dicocokkan lengkap.</x:v>
      </x:c>
      <x:c r="H13" s="32" t="str">
        <x:v>https://p2ma.kemenkum.go.id/uploads/kerjasama/naskah/1785760147.pdf</x:v>
      </x:c>
      <x:c r="I13" s="32" t="str">
        <x:v>Salin seluruh nomor para pihak dan periksa halaman tanda tangan sebelum status diubah menjadi TERVERIFIKASI.</x:v>
      </x:c>
      <x:c r="J13" s="63" t="str">
        <x:f>'IDENTITAS &amp; PIC'!C5</x:f>
        <x:v>Badan Narkotika Nasional Provinsi Kepulauan Riau</x:v>
      </x:c>
      <x:c r="K13" s="63" t="str">
        <x:f>IF(OR(LEFT(J13,9)="Belum ada",LEFT(J13,9)="Tidak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4">
      <x:c r="A14" s="32" t="n">
        <x:v>2</x:v>
      </x:c>
      <x:c r="B14" s="32" t="str">
        <x:v>MASA BERLAKU</x:v>
      </x:c>
      <x:c r="C14" s="32" t="str">
        <x:v>Masa berlaku</x:v>
      </x:c>
      <x:c r="D14" s="32" t="str">
        <x:v>Tanggal efektif, durasi, dan tanggal berakhir sesuai klausul naskah.</x:v>
      </x:c>
      <x:c r="E14" s="32" t="str">
        <x:v>Klausul jangka waktu; halaman tanda tangan; P2MA.</x:v>
      </x:c>
      <x:c r="F14" s="32" t="str">
        <x:v>BELUM TERVERIFIKASI</x:v>
      </x:c>
      <x:c r="G14" s="32" t="str">
        <x:v>P2MA publik menampilkan mulai 13 Juli 2026 dan berakhir 12 Juli 2029. Data awal pada matriks/format mencantumkan akhir 13 Juli 2029, sehingga terdapat selisih satu hari.</x:v>
      </x:c>
      <x:c r="H14" s="32" t="str">
        <x:v>https://p2ma.kemenkum.go.id/kdn/pencarian?tipe=1&amp;keyword=Badan%20Narkotika%20Nasional%20Provinsi%20Kepulauan%20Riau</x:v>
      </x:c>
      <x:c r="I14" s="32" t="str">
        <x:v>Jangan memilih salah satu tanggal sebelum klausul jangka waktu pada naskah final diperiksa.</x:v>
      </x:c>
      <x:c r="J14" s="96" t="n">
        <x:f>'IDENTITAS &amp; PIC'!C7</x:f>
        <x:v>46216</x:v>
      </x:c>
      <x:c r="K14" s="63" t="str">
        <x:f>IF(OR(LEFT(J14,9)="Belum ada",LEFT(J14,9)="Tidak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5">
      <x:c r="A15" s="32" t="n">
        <x:v>3</x:v>
      </x:c>
      <x:c r="B15" s="32" t="str">
        <x:v>SUBSTANSI</x:v>
      </x:c>
      <x:c r="C15" s="32" t="str">
        <x:v>Ruang lingkup</x:v>
      </x:c>
      <x:c r="D15" s="32" t="str">
        <x:v>Ruang kerja, kewajiban, atau kegiatan utama yang disepakati.</x:v>
      </x:c>
      <x:c r="E15" s="32" t="str">
        <x:v>Pasal ruang lingkup/hak-kewajiban; lampiran.</x:v>
      </x:c>
      <x:c r="F15" s="32" t="str">
        <x:v>TERVERIFIKASI</x:v>
      </x:c>
      <x:c r="G15" s="32" t="str">
        <x:v>Ruang lingkup yang tercatat meliputi integrasi materi pembelajaran pada BESTI Learning Hub; penempatan logo; kampanye komunikasi publik; kolaborasi narasumber untuk podcast/webinar/seminar; serta penyediaan infografis atau videografis.</x:v>
      </x:c>
      <x:c r="H15" s="32" t="str">
        <x:v>https://p2ma.kemenkum.go.id/uploads/kerjasama/naskah/1785760147.pdf</x:v>
      </x:c>
      <x:c r="I15" s="32" t="str">
        <x:v>Ruang lingkup merupakan komitmen dalam naskah, bukan bukti bahwa kegiatan telah dilaksanakan.</x:v>
      </x:c>
      <x:c r="J15" s="63" t="str">
        <x:f>IF('IDENTITAS &amp; PIC'!C8="","Belum ada pembaruan ruang lingkup",'IDENTITAS &amp; PIC'!C8)</x:f>
        <x:v>Ruang lingkup yang tercatat meliputi integrasi materi pembelajaran pada BESTI Learning Hub; penempatan logo; kampanye komunikasi publik; kolaborasi narasumber untuk podcast/webinar/seminar; serta penyediaan infografis atau videografis.</x:v>
      </x:c>
      <x:c r="K15" s="63" t="str">
        <x:f>IF(OR(LEFT(J15,9)="Belum ada",LEFT(J15,9)="Tidak ada"),"Tidak ada pembaruan yang mengubah baseline.","Pembaruan tersedia sebagai referensi; status baseline tidak berubah otomatis dan tetap memerlukan verifikasi.")</x:f>
        <x:v>Pembaruan tersedia sebagai referensi; status baseline tidak berubah otomatis dan tetap memerlukan verifikasi.</x:v>
      </x:c>
    </x:row>
    <x:row r="16">
      <x:c r="A16" s="32" t="n">
        <x:v>4</x:v>
      </x:c>
      <x:c r="B16" s="32" t="str">
        <x:v>TATA KELOLA</x:v>
      </x:c>
      <x:c r="C16" s="32" t="str">
        <x:v>Status arsip</x:v>
      </x:c>
      <x:c r="D16" s="32" t="str">
        <x:v>Ketersediaan naskah lengkap pada lokasi arsip resmi dan dapat ditemukan kembali.</x:v>
      </x:c>
      <x:c r="E16" s="32" t="str">
        <x:v>Arsip resmi; register; folder organisasi.</x:v>
      </x:c>
      <x:c r="F16" s="32" t="str">
        <x:v>BELUM TERVERIFIKASI</x:v>
      </x:c>
      <x:c r="G16" s="32" t="str">
        <x:v>Salinan naskah dapat dibuka melalui P2MA. Lokasi arsip resmi internal, register, kelengkapan halaman, dan kemudahan temu kembali belum diperiksa.</x:v>
      </x:c>
      <x:c r="H16" s="32" t="str">
        <x:v>Naskah P2MA pada baris 5; arsip internal belum diperiksa.</x:v>
      </x:c>
      <x:c r="I16" s="32" t="str">
        <x:v>Minta lokasi folder/register resmi kepada tata usaha atau unit pengampu.</x:v>
      </x:c>
      <x:c r="J16" s="63" t="str">
        <x:v>Belum ada pembaruan arsip dari sheet input</x:v>
      </x:c>
      <x:c r="K16" s="63" t="str">
        <x:f>IF(OR(LEFT(J16,9)="Belum ada",LEFT(J16,9)="Tidak ada"),"Tidak ada pembaruan yang mengubah baseline.","Pembaruan tersedia sebagai referensi; status baseline tidak berubah otomatis dan tetap memerlukan verifikasi.")</x:f>
        <x:v>Tidak ada pembaruan yang mengubah baseline.</x:v>
      </x:c>
    </x:row>
    <x:row r="17">
      <x:c r="A17" s="32" t="n">
        <x:v>5</x:v>
      </x:c>
      <x:c r="B17" s="32" t="str">
        <x:v>TATA KELOLA</x:v>
      </x:c>
      <x:c r="C17" s="32" t="str">
        <x:v>Status P2MA</x:v>
      </x:c>
      <x:c r="D17" s="32" t="str">
        <x:v>Keberadaan entri dan kesesuaian metadata P2MA dengan naskah resmi.</x:v>
      </x:c>
      <x:c r="E17" s="32" t="str">
        <x:v>P2MA dan naskah bertanda tangan.</x:v>
      </x:c>
      <x:c r="F17" s="32" t="str">
        <x:v>TERVERIFIKASI</x:v>
      </x:c>
      <x:c r="G17" s="32" t="str">
        <x:v>Entri publik P2MA ditemukan dengan status Berlangsung dan naskah PDF dapat dibuka. Dua hasil ditemukan; entri yang digunakan adalah naskah BESTI Learning Hub dengan PDF 1785760147.</x:v>
      </x:c>
      <x:c r="H17" s="32" t="str">
        <x:v>https://p2ma.kemenkum.go.id/kdn/pencarian?tipe=1&amp;keyword=Badan%20Narkotika%20Nasional%20Provinsi%20Kepulauan%20Riau</x:v>
      </x:c>
      <x:c r="I17" s="32" t="str">
        <x:v>Pemeriksaan publik dilakukan pada 28 Agustus 2026.</x:v>
      </x:c>
      <x:c r="J17" s="63" t="str">
        <x:v>Belum ada pembaruan P2MA dari sheet input</x:v>
      </x:c>
      <x:c r="K17" s="63" t="str">
        <x:f>IF(OR(LEFT(J17,9)="Belum ada",LEFT(J17,9)="Tidak ada"),"Tidak ada pembaruan yang mengubah baseline.","Pembaruan tersedia sebagai referensi; status baseline tidak berubah otomatis dan tetap memerlukan verifikasi.")</x:f>
        <x:v>Tidak ada pembaruan yang mengubah baseline.</x:v>
      </x:c>
    </x:row>
    <x:row r="18">
      <x:c r="A18" s="32" t="n">
        <x:v>6</x:v>
      </x:c>
      <x:c r="B18" s="32" t="str">
        <x:v>PENGAMPU</x:v>
      </x:c>
      <x:c r="C18" s="32" t="str">
        <x:v>Unit pengampu</x:v>
      </x:c>
      <x:c r="D18" s="32" t="str">
        <x:v>Unit internal yang bertanggung jawab atas substansi dan implementasi kerja sama.</x:v>
      </x:c>
      <x:c r="E18" s="32" t="str">
        <x:v>ND/SK/pembagian tugas; konfirmasi tertulis unit.</x:v>
      </x:c>
      <x:c r="F18" s="32" t="str">
        <x:v>BELUM TERVERIFIKASI</x:v>
      </x:c>
      <x:c r="G18" s="32" t="str">
        <x:v>Naskah dan P2MA publik belum cukup untuk menetapkan unit internal yang bertanggung jawab atas implementasi kerja sama.</x:v>
      </x:c>
      <x:c r="H18" s="32" t="str">
        <x:v>Naskah/P2MA publik; ND, SK, pembagian tugas, atau konfirmasi unit belum diperoleh.</x:v>
      </x:c>
      <x:c r="I18" s="32" t="str">
        <x:v>Konfirmasi kepada pimpinan unit yang mengampu substansi kerja sama.</x:v>
      </x:c>
      <x:c r="J18" s="63" t="str">
        <x:v>Belum ada pembaruan unit pengampu dari sheet input</x:v>
      </x:c>
      <x:c r="K18" s="63" t="str">
        <x:f>IF(OR(LEFT(J18,9)="Belum ada",LEFT(J18,9)="Tidak ada"),"Tidak ada pembaruan yang mengubah baseline.","Pembaruan tersedia sebagai referensi; status baseline tidak berubah otomatis dan tetap memerlukan verifikasi.")</x:f>
        <x:v>Tidak ada pembaruan yang mengubah baseline.</x:v>
      </x:c>
    </x:row>
    <x:row r="19">
      <x:c r="A19" s="32" t="n">
        <x:v>7</x:v>
      </x:c>
      <x:c r="B19" s="32" t="str">
        <x:v>PIC</x:v>
      </x:c>
      <x:c r="C19" s="32" t="str">
        <x:v>PIC internal</x:v>
      </x:c>
      <x:c r="D19" s="32" t="str">
        <x:v>PIC utama dan cadangan yang aktif, lengkap dengan jabatan, kontak, dan dasar penetapan.</x:v>
      </x:c>
      <x:c r="E19" s="32" t="str">
        <x:v>ND/SK/daftar PIC; konfirmasi tertulis unit.</x:v>
      </x:c>
      <x:c r="F19" s="32" t="str">
        <x:v>BELUM TERVERIFIKASI</x:v>
      </x:c>
      <x:c r="G19" s="32" t="str">
        <x:v>PIC internal utama dan cadangan belum dapat dipastikan dari sumber publik yang diperiksa.</x:v>
      </x:c>
      <x:c r="H19" s="32" t="str">
        <x:v>Daftar PIC, ND/SK, dan konfirmasi tertulis unit belum diperoleh.</x:v>
      </x:c>
      <x:c r="I19" s="32" t="str">
        <x:v>Penandatangan atau operator P2MA tidak otomatis menjadi PIC internal.</x:v>
      </x:c>
      <x:c r="J19" s="63" t="str">
        <x:v>Belum ada pembaruan PIC internal dari sheet input</x:v>
      </x:c>
      <x:c r="K19" s="63" t="str">
        <x:f>IF(OR(LEFT(J19,9)="Belum ada",LEFT(J19,9)="Tidak ada"),"Tidak ada pembaruan yang mengubah baseline.","Pembaruan tersedia sebagai referensi; status baseline tidak berubah otomatis dan tetap memerlukan verifikasi.")</x:f>
        <x:v>Tidak ada pembaruan yang mengubah baseline.</x:v>
      </x:c>
    </x:row>
    <x:row r="20">
      <x:c r="A20" s="32" t="n">
        <x:v>8</x:v>
      </x:c>
      <x:c r="B20" s="32" t="str">
        <x:v>PIC</x:v>
      </x:c>
      <x:c r="C20" s="32" t="str">
        <x:v>PIC mitra</x:v>
      </x:c>
      <x:c r="D20" s="32" t="str">
        <x:v>Penghubung operasional pihak mitra yang telah dikonfirmasi.</x:v>
      </x:c>
      <x:c r="E20" s="32" t="str">
        <x:v>Surat/email/form konfirmasi resmi dari mitra.</x:v>
      </x:c>
      <x:c r="F20" s="32" t="str">
        <x:v>BELUM TERVERIFIKASI</x:v>
      </x:c>
      <x:c r="G20" s="32" t="str">
        <x:v>PIC operasional pihak mitra belum dikonfirmasi melalui surat, email resmi, atau formulir penunjukan.</x:v>
      </x:c>
      <x:c r="H20" s="32" t="str">
        <x:v>Surat/email/formulir penunjukan PIC mitra belum diperoleh.</x:v>
      </x:c>
      <x:c r="I20" s="32" t="str">
        <x:v>Penandatangan atau koresponden dalam naskah tidak otomatis menjadi PIC operasional.</x:v>
      </x:c>
      <x:c r="J20" s="63" t="str">
        <x:f>IF(OR('IDENTITAS &amp; PIC'!C11="",LEFT('IDENTITAS &amp; PIC'!C11,1)="&lt;"),"Belum ada PIC mitra yang diisi","PIC mitra: "&amp;'IDENTITAS &amp; PIC'!C11&amp;" | Jabatan: "&amp;'IDENTITAS &amp; PIC'!G11&amp;" | Email: "&amp;TRIM('IDENTITAS &amp; PIC'!C13)&amp;" | Status: "&amp;'IDENTITAS &amp; PIC'!G13&amp;" | PIC cadangan: "&amp;'IDENTITAS &amp; PIC'!C16)</x:f>
        <x:v>Belum ada PIC mitra yang diisi</x:v>
      </x:c>
      <x:c r="K20" s="63" t="str">
        <x:f>IF(OR(LEFT(J20,9)="Belum ada",LEFT(J20,9)="Tidak ada"),"Tidak ada pembaruan yang mengubah baseline.","Pembaruan tersedia sebagai referensi; status baseline tidak berubah otomatis dan tetap memerlukan verifikasi.")</x:f>
        <x:v>Tidak ada pembaruan yang mengubah baseline.</x:v>
      </x:c>
    </x:row>
    <x:row r="21">
      <x:c r="A21" s="32" t="n">
        <x:v>9</x:v>
      </x:c>
      <x:c r="B21" s="32" t="str">
        <x:v>TINDAK LANJUT</x:v>
      </x:c>
      <x:c r="C21" s="32" t="str">
        <x:v>Rencana tindak lanjut</x:v>
      </x:c>
      <x:c r="D21" s="32" t="str">
        <x:v>Dokumen atau komitmen operasional yang memuat kegiatan, periode, target, dan/atau PIC.</x:v>
      </x:c>
      <x:c r="E21" s="32" t="str">
        <x:v>Rencana aksi; matriks kerja; kalender; notula.</x:v>
      </x:c>
      <x:c r="F21" s="32" t="str">
        <x:v>BELUM TERVERIFIKASI</x:v>
      </x:c>
      <x:c r="G21" s="32" t="str">
        <x:v>Ruang lingkup naskah tersedia, tetapi belum ditemukan rencana aksi atau komitmen operasional yang memuat kegiatan, periode, target, dan PIC.</x:v>
      </x:c>
      <x:c r="H21" s="32" t="str">
        <x:v>Rencana aksi, matriks kerja, kalender, atau notula belum diperoleh.</x:v>
      </x:c>
      <x:c r="I21" s="32" t="str">
        <x:v>Ruang lingkup umum dalam MoU/PKS tidak otomatis menjadi rencana tindak lanjut.</x:v>
      </x:c>
      <x:c r="J21" s="63" t="str">
        <x:f>IF((IF('USULAN TINDAK LANJUT'!B7&lt;&gt;"",1,0)+IF('USULAN TINDAK LANJUT'!B8&lt;&gt;"",1,0)+IF('USULAN TINDAK LANJUT'!B9&lt;&gt;"",1,0)+IF('USULAN TINDAK LANJUT'!B10&lt;&gt;"",1,0)+IF('USULAN TINDAK LANJUT'!B11&lt;&gt;"",1,0)+IF('USULAN TINDAK LANJUT'!B12&lt;&gt;"",1,0))=0,"Belum ada usulan tindak lanjut terisi","Jumlah usulan: "&amp;(IF('USULAN TINDAK LANJUT'!B7&lt;&gt;"",1,0)+IF('USULAN TINDAK LANJUT'!B8&lt;&gt;"",1,0)+IF('USULAN TINDAK LANJUT'!B9&lt;&gt;"",1,0)+IF('USULAN TINDAK LANJUT'!B10&lt;&gt;"",1,0)+IF('USULAN TINDAK LANJUT'!B11&lt;&gt;"",1,0)+IF('USULAN TINDAK LANJUT'!B12&lt;&gt;"",1,0))&amp;" | Prioritas pertama: "&amp;'USULAN TINDAK LANJUT'!B7&amp;" | Target: "&amp;'USULAN TINDAK LANJUT'!C7)</x:f>
        <x:v>Belum ada usulan tindak lanjut terisi</x:v>
      </x:c>
      <x:c r="K21" s="63" t="str">
        <x:f>IF(OR(LEFT(J21,9)="Belum ada",LEFT(J21,9)="Tidak ada"),"Tidak ada pembaruan yang mengubah baseline.","Pembaruan tersedia sebagai referensi; status baseline tidak berubah otomatis dan tetap memerlukan verifikasi.")</x:f>
        <x:v>Tidak ada pembaruan yang mengubah baseline.</x:v>
      </x:c>
    </x:row>
    <x:row r="22">
      <x:c r="A22" s="32" t="n">
        <x:v>10</x:v>
      </x:c>
      <x:c r="B22" s="32" t="str">
        <x:v>PELAKSANAAN</x:v>
      </x:c>
      <x:c r="C22" s="32" t="str">
        <x:v>Pelaksanaan dan hasil</x:v>
      </x:c>
      <x:c r="D22" s="32" t="str">
        <x:v>Kegiatan aktual, realisasi terhadap target jatuh tempo, serta output yang dihasilkan.</x:v>
      </x:c>
      <x:c r="E22" s="32" t="str">
        <x:v>Laporan; undangan; notula; daftar hadir; data hasil.</x:v>
      </x:c>
      <x:c r="F22" s="32" t="str">
        <x:v>BELUM TERVERIFIKASI</x:v>
      </x:c>
      <x:c r="G22" s="32" t="str">
        <x:v>Status Berlangsung pada P2MA belum membuktikan kegiatan atau output. Laporan pelaksanaan dan data hasil belum diperiksa.</x:v>
      </x:c>
      <x:c r="H22" s="32" t="str">
        <x:v>Laporan, undangan, notula, daftar hadir, dan data hasil belum diperoleh.</x:v>
      </x:c>
      <x:c r="I22" s="32" t="str">
        <x:v>Konfirmasi kegiatan aktual kepada unit pengampu serta PIC internal dan mitra.</x:v>
      </x:c>
      <x:c r="J22" s="63" t="str">
        <x:f>IF((IF('PELAKSANAAN KEGIATAN'!B7&lt;&gt;"",1,0)+IF('PELAKSANAAN KEGIATAN'!B8&lt;&gt;"",1,0)+IF('PELAKSANAAN KEGIATAN'!B9&lt;&gt;"",1,0)+IF('PELAKSANAAN KEGIATAN'!B10&lt;&gt;"",1,0)+IF('PELAKSANAAN KEGIATAN'!B11&lt;&gt;"",1,0)+IF('PELAKSANAAN KEGIATAN'!B12&lt;&gt;"",1,0))=0,"Belum ada kegiatan pada sheet pelaksanaan","Jumlah kegiatan terdata: "&amp;(IF('PELAKSANAAN KEGIATAN'!B7&lt;&gt;"",1,0)+IF('PELAKSANAAN KEGIATAN'!B8&lt;&gt;"",1,0)+IF('PELAKSANAAN KEGIATAN'!B9&lt;&gt;"",1,0)+IF('PELAKSANAAN KEGIATAN'!B10&lt;&gt;"",1,0)+IF('PELAKSANAAN KEGIATAN'!B11&lt;&gt;"",1,0)+IF('PELAKSANAAN KEGIATAN'!B12&lt;&gt;"",1,0))&amp;" | Kegiatan pertama: "&amp;'PELAKSANAAN KEGIATAN'!B7&amp;" | Status: "&amp;'PELAKSANAAN KEGIATAN'!C7)</x:f>
        <x:v>Belum ada kegiatan pada sheet pelaksanaan</x:v>
      </x:c>
      <x:c r="K22" s="63" t="str">
        <x:f>IF(OR(LEFT(J22,9)="Belum ada",LEFT(J22,9)="Tidak ada"),"Tidak ada pembaruan yang mengubah baseline.","Pembaruan tersedia sebagai referensi; status baseline tidak berubah otomatis dan tetap memerlukan verifikasi.")</x:f>
        <x:v>Tidak ada pembaruan yang mengubah baseline.</x:v>
      </x:c>
    </x:row>
    <x:row r="23">
      <x:c r="A23" s="32" t="n">
        <x:v>11</x:v>
      </x:c>
      <x:c r="B23" s="32" t="str">
        <x:v>EVIDEN</x:v>
      </x:c>
      <x:c r="C23" s="32" t="str">
        <x:v>Eviden implementasi</x:v>
      </x:c>
      <x:c r="D23" s="32" t="str">
        <x:v>Bukti pelaksanaan/output, lokasi penyimpanan, dan tingkat keteraturannya.</x:v>
      </x:c>
      <x:c r="E23" s="32" t="str">
        <x:v>Folder resmi; indeks bukti; dokumen/data kegiatan.</x:v>
      </x:c>
      <x:c r="F23" s="32" t="str">
        <x:v>BELUM TERVERIFIKASI</x:v>
      </x:c>
      <x:c r="G23" s="32" t="str">
        <x:v>Naskah dan entri P2MA tersedia, tetapi folder resmi, indeks, serta bukti implementasi belum diperiksa.</x:v>
      </x:c>
      <x:c r="H23" s="32" t="str">
        <x:v>Folder eviden, indeks bukti, dan dokumen/data kegiatan belum diperoleh.</x:v>
      </x:c>
      <x:c r="I23" s="32" t="str">
        <x:v>Naskah kerja sama bukan eviden pelaksanaan.</x:v>
      </x:c>
      <x:c r="J23" s="63" t="str">
        <x:f>IF((IF('PELAKSANAAN KEGIATAN'!E7&lt;&gt;"",1,0)+IF('PELAKSANAAN KEGIATAN'!E8&lt;&gt;"",1,0)+IF('PELAKSANAAN KEGIATAN'!E9&lt;&gt;"",1,0)+IF('PELAKSANAAN KEGIATAN'!E10&lt;&gt;"",1,0)+IF('PELAKSANAAN KEGIATAN'!E11&lt;&gt;"",1,0)+IF('PELAKSANAAN KEGIATAN'!E12&lt;&gt;"",1,0))=0,"Belum ada keterangan bukti pada sheet pelaksanaan","Jumlah kegiatan dengan keterangan bukti: "&amp;(IF('PELAKSANAAN KEGIATAN'!E7&lt;&gt;"",1,0)+IF('PELAKSANAAN KEGIATAN'!E8&lt;&gt;"",1,0)+IF('PELAKSANAAN KEGIATAN'!E9&lt;&gt;"",1,0)+IF('PELAKSANAAN KEGIATAN'!E10&lt;&gt;"",1,0)+IF('PELAKSANAAN KEGIATAN'!E11&lt;&gt;"",1,0)+IF('PELAKSANAAN KEGIATAN'!E12&lt;&gt;"",1,0))&amp;" | Bukti pertama: "&amp;'PELAKSANAAN KEGIATAN'!E7)</x:f>
        <x:v>Belum ada keterangan bukti pada sheet pelaksanaan</x:v>
      </x:c>
      <x:c r="K23" s="63" t="str">
        <x:f>IF(OR(LEFT(J23,9)="Belum ada",LEFT(J23,9)="Tidak ada"),"Tidak ada pembaruan yang mengubah baseline.","Pembaruan tersedia sebagai referensi; status baseline tidak berubah otomatis dan tetap memerlukan verifikasi.")</x:f>
        <x:v>Tidak ada pembaruan yang mengubah baseline.</x:v>
      </x:c>
    </x:row>
    <x:row r="24">
      <x:c r="A24" s="32" t="n">
        <x:v>12</x:v>
      </x:c>
      <x:c r="B24" s="32" t="str">
        <x:v>HAMBATAN</x:v>
      </x:c>
      <x:c r="C24" s="32" t="str">
        <x:v>Hambatan/gap</x:v>
      </x:c>
      <x:c r="D24" s="32" t="str">
        <x:v>Kendala faktual atau kekosongan data yang memengaruhi implementasi dan sudah dikonfirmasi.</x:v>
      </x:c>
      <x:c r="E24" s="32" t="str">
        <x:v>Konfirmasi unit/PIC/mitra; notula; laporan; bukti keterlambatan.</x:v>
      </x:c>
      <x:c r="F24" s="32" t="str">
        <x:v>BELUM TERVERIFIKASI</x:v>
      </x:c>
      <x:c r="G24" s="32" t="str">
        <x:v>Hambatan operasional belum dikonfirmasi. Gap verifikasi sementara mencakup arsip internal, unit pengampu, PIC, rencana tindak lanjut, pelaksanaan, dan eviden. Tanggal berakhir berbeda satu hari antara data awal dan P2MA publik.</x:v>
      </x:c>
      <x:c r="H24" s="32" t="str">
        <x:v>Penelusuran publik P2MA; konfirmasi unit/PIC/mitra belum dilakukan.</x:v>
      </x:c>
      <x:c r="I24" s="32" t="str">
        <x:v>Pisahkan gap data verifikasi dari hambatan pelaksanaan yang benar-benar dialami.</x:v>
      </x:c>
      <x:c r="J24" s="63" t="str">
        <x:f>IF((IF('PELAKSANAAN KEGIATAN'!F7&lt;&gt;"",1,0)+IF('PELAKSANAAN KEGIATAN'!F8&lt;&gt;"",1,0)+IF('PELAKSANAAN KEGIATAN'!F9&lt;&gt;"",1,0)+IF('PELAKSANAAN KEGIATAN'!F10&lt;&gt;"",1,0)+IF('PELAKSANAAN KEGIATAN'!F11&lt;&gt;"",1,0)+IF('PELAKSANAAN KEGIATAN'!F12&lt;&gt;"",1,0))=0,"Belum ada kendala/catatan pada sheet pelaksanaan","Kendala/catatan pertama: "&amp;'PELAKSANAAN KEGIATAN'!F7)</x:f>
        <x:v>Belum ada kendala/catatan pada sheet pelaksanaan</x:v>
      </x:c>
      <x:c r="K24" s="63" t="str">
        <x:f>IF(OR(LEFT(J24,9)="Belum ada",LEFT(J24,9)="Tidak ada"),"Tidak ada pembaruan yang mengubah baseline.","Pembaruan tersedia sebagai referensi; status baseline tidak berubah otomatis dan tetap memerlukan verifikasi.")</x:f>
        <x:v>Tidak ada pembaruan yang mengubah baseline.</x:v>
      </x:c>
    </x:row>
    <x:row r="25">
      <x:c r="A25"/>
      <x:c r="B25"/>
      <x:c r="C25"/>
      <x:c r="D25"/>
      <x:c r="E25"/>
      <x:c r="F25"/>
      <x:c r="G25"/>
      <x:c r="H25"/>
      <x:c r="I25"/>
    </x:row>
    <x:row r="26">
      <x:c r="A26" t="str">
        <x:v>RINGKASAN BASELINE V.0</x:v>
      </x:c>
      <x:c r="B26"/>
      <x:c r="C26"/>
      <x:c r="D26"/>
      <x:c r="E26"/>
      <x:c r="F26"/>
      <x:c r="G26"/>
      <x:c r="H26"/>
      <x:c r="I26"/>
    </x:row>
    <x:row r="27" ht="22" customHeight="1">
      <x:c r="A27" s="18"/>
      <x:c r="B27" s="18"/>
      <x:c r="C27" s="18"/>
      <x:c r="D27" s="18"/>
      <x:c r="E27" s="18"/>
      <x:c r="F27" s="18"/>
      <x:c r="G27" s="18"/>
      <x:c r="H27" s="18"/>
      <x:c r="I27" s="18"/>
      <x:c r="J27" s="18"/>
      <x:c r="K27" s="18"/>
    </x:row>
    <x:row r="28">
      <x:c r="A28" t="str">
        <x:v>STATUS ELEMEN</x:v>
      </x:c>
      <x:c r="B28" t="str">
        <x:v>JUMLAH</x:v>
      </x:c>
      <x:c r="C28"/>
      <x:c r="D28" t="str">
        <x:v>INDIKATOR PENGISIAN</x:v>
      </x:c>
      <x:c r="E28" t="str">
        <x:v>HASIL</x:v>
      </x:c>
      <x:c r="F28"/>
      <x:c r="G28" t="str">
        <x:v>RINGKASAN PEMERIKSA</x:v>
      </x:c>
      <x:c r="H28"/>
      <x:c r="I28"/>
    </x:row>
    <x:row r="29">
      <x:c r="A29" s="49" t="str">
        <x:v>Terverifikasi</x:v>
      </x:c>
      <x:c r="B29" s="49" t="n">
        <x:f>IF(F13="TERVERIFIKASI",1,0)+IF(F14="TERVERIFIKASI",1,0)+IF(F15="TERVERIFIKASI",1,0)+IF(F16="TERVERIFIKASI",1,0)+IF(F17="TERVERIFIKASI",1,0)+IF(F18="TERVERIFIKASI",1,0)+IF(F19="TERVERIFIKASI",1,0)+IF(F20="TERVERIFIKASI",1,0)+IF(F21="TERVERIFIKASI",1,0)+IF(F22="TERVERIFIKASI",1,0)+IF(F23="TERVERIFIKASI",1,0)+IF(F24="TERVERIFIKASI",1,0)</x:f>
        <x:v>2</x:v>
      </x:c>
      <x:c r="C29" s="49"/>
      <x:c r="D29" s="49" t="str">
        <x:v>Kelengkapan pemeriksaan</x:v>
      </x:c>
      <x:c r="E29" s="97" t="n">
        <x:f>(IF(AND(F13&lt;&gt;"",G13&lt;&gt;"",H13&lt;&gt;""),1,0)+IF(AND(F14&lt;&gt;"",G14&lt;&gt;"",H14&lt;&gt;""),1,0)+IF(AND(F15&lt;&gt;"",G15&lt;&gt;"",H15&lt;&gt;""),1,0)+IF(AND(F16&lt;&gt;"",G16&lt;&gt;"",H16&lt;&gt;""),1,0)+IF(AND(F17&lt;&gt;"",G17&lt;&gt;"",H17&lt;&gt;""),1,0)+IF(AND(F18&lt;&gt;"",G18&lt;&gt;"",H18&lt;&gt;""),1,0)+IF(AND(F19&lt;&gt;"",G19&lt;&gt;"",H19&lt;&gt;""),1,0)+IF(AND(F20&lt;&gt;"",G20&lt;&gt;"",H20&lt;&gt;""),1,0)+IF(AND(F21&lt;&gt;"",G21&lt;&gt;"",H21&lt;&gt;""),1,0)+IF(AND(F22&lt;&gt;"",G22&lt;&gt;"",H22&lt;&gt;""),1,0)+IF(AND(F23&lt;&gt;"",G23&lt;&gt;"",H23&lt;&gt;""),1,0)+IF(AND(F24&lt;&gt;"",G24&lt;&gt;"",H24&lt;&gt;""),1,0))/12</x:f>
        <x:v>1</x:v>
      </x:c>
      <x:c r="F29"/>
      <x:c r="G29" t="str">
        <x:v>Fakta utama</x:v>
      </x:c>
      <x:c r="H29" t="str">
        <x:v>P2MA publik menunjukkan naskah berstatus Berlangsung. 2 dari 12 elemen telah dapat diverifikasi pada tahap pemeriksaan meja; elemen lain masih memerlukan bukti internal atau konfirmasi.</x:v>
      </x:c>
      <x:c r="I29" t="str">
        <x:v>P2MA publik menunjukkan naskah berstatus Berlangsung. 2 dari 12 elemen telah dapat diverifikasi pada tahap pemeriksaan meja; elemen lain masih memerlukan bukti internal atau konfirmasi.</x:v>
      </x:c>
    </x:row>
    <x:row r="30">
      <x:c r="A30" s="32" t="str">
        <x:v>Belum Terverifikasi</x:v>
      </x:c>
      <x:c r="B30" s="32" t="n">
        <x:f>IF(F13="BELUM TERVERIFIKASI",1,0)+IF(F14="BELUM TERVERIFIKASI",1,0)+IF(F15="BELUM TERVERIFIKASI",1,0)+IF(F16="BELUM TERVERIFIKASI",1,0)+IF(F17="BELUM TERVERIFIKASI",1,0)+IF(F18="BELUM TERVERIFIKASI",1,0)+IF(F19="BELUM TERVERIFIKASI",1,0)+IF(F20="BELUM TERVERIFIKASI",1,0)+IF(F21="BELUM TERVERIFIKASI",1,0)+IF(F22="BELUM TERVERIFIKASI",1,0)+IF(F23="BELUM TERVERIFIKASI",1,0)+IF(F24="BELUM TERVERIFIKASI",1,0)</x:f>
        <x:v>10</x:v>
      </x:c>
      <x:c r="C30" s="32"/>
      <x:c r="D30" s="32" t="str">
        <x:v>Proporsi status terverifikasi</x:v>
      </x:c>
      <x:c r="E30" s="37" t="n">
        <x:f>IF((12-B32)=0,0,B29/(12-B32))</x:f>
        <x:v>0.16666666666666666</x:v>
      </x:c>
      <x:c r="F30"/>
      <x:c r="G30"/>
      <x:c r="H30" t="str">
        <x:v>P2MA publik menunjukkan naskah berstatus Berlangsung. 2 dari 12 elemen telah dapat diverifikasi pada tahap pemeriksaan meja; elemen lain masih memerlukan bukti internal atau konfirmasi.</x:v>
      </x:c>
      <x:c r="I30" t="str">
        <x:v>P2MA publik menunjukkan naskah berstatus Berlangsung. 2 dari 12 elemen telah dapat diverifikasi pada tahap pemeriksaan meja; elemen lain masih memerlukan bukti internal atau konfirmasi.</x:v>
      </x:c>
    </x:row>
    <x:row r="31">
      <x:c r="A31" s="32" t="str">
        <x:v>Belum Tersedia</x:v>
      </x:c>
      <x:c r="B31" s="32" t="n">
        <x:f>IF(F13="BELUM TERSEDIA",1,0)+IF(F14="BELUM TERSEDIA",1,0)+IF(F15="BELUM TERSEDIA",1,0)+IF(F16="BELUM TERSEDIA",1,0)+IF(F17="BELUM TERSEDIA",1,0)+IF(F18="BELUM TERSEDIA",1,0)+IF(F19="BELUM TERSEDIA",1,0)+IF(F20="BELUM TERSEDIA",1,0)+IF(F21="BELUM TERSEDIA",1,0)+IF(F22="BELUM TERSEDIA",1,0)+IF(F23="BELUM TERSEDIA",1,0)+IF(F24="BELUM TERSEDIA",1,0)</x:f>
        <x:v>0</x:v>
      </x:c>
      <x:c r="C31" s="32"/>
      <x:c r="D31" s="32" t="str">
        <x:v>Status pengisian baseline</x:v>
      </x:c>
      <x:c r="E31" s="37" t="str">
        <x:f>IF(E29=0,"BELUM DIMULAI",IF(E29=1,"SELESAI DIISI","DALAM VERIFIKASI"))</x:f>
        <x:v>SELESAI DIISI</x:v>
      </x:c>
      <x:c r="F31"/>
      <x:c r="G31" t="str">
        <x:v>Gap utama</x:v>
      </x:c>
      <x:c r="H31" t="str">
        <x:v>Belum tersedia kepastian mengenai nomor naskah lengkap, arsip resmi internal, unit pengampu, PIC internal/mitra, rencana tindak lanjut, pelaksanaan, eviden, dan hambatan. Tanggal berakhir berbeda satu hari antara data awal dan P2MA publik.</x:v>
      </x:c>
      <x:c r="I31" t="str">
        <x:v>Belum tersedia kepastian mengenai nomor naskah lengkap, arsip resmi internal, unit pengampu, PIC internal/mitra, rencana tindak lanjut, pelaksanaan, eviden, dan hambatan. Tanggal berakhir berbeda satu hari antara data awal dan P2MA publik.</x:v>
      </x:c>
    </x:row>
    <x:row r="32">
      <x:c r="A32" s="32" t="str">
        <x:v>Tidak Relevan</x:v>
      </x:c>
      <x:c r="B32" s="32" t="n">
        <x:f>IF(F13="TIDAK RELEVAN",1,0)+IF(F14="TIDAK RELEVAN",1,0)+IF(F15="TIDAK RELEVAN",1,0)+IF(F16="TIDAK RELEVAN",1,0)+IF(F17="TIDAK RELEVAN",1,0)+IF(F18="TIDAK RELEVAN",1,0)+IF(F19="TIDAK RELEVAN",1,0)+IF(F20="TIDAK RELEVAN",1,0)+IF(F21="TIDAK RELEVAN",1,0)+IF(F22="TIDAK RELEVAN",1,0)+IF(F23="TIDAK RELEVAN",1,0)+IF(F24="TIDAK RELEVAN",1,0)</x:f>
        <x:v>0</x:v>
      </x:c>
      <x:c r="C32" s="32"/>
      <x:c r="D32" s="32"/>
      <x:c r="E32" s="32"/>
      <x:c r="F32"/>
      <x:c r="G32"/>
      <x:c r="H32" t="str">
        <x:v>Belum tersedia kepastian mengenai nomor naskah lengkap, arsip resmi internal, unit pengampu, PIC internal/mitra, rencana tindak lanjut, pelaksanaan, eviden, dan hambatan. Tanggal berakhir berbeda satu hari antara data awal dan P2MA publik.</x:v>
      </x:c>
      <x:c r="I32" t="str">
        <x:v>Belum tersedia kepastian mengenai nomor naskah lengkap, arsip resmi internal, unit pengampu, PIC internal/mitra, rencana tindak lanjut, pelaksanaan, eviden, dan hambatan. Tanggal berakhir berbeda satu hari antara data awal dan P2MA publik.</x:v>
      </x:c>
    </x:row>
    <x:row r="33">
      <x:c r="A33" s="32" t="str">
        <x:v>Belum Diisi</x:v>
      </x:c>
      <x:c r="B33" s="32" t="n">
        <x:f>IF(F13="",1,0)+IF(F14="",1,0)+IF(F15="",1,0)+IF(F16="",1,0)+IF(F17="",1,0)+IF(F18="",1,0)+IF(F19="",1,0)+IF(F20="",1,0)+IF(F21="",1,0)+IF(F22="",1,0)+IF(F23="",1,0)+IF(F24="",1,0)</x:f>
        <x:v>0</x:v>
      </x:c>
      <x:c r="C33" s="32"/>
      <x:c r="D33" s="32"/>
      <x:c r="E33" s="32"/>
      <x:c r="F33"/>
      <x:c r="G33" t="str">
        <x:v>Catatan transisi</x:v>
      </x:c>
      <x:c r="H33" t="str">
        <x:v>Gunakan hasil ini sebagai daftar pertanyaan untuk unit pengampu dan forum PIC. Jangan menghitung Scorecard efektivitas sebelum gap prioritas diverifikasi.</x:v>
      </x:c>
      <x:c r="I33" t="str">
        <x:v>Gunakan hasil ini sebagai daftar pertanyaan untuk unit pengampu dan forum PIC. Jangan menghitung Scorecard efektivitas sebelum gap prioritas diverifikasi.</x:v>
      </x:c>
    </x:row>
    <x:row r="34">
      <x:c r="A34" s="32"/>
      <x:c r="B34" s="32"/>
      <x:c r="C34" s="32"/>
      <x:c r="D34" s="32"/>
      <x:c r="E34" s="32"/>
      <x:c r="F34"/>
      <x:c r="G34"/>
      <x:c r="H34" t="str">
        <x:v>Gunakan hasil ini sebagai daftar pertanyaan untuk unit pengampu dan forum PIC. Jangan menghitung Scorecard efektivitas sebelum gap prioritas diverifikasi.</x:v>
      </x:c>
      <x:c r="I34" t="str">
        <x:v>Gunakan hasil ini sebagai daftar pertanyaan untuk unit pengampu dan forum PIC. Jangan menghitung Scorecard efektivitas sebelum gap prioritas diverifikasi.</x:v>
      </x:c>
    </x:row>
    <x:row r="35">
      <x:c r="A35"/>
      <x:c r="B35"/>
      <x:c r="C35"/>
      <x:c r="D35"/>
      <x:c r="E35"/>
      <x:c r="F35"/>
      <x:c r="G35"/>
      <x:c r="H35"/>
      <x:c r="I35"/>
    </x:row>
    <x:row r="36">
      <x:c r="A36" t="str">
        <x:v>Simulasi per 28 Agustus 2026. Kelengkapan pemeriksaan dan proporsi status terverifikasi bukan Scorecard efektivitas; kategori produktif/berjalan/perlu aktivasi/kritis baru ditentukan pada tahap berikutnya setelah verifikasi data operasional.</x:v>
      </x:c>
      <x:c r="B36" t="str">
        <x:v>Simulasi per 28 Agustus 2026. Kelengkapan pemeriksaan dan proporsi status terverifikasi bukan Scorecard efektivitas; kategori produktif/berjalan/perlu aktivasi/kritis baru ditentukan pada tahap berikutnya setelah verifikasi data operasional.</x:v>
      </x:c>
      <x:c r="C36" t="str">
        <x:v>Simulasi per 28 Agustus 2026. Kelengkapan pemeriksaan dan proporsi status terverifikasi bukan Scorecard efektivitas; kategori produktif/berjalan/perlu aktivasi/kritis baru ditentukan pada tahap berikutnya setelah verifikasi data operasional.</x:v>
      </x:c>
      <x:c r="D36" t="str">
        <x:v>Simulasi per 28 Agustus 2026. Kelengkapan pemeriksaan dan proporsi status terverifikasi bukan Scorecard efektivitas; kategori produktif/berjalan/perlu aktivasi/kritis baru ditentukan pada tahap berikutnya setelah verifikasi data operasional.</x:v>
      </x:c>
      <x:c r="E36" t="str">
        <x:v>Simulasi per 28 Agustus 2026. Kelengkapan pemeriksaan dan proporsi status terverifikasi bukan Scorecard efektivitas; kategori produktif/berjalan/perlu aktivasi/kritis baru ditentukan pada tahap berikutnya setelah verifikasi data operasional.</x:v>
      </x:c>
      <x:c r="F36" t="str">
        <x:v>Simulasi per 28 Agustus 2026. Kelengkapan pemeriksaan dan proporsi status terverifikasi bukan Scorecard efektivitas; kategori produktif/berjalan/perlu aktivasi/kritis baru ditentukan pada tahap berikutnya setelah verifikasi data operasional.</x:v>
      </x:c>
      <x:c r="G36" t="str">
        <x:v>Simulasi per 28 Agustus 2026. Kelengkapan pemeriksaan dan proporsi status terverifikasi bukan Scorecard efektivitas; kategori produktif/berjalan/perlu aktivasi/kritis baru ditentukan pada tahap berikutnya setelah verifikasi data operasional.</x:v>
      </x:c>
      <x:c r="H36" t="str">
        <x:v>Simulasi per 28 Agustus 2026. Kelengkapan pemeriksaan dan proporsi status terverifikasi bukan Scorecard efektivitas; kategori produktif/berjalan/perlu aktivasi/kritis baru ditentukan pada tahap berikutnya setelah verifikasi data operasional.</x:v>
      </x:c>
      <x:c r="I36" t="str">
        <x:v>Simulasi per 28 Agustus 2026. Kelengkapan pemeriksaan dan proporsi status terverifikasi bukan Scorecard efektivitas; kategori produktif/berjalan/perlu aktivasi/kritis baru ditentukan pada tahap berikutnya setelah verifikasi data operasional.</x:v>
      </x:c>
    </x:row>
  </x:sheetData>
  <x:mergeCells>
    <x:mergeCell ref="A1:K1"/>
    <x:mergeCell ref="A2:K2"/>
    <x:mergeCell ref="A4:K4"/>
    <x:mergeCell ref="A27:K27"/>
  </x:mergeCells>
  <x:conditionalFormatting sqref="F13:F24">
    <x:cfRule type="expression" dxfId="2" priority="1">
      <x:formula>F13="TERVERIFIKASI"</x:formula>
    </x:cfRule>
    <x:cfRule type="expression" dxfId="3" priority="2">
      <x:formula>F13="BELUM TERSEDIA"</x:formula>
    </x:cfRule>
  </x:conditionalFormatting>
  <x:dataValidations count="1">
    <x:dataValidation type="list" sqref="F13:F24">
      <x:formula1>"TERVERIFIKASI,BELUM TERVERIFIKASI,BELUM TERSEDIA,TIDAK RELEVAN"</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36" hidden="0" customWidth="1"/>
    <x:col min="3" max="3" width="10" hidden="0" customWidth="1"/>
    <x:col min="4" max="4" width="48" hidden="0" customWidth="1"/>
    <x:col min="5" max="5" width="22" hidden="0" customWidth="1"/>
    <x:col min="6" max="6" width="48" hidden="0" customWidth="1"/>
    <x:col min="7" max="7" width="11" hidden="0" customWidth="1"/>
    <x:col min="8" max="8" width="45" hidden="0" customWidth="1"/>
    <x:col min="9" max="9" width="12" hidden="0" customWidth="1"/>
    <x:col min="10" max="10" width="18" hidden="0" customWidth="1"/>
  </x:cols>
  <x:sheetData>
    <x:row r="1" ht="28" customHeight="1">
      <x:c r="A1" s="5" t="str">
        <x:v>SCORECARD EFEKTIVITAS MITRA KINERJA V1.1 — BNNP KEPULAUAN RIAU</x:v>
      </x:c>
      <x:c r="B1" s="5" t="str">
        <x:v>SCORECARD EFEKTIVITAS MITRA KINERJA V1.1 — P02</x:v>
      </x:c>
      <x:c r="C1" s="5" t="str">
        <x:v>SCORECARD EFEKTIVITAS MITRA KINERJA V1.1 — P02</x:v>
      </x:c>
      <x:c r="D1" s="5" t="str">
        <x:v>SCORECARD EFEKTIVITAS MITRA KINERJA V1.1 — P02</x:v>
      </x:c>
      <x:c r="E1" s="5" t="str">
        <x:v>SCORECARD EFEKTIVITAS MITRA KINERJA V1.1 — P02</x:v>
      </x:c>
      <x:c r="F1" s="5" t="str">
        <x:v>SCORECARD EFEKTIVITAS MITRA KINERJA V1.1 — P02</x:v>
      </x:c>
      <x:c r="G1" s="5" t="str">
        <x:v>SCORECARD EFEKTIVITAS MITRA KINERJA V1.1 — P02</x:v>
      </x:c>
      <x:c r="H1" s="5" t="str">
        <x:v>SCORECARD EFEKTIVITAS MITRA KINERJA V1.1 — P02</x:v>
      </x:c>
      <x:c r="I1" s="5" t="str">
        <x:v>SCORECARD EFEKTIVITAS MITRA KINERJA V1.1 — P02</x:v>
      </x:c>
      <x:c r="J1" s="5" t="str">
        <x:v>SCORECARD EFEKTIVITAS MITRA KINERJA V1.1 — P02</x:v>
      </x:c>
    </x:row>
    <x:row r="2">
      <x:c r="A2" s="58" t="str">
        <x:v>PILOT UTAMA — Badan Narkotika Nasional Provinsi Kepulauan Riau</x:v>
      </x:c>
      <x:c r="B2" s="58" t="str">
        <x:v>PILOT UTAMA — Badan Narkotika Nasional Provinsi Kepulauan Riau</x:v>
      </x:c>
      <x:c r="C2" s="58" t="str">
        <x:v>PILOT UTAMA — Badan Narkotika Nasional Provinsi Kepulauan Riau</x:v>
      </x:c>
      <x:c r="D2" s="58" t="str">
        <x:v>PILOT UTAMA — Badan Narkotika Nasional Provinsi Kepulauan Riau</x:v>
      </x:c>
      <x:c r="E2" s="58" t="str">
        <x:v>PILOT UTAMA — Badan Narkotika Nasional Provinsi Kepulauan Riau</x:v>
      </x:c>
      <x:c r="F2" s="58" t="str">
        <x:v>PILOT UTAMA — Badan Narkotika Nasional Provinsi Kepulauan Riau</x:v>
      </x:c>
      <x:c r="G2" s="58" t="str">
        <x:v>PILOT UTAMA — Badan Narkotika Nasional Provinsi Kepulauan Riau</x:v>
      </x:c>
      <x:c r="H2" s="58" t="str">
        <x:v>PILOT UTAMA — Badan Narkotika Nasional Provinsi Kepulauan Riau</x:v>
      </x:c>
      <x:c r="I2" s="58" t="str">
        <x:v>PILOT UTAMA — Badan Narkotika Nasional Provinsi Kepulauan Riau</x:v>
      </x:c>
      <x:c r="J2" s="58" t="str">
        <x:v>PILOT UTAMA — Badan Narkotika Nasional Provinsi Kepulauan Riau</x:v>
      </x:c>
    </x:row>
    <x:row r="3">
      <x:c r="A3" t="str">
        <x:v>Isi hanya sel kuning. Nilai berjalan langsung berubah saat skor diisi; kategori dan status final menunggu kelengkapan bukti serta validasi unit.</x:v>
      </x:c>
      <x:c r="B3" t="str">
        <x:v>Isi hanya sel kuning. Nilai berjalan langsung berubah saat skor diisi; kategori dan status final menunggu kelengkapan bukti serta validasi unit.</x:v>
      </x:c>
      <x:c r="C3" t="str">
        <x:v>Isi hanya sel kuning. Nilai berjalan langsung berubah saat skor diisi; kategori dan status final menunggu kelengkapan bukti serta validasi unit.</x:v>
      </x:c>
      <x:c r="D3" t="str">
        <x:v>Isi hanya sel kuning. Nilai berjalan langsung berubah saat skor diisi; kategori dan status final menunggu kelengkapan bukti serta validasi unit.</x:v>
      </x:c>
      <x:c r="E3" t="str">
        <x:v>Isi hanya sel kuning. Nilai berjalan langsung berubah saat skor diisi; kategori dan status final menunggu kelengkapan bukti serta validasi unit.</x:v>
      </x:c>
      <x:c r="F3" t="str">
        <x:v>Isi hanya sel kuning. Nilai berjalan langsung berubah saat skor diisi; kategori dan status final menunggu kelengkapan bukti serta validasi unit.</x:v>
      </x:c>
      <x:c r="G3" t="str">
        <x:v>Isi hanya sel kuning. Nilai berjalan langsung berubah saat skor diisi; kategori dan status final menunggu kelengkapan bukti serta validasi unit.</x:v>
      </x:c>
      <x:c r="H3" t="str">
        <x:v>Isi hanya sel kuning. Nilai berjalan langsung berubah saat skor diisi; kategori dan status final menunggu kelengkapan bukti serta validasi unit.</x:v>
      </x:c>
      <x:c r="I3" t="str">
        <x:v>Isi hanya sel kuning. Nilai berjalan langsung berubah saat skor diisi; kategori dan status final menunggu kelengkapan bukti serta validasi unit.</x:v>
      </x:c>
      <x:c r="J3" t="str">
        <x:v>Isi hanya sel kuning. Nilai berjalan langsung berubah saat skor diisi; kategori dan status final menunggu kelengkapan bukti serta validasi unit.</x:v>
      </x:c>
    </x:row>
    <x:row r="4">
      <x:c r="A4"/>
      <x:c r="B4"/>
      <x:c r="C4"/>
      <x:c r="D4"/>
      <x:c r="E4"/>
      <x:c r="F4"/>
      <x:c r="G4"/>
      <x:c r="H4"/>
      <x:c r="I4"/>
      <x:c r="J4"/>
    </x:row>
    <x:row r="5" ht="22" customHeight="1">
      <x:c r="A5" s="18" t="str">
        <x:v>A. IDENTITAS DAN KONTROL</x:v>
      </x:c>
      <x:c r="B5" s="18" t="str">
        <x:v>A. IDENTITAS DAN KONTROL</x:v>
      </x:c>
      <x:c r="C5" s="18" t="str">
        <x:v>A. IDENTITAS DAN KONTROL</x:v>
      </x:c>
      <x:c r="D5" s="18" t="str">
        <x:v>A. IDENTITAS DAN KONTROL</x:v>
      </x:c>
      <x:c r="E5" s="18" t="str">
        <x:v>A. IDENTITAS DAN KONTROL</x:v>
      </x:c>
      <x:c r="F5" s="18" t="str">
        <x:v>A. IDENTITAS DAN KONTROL</x:v>
      </x:c>
      <x:c r="G5" s="18" t="str">
        <x:v>A. IDENTITAS DAN KONTROL</x:v>
      </x:c>
      <x:c r="H5" s="18" t="str">
        <x:v>A. IDENTITAS DAN KONTROL</x:v>
      </x:c>
      <x:c r="I5" s="18" t="str">
        <x:v>A. IDENTITAS DAN KONTROL</x:v>
      </x:c>
      <x:c r="J5" s="18" t="str">
        <x:v>A. IDENTITAS DAN KONTROL</x:v>
      </x:c>
    </x:row>
    <x:row r="6">
      <x:c r="A6" s="31" t="str">
        <x:v>Kode</x:v>
      </x:c>
      <x:c r="B6" s="32" t="str">
        <x:v>P02</x:v>
      </x:c>
      <x:c r="C6" s="31" t="str">
        <x:v>Portofolio</x:v>
      </x:c>
      <x:c r="D6" s="32" t="str">
        <x:v>Pilot Utama</x:v>
      </x:c>
      <x:c r="E6" s="31" t="str">
        <x:v>Cut-off</x:v>
      </x:c>
      <x:c r="F6" s="75" t="n">
        <x:v>46262</x:v>
      </x:c>
      <x:c r="G6" s="31" t="str">
        <x:v>Pemeriksa</x:v>
      </x:c>
      <x:c r="H6" s="32"/>
      <x:c r="I6" s="31"/>
      <x:c r="J6" s="32"/>
    </x:row>
    <x:row r="7">
      <x:c r="A7" s="31" t="str">
        <x:v>Mitra</x:v>
      </x:c>
      <x:c r="B7" s="32" t="str">
        <x:v>Badan Narkotika Nasional Provinsi Kepulauan Riau</x:v>
      </x:c>
      <x:c r="C7" s="31"/>
      <x:c r="D7" s="32"/>
      <x:c r="E7" s="31"/>
      <x:c r="F7" s="32"/>
      <x:c r="G7" s="31" t="str">
        <x:v>Jenis</x:v>
      </x:c>
      <x:c r="H7" s="32" t="str">
        <x:v>PKS</x:v>
      </x:c>
      <x:c r="I7" s="31" t="str">
        <x:v>Sumber baseline</x:v>
      </x:c>
      <x:c r="J7" s="32" t="str">
        <x:v>BASELINE BNNP (terintegrasi)</x:v>
      </x:c>
    </x:row>
    <x:row r="8">
      <x:c r="A8" s="31" t="str">
        <x:v>Judul</x:v>
      </x:c>
      <x:c r="B8" s="32" t="str">
        <x:v>Integrasi dan Pemanfaatan Belajar Seru Tiap Hari Learning Hub sebagai Platform Pembelajaran Digital dalam Penguatan Literasi Hukum, Pencegahan Penyalahgunaan Narkotika, dan Pembangunan Karakter Generasi Muda di Provinsi Kepulauan Riau</x:v>
      </x:c>
      <x:c r="C8" s="31" t="str">
        <x:v>Integrasi dan Pemanfaatan Belajar Seru Tiap Hari Learning Hub sebagai Platform Pembelajaran Digital dalam Penguatan Literasi Hukum, Pencegahan Penyalahgunaan Narkotika, dan Pembangunan Karakter Generasi Muda di Provinsi Kepulauan Riau</x:v>
      </x:c>
      <x:c r="D8" s="32" t="str">
        <x:v>Integrasi dan Pemanfaatan Belajar Seru Tiap Hari Learning Hub sebagai Platform Pembelajaran Digital dalam Penguatan Literasi Hukum, Pencegahan Penyalahgunaan Narkotika, dan Pembangunan Karakter Generasi Muda di Provinsi Kepulauan Riau</x:v>
      </x:c>
      <x:c r="E8" s="31" t="str">
        <x:v>Integrasi dan Pemanfaatan Belajar Seru Tiap Hari Learning Hub sebagai Platform Pembelajaran Digital dalam Penguatan Literasi Hukum, Pencegahan Penyalahgunaan Narkotika, dan Pembangunan Karakter Generasi Muda di Provinsi Kepulauan Riau</x:v>
      </x:c>
      <x:c r="F8" s="32" t="str">
        <x:v>Integrasi dan Pemanfaatan Belajar Seru Tiap Hari Learning Hub sebagai Platform Pembelajaran Digital dalam Penguatan Literasi Hukum, Pencegahan Penyalahgunaan Narkotika, dan Pembangunan Karakter Generasi Muda di Provinsi Kepulauan Riau</x:v>
      </x:c>
      <x:c r="G8" s="31" t="str">
        <x:v>Integrasi dan Pemanfaatan Belajar Seru Tiap Hari Learning Hub sebagai Platform Pembelajaran Digital dalam Penguatan Literasi Hukum, Pencegahan Penyalahgunaan Narkotika, dan Pembangunan Karakter Generasi Muda di Provinsi Kepulauan Riau</x:v>
      </x:c>
      <x:c r="H8" s="32" t="str">
        <x:v>Integrasi dan Pemanfaatan Belajar Seru Tiap Hari Learning Hub sebagai Platform Pembelajaran Digital dalam Penguatan Literasi Hukum, Pencegahan Penyalahgunaan Narkotika, dan Pembangunan Karakter Generasi Muda di Provinsi Kepulauan Riau</x:v>
      </x:c>
      <x:c r="I8" s="31" t="str">
        <x:v>Integrasi dan Pemanfaatan Belajar Seru Tiap Hari Learning Hub sebagai Platform Pembelajaran Digital dalam Penguatan Literasi Hukum, Pencegahan Penyalahgunaan Narkotika, dan Pembangunan Karakter Generasi Muda di Provinsi Kepulauan Riau</x:v>
      </x:c>
      <x:c r="J8" s="32" t="str">
        <x:v>Integrasi dan Pemanfaatan Belajar Seru Tiap Hari Learning Hub sebagai Platform Pembelajaran Digital dalam Penguatan Literasi Hukum, Pencegahan Penyalahgunaan Narkotika, dan Pembangunan Karakter Generasi Muda di Provinsi Kepulauan Riau</x:v>
      </x:c>
    </x:row>
    <x:row r="9">
      <x:c r="A9" s="31" t="str">
        <x:v>Mulai</x:v>
      </x:c>
      <x:c r="B9" s="75" t="n">
        <x:v>46216</x:v>
      </x:c>
      <x:c r="C9" s="86" t="str">
        <x:v>Berakhir</x:v>
      </x:c>
      <x:c r="D9" s="75" t="n">
        <x:v>47312</x:v>
      </x:c>
      <x:c r="E9" s="31" t="str">
        <x:v>Status tanggal</x:v>
      </x:c>
      <x:c r="F9" s="32" t="str">
        <x:v>BELUM TERVERIFIKASI</x:v>
      </x:c>
      <x:c r="G9" s="31" t="str">
        <x:v>Sisa hari</x:v>
      </x:c>
      <x:c r="H9" s="32" t="str">
        <x:f>IF(OR(D9="",F9&lt;&gt;"TERVERIFIKASI"),"",D9-F6)</x:f>
      </x:c>
      <x:c r="I9" s="31" t="str">
        <x:v>Tanggal review</x:v>
      </x:c>
      <x:c r="J9" s="75" t="n">
        <x:v>46276</x:v>
      </x:c>
    </x:row>
    <x:row r="10">
      <x:c r="A10"/>
      <x:c r="B10"/>
      <x:c r="C10"/>
      <x:c r="D10"/>
      <x:c r="E10"/>
      <x:c r="F10"/>
      <x:c r="G10"/>
      <x:c r="H10"/>
      <x:c r="I10"/>
      <x:c r="J10"/>
    </x:row>
    <x:row r="11" ht="22" customHeight="1">
      <x:c r="A11" s="18" t="str">
        <x:v>B. PENILAIAN INTI — ENAM INDIKATOR RAP</x:v>
      </x:c>
      <x:c r="B11" s="18" t="str">
        <x:v>B. PENILAIAN INTI — ENAM INDIKATOR RAP</x:v>
      </x:c>
      <x:c r="C11" s="18" t="str">
        <x:v>B. PENILAIAN INTI — ENAM INDIKATOR RAP</x:v>
      </x:c>
      <x:c r="D11" s="18" t="str">
        <x:v>B. PENILAIAN INTI — ENAM INDIKATOR RAP</x:v>
      </x:c>
      <x:c r="E11" s="18" t="str">
        <x:v>B. PENILAIAN INTI — ENAM INDIKATOR RAP</x:v>
      </x:c>
      <x:c r="F11" s="18" t="str">
        <x:v>B. PENILAIAN INTI — ENAM INDIKATOR RAP</x:v>
      </x:c>
      <x:c r="G11" s="18" t="str">
        <x:v>B. PENILAIAN INTI — ENAM INDIKATOR RAP</x:v>
      </x:c>
      <x:c r="H11" s="18" t="str">
        <x:v>B. PENILAIAN INTI — ENAM INDIKATOR RAP</x:v>
      </x:c>
      <x:c r="I11" s="18" t="str">
        <x:v>B. PENILAIAN INTI — ENAM INDIKATOR RAP</x:v>
      </x:c>
      <x:c r="J11" s="18" t="str">
        <x:v>B. PENILAIAN INTI — ENAM INDIKATOR RAP</x:v>
      </x:c>
    </x:row>
    <x:row r="12">
      <x:c r="A12" s="49" t="str">
        <x:v>Kode</x:v>
      </x:c>
      <x:c r="B12" s="49" t="str">
        <x:v>Indikator dan cara memeriksa</x:v>
      </x:c>
      <x:c r="C12" s="49" t="str">
        <x:v>Bobot</x:v>
      </x:c>
      <x:c r="D12" s="49" t="str">
        <x:v>Referensi baseline awal</x:v>
      </x:c>
      <x:c r="E12" s="49" t="str">
        <x:v>Status kecukupan bukti</x:v>
      </x:c>
      <x:c r="F12" s="49" t="str">
        <x:v>Temuan dan lokasi bukti</x:v>
      </x:c>
      <x:c r="G12" s="49" t="str">
        <x:v>Skor 0–4</x:v>
      </x:c>
      <x:c r="H12" s="49" t="str">
        <x:v>Alasan skor</x:v>
      </x:c>
      <x:c r="I12" s="49" t="str">
        <x:v>Nilai</x:v>
      </x:c>
      <x:c r="J12" s="49" t="str">
        <x:v>Cek</x:v>
      </x:c>
    </x:row>
    <x:row r="13">
      <x:c r="A13" s="32" t="str">
        <x:v>I1</x:v>
      </x:c>
      <x:c r="B13" s="32" t="str">
        <x:v>Kelengkapan tata kelola dasar
Cara periksa: Periksa naskah final, nomor/judul/para pihak, status P2MA, arsip resmi, serta PIC internal dan PIC mitra yang tertulis dan masih aktif.</x:v>
      </x:c>
      <x:c r="C13" s="32" t="n">
        <x:v>15</x:v>
      </x:c>
      <x:c r="D13" s="32" t="str">
        <x:f>"Identitas "&amp;'BASELINE BNNP'!F13&amp;"; arsip "&amp;'BASELINE BNNP'!F16&amp;"; P2MA "&amp;'BASELINE BNNP'!F17&amp;"; PIC internal "&amp;'BASELINE BNNP'!F19&amp;"; PIC mitra "&amp;'BASELINE BNNP'!F20&amp;". Update terintegrasi: "&amp;'BASELINE BNNP'!J20</x:f>
        <x:v>Identitas BELUM TERVERIFIKASI; arsip BELUM TERVERIFIKASI; P2MA TERVERIFIKASI; PIC internal BELUM TERVERIFIKASI; PIC mitra BELUM TERVERIFIKASI. Update terintegrasi: Belum ada PIC mitra yang diisi</x:v>
      </x:c>
      <x:c r="E13" s="63" t="str">
        <x:v>BUKTI MEMADAI</x:v>
      </x:c>
      <x:c r="F13" s="63" t="str">
        <x:v>Baseline baris 13–20: naskah/metadata dasar dapat ditelusuri. Status identitas=BELUM TERVERIFIKASI, arsip=BELUM TERVERIFIKASI, P2MA=TERVERIFIKASI, PIC internal=BELUM TERVERIFIKASI, PIC mitra=BELUM TERVERIFIKASI.</x:v>
      </x:c>
      <x:c r="G13" s="63" t="n">
        <x:v>1</x:v>
      </x:c>
      <x:c r="H13" s="63" t="str">
        <x:v>Sesuai skor 1: naskah tersedia, tetapi tata kelola operasional masih terbatas; PIC dua pihak dan/atau bukti penetapan/konfirmasi belum memadai untuk skor yang lebih tinggi.</x:v>
      </x:c>
      <x:c r="I13" s="32" t="n">
        <x:f>IF(AND(E13="BUKTI MEMADAI",COUNT(G13)&gt;0),G13/4*C13,"")</x:f>
        <x:v>3.75</x:v>
      </x:c>
      <x:c r="J13" s="32" t="str">
        <x:f>IF(E13="BELUM DITELAAH","PERIKSA BUKTI",IF(E13="BUKTI MEMADAI",IF(COUNT(G13)=0,"ISI SKOR",IF(F13="","TULIS TEMUAN/BUKTI",IF(H13="","TULIS ALASAN","OK"))),IF(OR(E13="BUKTI BELUM MEMADAI",E13="BELUM DAPAT DINILAI"),IF(COUNT(G13)&gt;0,"HAPUS SKOR","BELUM DIISI"),"PERIKSA STATUS")))</x:f>
        <x:v>OK</x:v>
      </x:c>
    </x:row>
    <x:row r="14">
      <x:c r="A14" s="32" t="str">
        <x:v>I2</x:v>
      </x:c>
      <x:c r="B14" s="32" t="str">
        <x:v>Kejelasan tindak lanjut
Cara periksa: Cari rencana aksi/PKS turunan/matriks kegiatan. Pastikan memuat kegiatan, target atau output, waktu, PIC, dan tenggat serta disepakati para pihak.</x:v>
      </x:c>
      <x:c r="C14" s="32" t="n">
        <x:v>20</x:v>
      </x:c>
      <x:c r="D14" s="32" t="str">
        <x:f>"Rencana tindak lanjut "&amp;'BASELINE BNNP'!F21&amp;". "&amp;'BASELINE BNNP'!J21</x:f>
        <x:v>Rencana tindak lanjut BELUM TERVERIFIKASI. Belum ada usulan tindak lanjut terisi</x:v>
      </x:c>
      <x:c r="E14" s="63" t="str">
        <x:v>BUKTI BELUM MEMADAI</x:v>
      </x:c>
      <x:c r="F14" s="63" t="str">
        <x:v>Baseline baris 21 — Rencana tindak lanjut: BELUM TERVERIFIKASI. Ruang lingkup naskah tersedia, tetapi belum ditemukan rencana aksi atau komitmen operasional yang memuat kegiatan, periode, target, dan PIC.</x:v>
      </x:c>
      <x:c r="G14" s="63"/>
      <x:c r="H14" s="63" t="str">
        <x:v>Belum diberi skor karena informasi 'belum ditemukan/belum tersedia' pada baseline belum selalu membuktikan secara memadai bahwa tindak lanjut memang tidak ada.</x:v>
      </x:c>
      <x:c r="I14" s="32" t="str">
        <x:f>IF(AND(E14="BUKTI MEMADAI",COUNT(G14)&gt;0),G14/4*C14,"")</x:f>
      </x:c>
      <x:c r="J14" s="32" t="str">
        <x:f>IF(E14="BELUM DITELAAH","PERIKSA BUKTI",IF(E14="BUKTI MEMADAI",IF(COUNT(G14)=0,"ISI SKOR",IF(F14="","TULIS TEMUAN/BUKTI",IF(H14="","TULIS ALASAN","OK"))),IF(OR(E14="BUKTI BELUM MEMADAI",E14="BELUM DAPAT DINILAI"),IF(COUNT(G14)&gt;0,"HAPUS SKOR","BELUM DIISI"),"PERIKSA STATUS")))</x:f>
        <x:v>BELUM DIISI</x:v>
      </x:c>
    </x:row>
    <x:row r="15">
      <x:c r="A15" s="32" t="str">
        <x:v>I3</x:v>
      </x:c>
      <x:c r="B15" s="32" t="str">
        <x:v>Realisasi kegiatan terhadap rencana
Cara periksa: Tentukan target yang sudah jatuh tempo. Cocokkan satu per satu dengan bukti realisasi. Target masa depan tidak boleh dianggap tidak tercapai.</x:v>
      </x:c>
      <x:c r="C15" s="32" t="n">
        <x:v>20</x:v>
      </x:c>
      <x:c r="D15" s="32" t="str">
        <x:f>"Pelaksanaan/hasil "&amp;'BASELINE BNNP'!F22&amp;". "&amp;'BASELINE BNNP'!J22</x:f>
        <x:v>Pelaksanaan/hasil BELUM TERVERIFIKASI. Belum ada kegiatan pada sheet pelaksanaan</x:v>
      </x:c>
      <x:c r="E15" s="63" t="str">
        <x:v>BUKTI BELUM MEMADAI</x:v>
      </x:c>
      <x:c r="F15" s="63" t="str">
        <x:v>Baseline baris 22 — Pelaksanaan dan hasil: BELUM TERVERIFIKASI. Status Berlangsung pada P2MA belum membuktikan kegiatan atau output. Laporan pelaksanaan dan data hasil belum diperiksa.</x:v>
      </x:c>
      <x:c r="G15" s="63"/>
      <x:c r="H15" s="63" t="str">
        <x:v>Belum diberi skor karena target yang jatuh tempo dan bukti realisasi belum tersedia atau belum cukup terverifikasi.</x:v>
      </x:c>
      <x:c r="I15" s="32" t="str">
        <x:f>IF(AND(E15="BUKTI MEMADAI",COUNT(G15)&gt;0),G15/4*C15,"")</x:f>
      </x:c>
      <x:c r="J15" s="32" t="str">
        <x:f>IF(E15="BELUM DITELAAH","PERIKSA BUKTI",IF(E15="BUKTI MEMADAI",IF(COUNT(G15)=0,"ISI SKOR",IF(F15="","TULIS TEMUAN/BUKTI",IF(H15="","TULIS ALASAN","OK"))),IF(OR(E15="BUKTI BELUM MEMADAI",E15="BELUM DAPAT DINILAI"),IF(COUNT(G15)&gt;0,"HAPUS SKOR","BELUM DIISI"),"PERIKSA STATUS")))</x:f>
        <x:v>BELUM DIISI</x:v>
      </x:c>
    </x:row>
    <x:row r="16">
      <x:c r="A16" s="32" t="str">
        <x:v>I4</x:v>
      </x:c>
      <x:c r="B16" s="32" t="str">
        <x:v>Kelengkapan dan konsolidasi eviden
Cara periksa: Buka bukti satu per satu. Periksa tanggal, konteks, kaitannya dengan naskah, lokasi penyimpanan resmi, indeks, dan keterlacakan.</x:v>
      </x:c>
      <x:c r="C16" s="32" t="n">
        <x:v>15</x:v>
      </x:c>
      <x:c r="D16" s="32" t="str">
        <x:f>"Eviden implementasi "&amp;'BASELINE BNNP'!F23&amp;". "&amp;'BASELINE BNNP'!J23</x:f>
        <x:v>Eviden implementasi BELUM TERVERIFIKASI. Belum ada keterangan bukti pada sheet pelaksanaan</x:v>
      </x:c>
      <x:c r="E16" s="63" t="str">
        <x:v>BUKTI BELUM MEMADAI</x:v>
      </x:c>
      <x:c r="F16" s="63" t="str">
        <x:v>Baseline baris 23 — Eviden implementasi: BELUM TERVERIFIKASI. Naskah dan entri P2MA tersedia, tetapi folder resmi, indeks, serta bukti implementasi belum diperiksa.</x:v>
      </x:c>
      <x:c r="G16" s="63"/>
      <x:c r="H16" s="63" t="str">
        <x:v>Belum diberi skor karena kelengkapan, konteks, lokasi, indeks, dan keterlacakan eviden belum memadai untuk menentukan skor.</x:v>
      </x:c>
      <x:c r="I16" s="32" t="str">
        <x:f>IF(AND(E16="BUKTI MEMADAI",COUNT(G16)&gt;0),G16/4*C16,"")</x:f>
      </x:c>
      <x:c r="J16" s="32" t="str">
        <x:f>IF(E16="BELUM DITELAAH","PERIKSA BUKTI",IF(E16="BUKTI MEMADAI",IF(COUNT(G16)=0,"ISI SKOR",IF(F16="","TULIS TEMUAN/BUKTI",IF(H16="","TULIS ALASAN","OK"))),IF(OR(E16="BUKTI BELUM MEMADAI",E16="BELUM DAPAT DINILAI"),IF(COUNT(G16)&gt;0,"HAPUS SKOR","BELUM DIISI"),"PERIKSA STATUS")))</x:f>
        <x:v>BELUM DIISI</x:v>
      </x:c>
    </x:row>
    <x:row r="17">
      <x:c r="A17" s="32" t="str">
        <x:v>I5</x:v>
      </x:c>
      <x:c r="B17" s="32" t="str">
        <x:v>Kontribusi terhadap kebutuhan kinerja organisasi
Cara periksa: Minta unit menetapkan target/kebutuhan. Cocokkan keluaran dan hasil dengan target serta data manfaat; jangan menyamakan kegiatan dengan hasil.</x:v>
      </x:c>
      <x:c r="C17" s="32" t="n">
        <x:v>20</x:v>
      </x:c>
      <x:c r="D17" s="32" t="str">
        <x:f>"Pelaksanaan/hasil "&amp;'BASELINE BNNP'!F22&amp;". "&amp;'BASELINE BNNP'!J22</x:f>
        <x:v>Pelaksanaan/hasil BELUM TERVERIFIKASI. Belum ada kegiatan pada sheet pelaksanaan</x:v>
      </x:c>
      <x:c r="E17" s="63" t="str">
        <x:v>BUKTI BELUM MEMADAI</x:v>
      </x:c>
      <x:c r="F17" s="63" t="str">
        <x:v>Baseline baris 22 — Pelaksanaan dan hasil: BELUM TERVERIFIKASI. Status Berlangsung pada P2MA belum membuktikan kegiatan atau output. Laporan pelaksanaan dan data hasil belum diperiksa. Target, output, hasil, dan data manfaat terukur belum tersedia secara lengkap.</x:v>
      </x:c>
      <x:c r="G17" s="63"/>
      <x:c r="H17" s="63" t="str">
        <x:v>Belum diberi skor karena output/hasil belum dapat dibandingkan dengan target organisasi dan data manfaat belum memadai.</x:v>
      </x:c>
      <x:c r="I17" s="32" t="str">
        <x:f>IF(AND(E17="BUKTI MEMADAI",COUNT(G17)&gt;0),G17/4*C17,"")</x:f>
      </x:c>
      <x:c r="J17" s="32" t="str">
        <x:f>IF(E17="BELUM DITELAAH","PERIKSA BUKTI",IF(E17="BUKTI MEMADAI",IF(COUNT(G17)=0,"ISI SKOR",IF(F17="","TULIS TEMUAN/BUKTI",IF(H17="","TULIS ALASAN","OK"))),IF(OR(E17="BUKTI BELUM MEMADAI",E17="BELUM DAPAT DINILAI"),IF(COUNT(G17)&gt;0,"HAPUS SKOR","BELUM DIISI"),"PERIKSA STATUS")))</x:f>
        <x:v>BELUM DIISI</x:v>
      </x:c>
    </x:row>
    <x:row r="18">
      <x:c r="A18" s="32" t="str">
        <x:v>I6</x:v>
      </x:c>
      <x:c r="B18" s="32" t="str">
        <x:v>Keberlanjutan dan risiko
Cara periksa: Periksa masa berlaku, aktivitas terakhir, risiko, dampak, PIC, mitigasi, pemantauan, dan kejelasan keputusan lanjut/perpanjang/evaluasi/akhiri.</x:v>
      </x:c>
      <x:c r="C18" s="32" t="n">
        <x:v>10</x:v>
      </x:c>
      <x:c r="D18" s="32" t="str">
        <x:f>"Masa berlaku "&amp;'BASELINE BNNP'!F14&amp;"; PIC internal "&amp;'BASELINE BNNP'!F19&amp;"; PIC mitra "&amp;'BASELINE BNNP'!F20&amp;"; hambatan/gap "&amp;'BASELINE BNNP'!F24&amp;". "&amp;'BASELINE BNNP'!J24</x:f>
        <x:v>Masa berlaku BELUM TERVERIFIKASI; PIC internal BELUM TERVERIFIKASI; PIC mitra BELUM TERVERIFIKASI; hambatan/gap BELUM TERVERIFIKASI. Belum ada kendala/catatan pada sheet pelaksanaan</x:v>
      </x:c>
      <x:c r="E18" s="63" t="str">
        <x:v>BUKTI BELUM MEMADAI</x:v>
      </x:c>
      <x:c r="F18" s="63" t="str">
        <x:v>Masa berlaku BELUM TERVERIFIKASI. PIC internal BELUM TERVERIFIKASI; PIC mitra BELUM TERVERIFIKASI; rencana tindak lanjut BELUM TERVERIFIKASI; hambatan/gap BELUM TERVERIFIKASI. Hambatan operasional belum dikonfirmasi. Gap verifikasi sementara mencakup arsip internal, unit pengampu, PIC, rencana tindak lanjut, pelaksanaan, dan eviden. Tanggal berakhir berbeda satu hari antara data awal dan P2MA publik.</x:v>
      </x:c>
      <x:c r="G18" s="63"/>
      <x:c r="H18" s="63" t="str">
        <x:v>Belum diberi skor karena risiko, dampak, mitigasi, pemantauan, dan keputusan keberlanjutan belum dinilai dengan bukti yang memadai.</x:v>
      </x:c>
      <x:c r="I18" s="32" t="str">
        <x:f>IF(AND(E18="BUKTI MEMADAI",COUNT(G18)&gt;0),G18/4*C18,"")</x:f>
      </x:c>
      <x:c r="J18" s="32" t="str">
        <x:f>IF(E18="BELUM DITELAAH","PERIKSA BUKTI",IF(E18="BUKTI MEMADAI",IF(COUNT(G18)=0,"ISI SKOR",IF(F18="","TULIS TEMUAN/BUKTI",IF(H18="","TULIS ALASAN","OK"))),IF(OR(E18="BUKTI BELUM MEMADAI",E18="BELUM DAPAT DINILAI"),IF(COUNT(G18)&gt;0,"HAPUS SKOR","BELUM DIISI"),"PERIKSA STATUS")))</x:f>
        <x:v>BELUM DIISI</x:v>
      </x:c>
    </x:row>
    <x:row r="19">
      <x:c r="A19"/>
      <x:c r="B19"/>
      <x:c r="C19"/>
      <x:c r="D19"/>
      <x:c r="E19"/>
      <x:c r="F19"/>
      <x:c r="G19"/>
      <x:c r="H19"/>
      <x:c r="I19"/>
      <x:c r="J19"/>
    </x:row>
    <x:row r="20" ht="22" customHeight="1">
      <x:c r="A20" s="18" t="str">
        <x:v>C. RINGKASAN NILAI DAN VALIDASI</x:v>
      </x:c>
      <x:c r="B20" s="18" t="str">
        <x:v>C. RINGKASAN NILAI DAN VALIDASI</x:v>
      </x:c>
      <x:c r="C20" s="18" t="str">
        <x:v>C. RINGKASAN NILAI DAN VALIDASI</x:v>
      </x:c>
      <x:c r="D20" s="18" t="str">
        <x:v>C. RINGKASAN NILAI DAN VALIDASI</x:v>
      </x:c>
      <x:c r="E20" s="18" t="str">
        <x:v>C. RINGKASAN NILAI DAN VALIDASI</x:v>
      </x:c>
      <x:c r="F20" s="18" t="str">
        <x:v>C. RINGKASAN NILAI DAN VALIDASI</x:v>
      </x:c>
      <x:c r="G20" s="18" t="str">
        <x:v>C. RINGKASAN NILAI DAN VALIDASI</x:v>
      </x:c>
      <x:c r="H20" s="18" t="str">
        <x:v>C. RINGKASAN NILAI DAN VALIDASI</x:v>
      </x:c>
      <x:c r="I20" s="18" t="str">
        <x:v>C. RINGKASAN NILAI DAN VALIDASI</x:v>
      </x:c>
      <x:c r="J20" s="18" t="str">
        <x:v>C. RINGKASAN NILAI DAN VALIDASI</x:v>
      </x:c>
    </x:row>
    <x:row r="21">
      <x:c r="A21" s="32" t="str">
        <x:v>Nilai berjalan</x:v>
      </x:c>
      <x:c r="B21" s="35" t="n">
        <x:f>SUM(I13:I18)</x:f>
        <x:v>3.75</x:v>
      </x:c>
      <x:c r="C21" s="32" t="str">
        <x:v>Kelengkapan</x:v>
      </x:c>
      <x:c r="D21" s="37" t="n">
        <x:f>COUNT(G13:G18)/6</x:f>
        <x:v>0.16666666666666666</x:v>
      </x:c>
      <x:c r="E21" s="32" t="str">
        <x:v>Kategori</x:v>
      </x:c>
      <x:c r="F21" s="32" t="str">
        <x:f>IF(D21&lt;1,"BELUM LENGKAP",IF(B21&gt;=75,"PRODUKTIF",IF(B21&gt;=50,"BERJALAN",IF(B21&gt;=25,"PERLU AKTIVASI","KRITIS"))))</x:f>
        <x:v>BELUM LENGKAP</x:v>
      </x:c>
      <x:c r="G21" s="32" t="str">
        <x:v>Status Scorecard</x:v>
      </x:c>
      <x:c r="H21" s="32" t="str">
        <x:f>IF(D21&lt;1,"BELUM LENGKAP",IF(B22="DISETUJUI","FINAL/TERVALIDASI","SIAP DIVALIDASI"))</x:f>
        <x:v>BELUM LENGKAP</x:v>
      </x:c>
      <x:c r="I21" s="32"/>
      <x:c r="J21" s="32"/>
    </x:row>
    <x:row r="22">
      <x:c r="A22" s="32" t="str">
        <x:v>Validasi unit</x:v>
      </x:c>
      <x:c r="B22" s="63" t="str">
        <x:v>BELUM</x:v>
      </x:c>
      <x:c r="C22" s="63" t="str">
        <x:v>Validator</x:v>
      </x:c>
      <x:c r="D22" s="63"/>
      <x:c r="E22" s="32"/>
      <x:c r="F22" s="32" t="str">
        <x:v>Tanggal validasi</x:v>
      </x:c>
      <x:c r="G22" s="63"/>
      <x:c r="H22" s="63" t="str">
        <x:v>Catatan validator</x:v>
      </x:c>
      <x:c r="I22" s="63"/>
      <x:c r="J22" s="63"/>
    </x:row>
    <x:row r="23">
      <x:c r="A23"/>
      <x:c r="B23"/>
      <x:c r="C23"/>
      <x:c r="D23"/>
      <x:c r="E23"/>
      <x:c r="F23"/>
      <x:c r="G23"/>
      <x:c r="H23"/>
      <x:c r="I23"/>
      <x:c r="J23"/>
    </x:row>
    <x:row r="24">
      <x:c r="A24" t="str">
        <x:v>D. EARLY WARNING — TIDAK DITENTUKAN OLEH NILAI SCORECARD</x:v>
      </x:c>
      <x:c r="B24" t="str">
        <x:v>D. EARLY WARNING — TIDAK DITENTUKAN OLEH NILAI SCORECARD</x:v>
      </x:c>
      <x:c r="C24" t="str">
        <x:v>D. EARLY WARNING — TIDAK DITENTUKAN OLEH NILAI SCORECARD</x:v>
      </x:c>
      <x:c r="D24" t="str">
        <x:v>D. EARLY WARNING — TIDAK DITENTUKAN OLEH NILAI SCORECARD</x:v>
      </x:c>
      <x:c r="E24" t="str">
        <x:v>D. EARLY WARNING — TIDAK DITENTUKAN OLEH NILAI SCORECARD</x:v>
      </x:c>
      <x:c r="F24" t="str">
        <x:v>D. EARLY WARNING — TIDAK DITENTUKAN OLEH NILAI SCORECARD</x:v>
      </x:c>
      <x:c r="G24" t="str">
        <x:v>D. EARLY WARNING — TIDAK DITENTUKAN OLEH NILAI SCORECARD</x:v>
      </x:c>
      <x:c r="H24" t="str">
        <x:v>D. EARLY WARNING — TIDAK DITENTUKAN OLEH NILAI SCORECARD</x:v>
      </x:c>
      <x:c r="I24" t="str">
        <x:v>D. EARLY WARNING — TIDAK DITENTUKAN OLEH NILAI SCORECARD</x:v>
      </x:c>
      <x:c r="J24" t="str">
        <x:v>D. EARLY WARNING — TIDAK DITENTUKAN OLEH NILAI SCORECARD</x:v>
      </x:c>
    </x:row>
    <x:row r="25" ht="22" customHeight="1">
      <x:c r="A25" s="18" t="str">
        <x:v>Isi kondisi, fakta, tindakan, PIC, dan tenggat. Masa berlaku dihitung otomati...</x:v>
      </x:c>
      <x:c r="B25" s="18" t="str">
        <x:v>Isi kondisi, fakta, tindakan, PIC, dan tenggat. Masa berlaku dihitung otomati...</x:v>
      </x:c>
      <x:c r="C25" s="18" t="str">
        <x:v>Isi kondisi, fakta, tindakan, PIC, dan tenggat. Masa berlaku dihitung otomati...</x:v>
      </x:c>
      <x:c r="D25" s="18" t="str">
        <x:v>Isi kondisi, fakta, tindakan, PIC, dan tenggat. Masa berlaku dihitung otomati...</x:v>
      </x:c>
      <x:c r="E25" s="18" t="str">
        <x:v>Isi kondisi, fakta, tindakan, PIC, dan tenggat. Masa berlaku dihitung otomati...</x:v>
      </x:c>
      <x:c r="F25" s="18" t="str">
        <x:v>Isi kondisi, fakta, tindakan, PIC, dan tenggat. Masa berlaku dihitung otomati...</x:v>
      </x:c>
      <x:c r="G25" s="18" t="str">
        <x:v>Isi kondisi, fakta, tindakan, PIC, dan tenggat. Masa berlaku dihitung otomati...</x:v>
      </x:c>
      <x:c r="H25" s="18" t="str">
        <x:v>Isi kondisi, fakta, tindakan, PIC, dan tenggat. Masa berlaku dihitung otomati...</x:v>
      </x:c>
      <x:c r="I25" s="18" t="str">
        <x:v>Isi kondisi, fakta, tindakan, PIC, dan tenggat. Masa berlaku dihitung otomati...</x:v>
      </x:c>
      <x:c r="J25" s="18" t="str">
        <x:v>Isi kondisi, fakta, tindakan, PIC, dan tenggat. Masa berlaku dihitung otomati...</x:v>
      </x:c>
    </x:row>
    <x:row r="26">
      <x:c r="A26" s="49" t="str">
        <x:v>No</x:v>
      </x:c>
      <x:c r="B26" s="49" t="str">
        <x:v>Dimensi</x:v>
      </x:c>
      <x:c r="C26" s="49" t="str">
        <x:v>Kondisi</x:v>
      </x:c>
      <x:c r="D26" s="49" t="str">
        <x:v>Status</x:v>
      </x:c>
      <x:c r="E26" s="49" t="str">
        <x:v>Fakta/bukti</x:v>
      </x:c>
      <x:c r="F26" s="49" t="str">
        <x:v>Tindakan</x:v>
      </x:c>
      <x:c r="G26" s="49" t="str">
        <x:v>PIC</x:v>
      </x:c>
      <x:c r="H26" s="49" t="str">
        <x:v>Tenggat</x:v>
      </x:c>
      <x:c r="I26" s="49" t="str">
        <x:v>Progres</x:v>
      </x:c>
      <x:c r="J26" s="49" t="str">
        <x:v>Cek</x:v>
      </x:c>
    </x:row>
    <x:row r="27">
      <x:c r="A27" s="32" t="n">
        <x:v>1</x:v>
      </x:c>
      <x:c r="B27" s="32" t="str">
        <x:v>Masa berlaku</x:v>
      </x:c>
      <x:c r="C27" s="32" t="str">
        <x:f>IF(F9&lt;&gt;"TERVERIFIKASI","BELUM DAPAT DIPASTIKAN",IF(H9&lt;0,"SUDAH BERAKHIR",IF(H9&lt;=30,"H-30",IF(H9&lt;=90,"H-90",IF(H9&lt;=180,"H-180","&gt; H-180")))))</x:f>
        <x:v>BELUM DAPAT DIPASTIKAN</x:v>
      </x:c>
      <x:c r="D27" s="32" t="str">
        <x:f>IF(C27="BELUM DAPAT DIPASTIKAN","V0 - DATA BELUM CUKUP",IF(OR(C27="SUDAH BERAKHIR",C27="H-30"),"E3 - MERAH",IF(C27="H-90","E2 - JINGGA",IF(C27="H-180","E1 - KUNING","E0 - HIJAU"))))</x:f>
        <x:v>V0 - DATA BELUM CUKUP</x:v>
      </x:c>
      <x:c r="E27" s="32" t="str">
        <x:f>'BASELINE BNNP'!G14</x:f>
        <x:v>P2MA publik menampilkan mulai 13 Juli 2026 dan berakhir 12 Juli 2029. Data awal pada matriks/format mencantumkan akhir 13 Juli 2029, sehingga terdapat selisih satu hari.</x:v>
      </x:c>
      <x:c r="F27" s="63" t="str">
        <x:v>Cocokkan tanggal dengan klausul jangka waktu pada naskah final.</x:v>
      </x:c>
      <x:c r="G27" s="63" t="str">
        <x:v>Pemeriksa naskah</x:v>
      </x:c>
      <x:c r="H27" s="63"/>
      <x:c r="I27" s="63" t="str">
        <x:v>BELUM MULAI</x:v>
      </x:c>
      <x:c r="J27" s="32" t="str">
        <x:f>IF(D27="V0 - DATA BELUM CUKUP","LENGKAPI DATA",IF(OR(D27="E1 - KUNING",D27="E2 - JINGGA",D27="E3 - MERAH"),IF(OR(F27="",G27="",H27=""),"LENGKAPI TINDAKAN","OK"),"OK"))</x:f>
        <x:v>LENGKAPI DATA</x:v>
      </x:c>
    </x:row>
    <x:row r="28">
      <x:c r="A28" s="32" t="n">
        <x:v>2</x:v>
      </x:c>
      <x:c r="B28" s="32" t="str">
        <x:v>Aktivitas/tenggat</x:v>
      </x:c>
      <x:c r="C28" s="32" t="str">
        <x:f>IF((IF('PELAKSANAAN KEGIATAN'!B7&lt;&gt;"",1,0)+IF('PELAKSANAAN KEGIATAN'!B8&lt;&gt;"",1,0)+IF('PELAKSANAAN KEGIATAN'!B9&lt;&gt;"",1,0)+IF('PELAKSANAAN KEGIATAN'!B10&lt;&gt;"",1,0)+IF('PELAKSANAAN KEGIATAN'!B11&lt;&gt;"",1,0)+IF('PELAKSANAAN KEGIATAN'!B12&lt;&gt;"",1,0))=0,"BELUM DIPERIKSA","ADA DATA KEGIATAN - PERLU VERIFIKASI")</x:f>
        <x:v>BELUM DIPERIKSA</x:v>
      </x:c>
      <x:c r="D28" s="32" t="str">
        <x:f>"V0 - DATA BELUM CUKUP"</x:f>
        <x:v>V0 - DATA BELUM CUKUP</x:v>
      </x:c>
      <x:c r="E28" s="32" t="str">
        <x:f>'BASELINE BNNP'!J22</x:f>
        <x:v>Belum ada kegiatan pada sheet pelaksanaan</x:v>
      </x:c>
      <x:c r="F28" s="63"/>
      <x:c r="G28" s="63"/>
      <x:c r="H28" s="63"/>
      <x:c r="I28" s="63" t="str">
        <x:v>BELUM MULAI</x:v>
      </x:c>
      <x:c r="J28" s="32" t="str">
        <x:f>IF(D28="V0 - DATA BELUM CUKUP","LENGKAPI DATA",IF(OR(D28="E1 - KUNING",D28="E2 - JINGGA",D28="E3 - MERAH"),IF(OR(F28="",G28="",H28=""),"LENGKAPI TINDAKAN","OK"),"OK"))</x:f>
        <x:v>LENGKAPI DATA</x:v>
      </x:c>
    </x:row>
    <x:row r="29">
      <x:c r="A29" s="32" t="n">
        <x:v>3</x:v>
      </x:c>
      <x:c r="B29" s="32" t="str">
        <x:v>Data/eviden</x:v>
      </x:c>
      <x:c r="C29" s="32" t="str">
        <x:f>IF((IF('PELAKSANAAN KEGIATAN'!E7&lt;&gt;"",1,0)+IF('PELAKSANAAN KEGIATAN'!E8&lt;&gt;"",1,0)+IF('PELAKSANAAN KEGIATAN'!E9&lt;&gt;"",1,0)+IF('PELAKSANAAN KEGIATAN'!E10&lt;&gt;"",1,0)+IF('PELAKSANAAN KEGIATAN'!E11&lt;&gt;"",1,0)+IF('PELAKSANAAN KEGIATAN'!E12&lt;&gt;"",1,0))=0,"BELUM DIPERIKSA","ADA KETERANGAN BUKTI - PERLU VERIFIKASI")</x:f>
        <x:v>BELUM DIPERIKSA</x:v>
      </x:c>
      <x:c r="D29" s="32" t="str">
        <x:f>"V0 - DATA BELUM CUKUP"</x:f>
        <x:v>V0 - DATA BELUM CUKUP</x:v>
      </x:c>
      <x:c r="E29" s="32" t="str">
        <x:f>'BASELINE BNNP'!J23</x:f>
        <x:v>Belum ada keterangan bukti pada sheet pelaksanaan</x:v>
      </x:c>
      <x:c r="F29" s="63"/>
      <x:c r="G29" s="63"/>
      <x:c r="H29" s="63"/>
      <x:c r="I29" s="63" t="str">
        <x:v>BELUM MULAI</x:v>
      </x:c>
      <x:c r="J29" s="32" t="str">
        <x:f>IF(D29="V0 - DATA BELUM CUKUP","LENGKAPI DATA",IF(OR(D29="E1 - KUNING",D29="E2 - JINGGA",D29="E3 - MERAH"),IF(OR(F29="",G29="",H29=""),"LENGKAPI TINDAKAN","OK"),"OK"))</x:f>
        <x:v>LENGKAPI DATA</x:v>
      </x:c>
    </x:row>
    <x:row r="30">
      <x:c r="A30" s="32" t="n">
        <x:v>4</x:v>
      </x:c>
      <x:c r="B30" s="32" t="str">
        <x:v>PIC</x:v>
      </x:c>
      <x:c r="C30" s="32" t="str">
        <x:f>IF(OR('IDENTITAS &amp; PIC'!C11="",LEFT('IDENTITAS &amp; PIC'!C11,1)="&lt;"),"BELUM DIPERIKSA",IF('BASELINE BNNP'!F19="TERVERIFIKASI","PIC DUA PIHAK TERSEDIA","PIC MITRA TERSEDIA; INTERNAL PERLU KONFIRMASI"))</x:f>
        <x:v>BELUM DIPERIKSA</x:v>
      </x:c>
      <x:c r="D30" s="32" t="str">
        <x:f>IF(C30="PIC DUA PIHAK TERSEDIA","E0 - HIJAU","V0 - DATA BELUM CUKUP")</x:f>
        <x:v>V0 - DATA BELUM CUKUP</x:v>
      </x:c>
      <x:c r="E30" s="32" t="str">
        <x:f>'BASELINE BNNP'!J20</x:f>
        <x:v>Belum ada PIC mitra yang diisi</x:v>
      </x:c>
      <x:c r="F30" s="63"/>
      <x:c r="G30" s="63"/>
      <x:c r="H30" s="63"/>
      <x:c r="I30" s="63" t="str">
        <x:v>BELUM MULAI</x:v>
      </x:c>
      <x:c r="J30" s="32" t="str">
        <x:f>IF(D30="V0 - DATA BELUM CUKUP","LENGKAPI DATA",IF(OR(D30="E1 - KUNING",D30="E2 - JINGGA",D30="E3 - MERAH"),IF(OR(F30="",G30="",H30=""),"LENGKAPI TINDAKAN","OK"),"OK"))</x:f>
        <x:v>LENGKAPI DATA</x:v>
      </x:c>
    </x:row>
    <x:row r="31">
      <x:c r="A31"/>
      <x:c r="B31"/>
      <x:c r="C31"/>
      <x:c r="D31"/>
      <x:c r="E31"/>
      <x:c r="F31"/>
      <x:c r="G31"/>
      <x:c r="H31"/>
      <x:c r="I31"/>
      <x:c r="J31"/>
    </x:row>
    <x:row r="32">
      <x:c r="A32" s="32" t="str">
        <x:v>Warning tertinggi</x:v>
      </x:c>
      <x:c r="B32" s="32" t="str">
        <x:f>IF(OR(D27="E3 - MERAH",D28="E3 - MERAH",D29="E3 - MERAH",D30="E3 - MERAH"),"E3 - MERAH",IF(OR(D27="E2 - JINGGA",D28="E2 - JINGGA",D29="E2 - JINGGA",D30="E2 - JINGGA"),"E2 - JINGGA",IF(OR(D27="E1 - KUNING",D28="E1 - KUNING",D29="E1 - KUNING",D30="E1 - KUNING"),"E1 - KUNING",IF(OR(D27="V0 - DATA BELUM CUKUP",D28="V0 - DATA BELUM CUKUP",D29="V0 - DATA BELUM CUKUP",D30="V0 - DATA BELUM CUKUP"),"V0 - DATA BELUM CUKUP","E0 - HIJAU"))))</x:f>
        <x:v>V0 - DATA BELUM CUKUP</x:v>
      </x:c>
      <x:c r="C32" s="32" t="str">
        <x:v>Tingkat penanganan</x:v>
      </x:c>
      <x:c r="D32" s="32" t="str">
        <x:f>IF(B32="E3 - MERAH","PERLU KOORDINASI PROJECT LEADER",IF(OR(B32="E2 - JINGGA",B32="E1 - KUNING"),"DITANGANI PIC/UNIT",IF(B32="V0 - DATA BELUM CUKUP","LENGKAPI DATA","MONITORING RUTIN")))</x:f>
        <x:v>LENGKAPI DATA</x:v>
      </x:c>
      <x:c r="E32"/>
      <x:c r="F32"/>
      <x:c r="G32"/>
      <x:c r="H32"/>
      <x:c r="I32"/>
      <x:c r="J32"/>
    </x:row>
    <x:row r="33">
      <x:c r="A33"/>
      <x:c r="B33"/>
      <x:c r="C33"/>
      <x:c r="D33"/>
      <x:c r="E33"/>
      <x:c r="F33"/>
      <x:c r="G33"/>
      <x:c r="H33"/>
      <x:c r="I33"/>
      <x:c r="J33"/>
    </x:row>
    <x:row r="34">
      <x:c r="A34" t="str">
        <x:v>E. UJI KEBUTUHAN INTERVENSI PIMPINAN</x:v>
      </x:c>
      <x:c r="B34" t="str">
        <x:v>E. UJI KEBUTUHAN INTERVENSI PIMPINAN</x:v>
      </x:c>
      <x:c r="C34" t="str">
        <x:v>E. UJI KEBUTUHAN INTERVENSI PIMPINAN</x:v>
      </x:c>
      <x:c r="D34" t="str">
        <x:v>E. UJI KEBUTUHAN INTERVENSI PIMPINAN</x:v>
      </x:c>
      <x:c r="E34" t="str">
        <x:v>E. UJI KEBUTUHAN INTERVENSI PIMPINAN</x:v>
      </x:c>
      <x:c r="F34" t="str">
        <x:v>E. UJI KEBUTUHAN INTERVENSI PIMPINAN</x:v>
      </x:c>
      <x:c r="G34" t="str">
        <x:v>E. UJI KEBUTUHAN INTERVENSI PIMPINAN</x:v>
      </x:c>
      <x:c r="H34" t="str">
        <x:v>E. UJI KEBUTUHAN INTERVENSI PIMPINAN</x:v>
      </x:c>
      <x:c r="I34" t="str">
        <x:v>E. UJI KEBUTUHAN INTERVENSI PIMPINAN</x:v>
      </x:c>
      <x:c r="J34" t="str">
        <x:v>E. UJI KEBUTUHAN INTERVENSI PIMPINAN</x:v>
      </x:c>
    </x:row>
    <x:row r="35" ht="22" customHeight="1">
      <x:c r="A35" s="18" t="str">
        <x:v>Jawab YA hanya jika kondisi benar-benar terjadi dan berada di luar kewenangan...</x:v>
      </x:c>
      <x:c r="B35" s="18" t="str">
        <x:v>Jawab YA hanya jika kondisi benar-benar terjadi dan berada di luar kewenangan...</x:v>
      </x:c>
      <x:c r="C35" s="18" t="str">
        <x:v>Jawab YA hanya jika kondisi benar-benar terjadi dan berada di luar kewenangan...</x:v>
      </x:c>
      <x:c r="D35" s="18" t="str">
        <x:v>Jawab YA hanya jika kondisi benar-benar terjadi dan berada di luar kewenangan...</x:v>
      </x:c>
      <x:c r="E35" s="18" t="str">
        <x:v>Jawab YA hanya jika kondisi benar-benar terjadi dan berada di luar kewenangan...</x:v>
      </x:c>
      <x:c r="F35" s="18" t="str">
        <x:v>Jawab YA hanya jika kondisi benar-benar terjadi dan berada di luar kewenangan...</x:v>
      </x:c>
      <x:c r="G35" s="18" t="str">
        <x:v>Jawab YA hanya jika kondisi benar-benar terjadi dan berada di luar kewenangan...</x:v>
      </x:c>
      <x:c r="H35" s="18" t="str">
        <x:v>Jawab YA hanya jika kondisi benar-benar terjadi dan berada di luar kewenangan...</x:v>
      </x:c>
      <x:c r="I35" s="18" t="str">
        <x:v>Jawab YA hanya jika kondisi benar-benar terjadi dan berada di luar kewenangan...</x:v>
      </x:c>
      <x:c r="J35" s="18" t="str">
        <x:v>Jawab YA hanya jika kondisi benar-benar terjadi dan berada di luar kewenangan...</x:v>
      </x:c>
    </x:row>
    <x:row r="36">
      <x:c r="A36" s="49" t="str">
        <x:v>No</x:v>
      </x:c>
      <x:c r="B36" s="49" t="str">
        <x:v>Pemicu</x:v>
      </x:c>
      <x:c r="C36" s="49" t="str">
        <x:v>Ada?</x:v>
      </x:c>
      <x:c r="D36" s="49" t="str">
        <x:v>Bukti/alasan</x:v>
      </x:c>
      <x:c r="E36"/>
      <x:c r="F36"/>
      <x:c r="G36"/>
      <x:c r="H36"/>
      <x:c r="I36"/>
      <x:c r="J36"/>
    </x:row>
    <x:row r="37">
      <x:c r="A37" s="32" t="n">
        <x:v>1</x:v>
      </x:c>
      <x:c r="B37" s="32" t="str">
        <x:v>Perlu keputusan perpanjangan/addendum/evaluasi/pengakhiran</x:v>
      </x:c>
      <x:c r="C37" s="63" t="str">
        <x:v>BELUM DIPASTIKAN</x:v>
      </x:c>
      <x:c r="D37" s="63"/>
      <x:c r="E37"/>
      <x:c r="F37"/>
      <x:c r="G37"/>
      <x:c r="H37"/>
      <x:c r="I37"/>
      <x:c r="J37"/>
    </x:row>
    <x:row r="38">
      <x:c r="A38" s="32" t="n">
        <x:v>2</x:v>
      </x:c>
      <x:c r="B38" s="32" t="str">
        <x:v>Hambatan lintas unit di luar kewenangan PIC/unit</x:v>
      </x:c>
      <x:c r="C38" s="63" t="str">
        <x:v>BELUM DIPASTIKAN</x:v>
      </x:c>
      <x:c r="D38" s="63"/>
      <x:c r="E38"/>
      <x:c r="F38"/>
      <x:c r="G38"/>
      <x:c r="H38"/>
      <x:c r="I38"/>
      <x:c r="J38"/>
    </x:row>
    <x:row r="39">
      <x:c r="A39" s="32" t="n">
        <x:v>3</x:v>
      </x:c>
      <x:c r="B39" s="32" t="str">
        <x:v>Butuh anggaran/SDM/fasilitas di luar kewenangan unit</x:v>
      </x:c>
      <x:c r="C39" s="63" t="str">
        <x:v>BELUM DIPASTIKAN</x:v>
      </x:c>
      <x:c r="D39" s="63"/>
      <x:c r="E39"/>
      <x:c r="F39"/>
      <x:c r="G39"/>
      <x:c r="H39"/>
      <x:c r="I39"/>
      <x:c r="J39"/>
    </x:row>
    <x:row r="40">
      <x:c r="A40" s="32" t="n">
        <x:v>4</x:v>
      </x:c>
      <x:c r="B40" s="32" t="str">
        <x:v>Komitmen material mitra tidak dipenuhi</x:v>
      </x:c>
      <x:c r="C40" s="63" t="str">
        <x:v>BELUM DIPASTIKAN</x:v>
      </x:c>
      <x:c r="D40" s="63"/>
      <x:c r="E40"/>
      <x:c r="F40"/>
      <x:c r="G40"/>
      <x:c r="H40"/>
      <x:c r="I40"/>
      <x:c r="J40"/>
    </x:row>
    <x:row r="41">
      <x:c r="A41" s="32" t="n">
        <x:v>5</x:v>
      </x:c>
      <x:c r="B41" s="32" t="str">
        <x:v>Ada risiko hukum, reputasi, atau strategis yang material</x:v>
      </x:c>
      <x:c r="C41" s="63" t="str">
        <x:v>BELUM DIPASTIKAN</x:v>
      </x:c>
      <x:c r="D41" s="63"/>
      <x:c r="E41"/>
      <x:c r="F41"/>
      <x:c r="G41"/>
      <x:c r="H41"/>
      <x:c r="I41"/>
      <x:c r="J41"/>
    </x:row>
    <x:row r="42">
      <x:c r="A42"/>
      <x:c r="B42"/>
      <x:c r="C42"/>
      <x:c r="D42"/>
      <x:c r="E42"/>
      <x:c r="F42"/>
      <x:c r="G42"/>
      <x:c r="H42"/>
      <x:c r="I42"/>
      <x:c r="J42"/>
    </x:row>
    <x:row r="43">
      <x:c r="A43" s="32" t="str">
        <x:v>Hasil uji</x:v>
      </x:c>
      <x:c r="B43" s="32" t="str">
        <x:f>IF(OR(C37="BELUM DIPASTIKAN",C38="BELUM DIPASTIKAN",C39="BELUM DIPASTIKAN",C40="BELUM DIPASTIKAN",C41="BELUM DIPASTIKAN"),"LENGKAPI UJI INTERVENSI",IF(OR(C37="YA",C38="YA",C39="YA",C40="YA",C41="YA"),"PERLU INTERVENSI PIMPINAN","DITANGANI PIC/UNIT"))</x:f>
        <x:v>LENGKAPI UJI INTERVENSI</x:v>
      </x:c>
      <x:c r="C43"/>
      <x:c r="D43"/>
      <x:c r="E43"/>
      <x:c r="F43"/>
      <x:c r="G43"/>
      <x:c r="H43"/>
      <x:c r="I43"/>
      <x:c r="J43"/>
    </x:row>
    <x:row r="44">
      <x:c r="A44" s="32" t="str">
        <x:v>Upaya yang sudah dilakukan</x:v>
      </x:c>
      <x:c r="B44" s="63" t="str">
        <x:v>Upaya yang sudah dilakukan</x:v>
      </x:c>
      <x:c r="C44" t="str">
        <x:v>Upaya yang sudah dilakukan</x:v>
      </x:c>
      <x:c r="D44"/>
      <x:c r="E44"/>
      <x:c r="F44"/>
      <x:c r="G44"/>
      <x:c r="H44"/>
      <x:c r="I44"/>
      <x:c r="J44"/>
    </x:row>
    <x:row r="45">
      <x:c r="A45" s="32" t="str">
        <x:v>Keputusan spesifik yang diminta</x:v>
      </x:c>
      <x:c r="B45" s="63" t="str">
        <x:v>Keputusan spesifik yang diminta</x:v>
      </x:c>
      <x:c r="C45" t="str">
        <x:v>Keputusan spesifik yang diminta</x:v>
      </x:c>
      <x:c r="D45"/>
      <x:c r="E45"/>
      <x:c r="F45"/>
      <x:c r="G45"/>
      <x:c r="H45"/>
      <x:c r="I45"/>
      <x:c r="J45"/>
    </x:row>
    <x:row r="46">
      <x:c r="A46" s="32" t="str">
        <x:v>Cek usulan</x:v>
      </x:c>
      <x:c r="B46" s="32" t="str">
        <x:f>IF(B43="LENGKAPI UJI INTERVENSI","LENGKAPI UJI INTERVENSI",IF(B43="PERLU INTERVENSI PIMPINAN",IF(OR(B44="",B45=""),"LENGKAPI USULAN","SIAP DIBAWA KE FORUM"),"TIDAK PERLU USULAN PIMPINAN"))</x:f>
        <x:v>LENGKAPI UJI INTERVENSI</x:v>
      </x:c>
      <x:c r="C46" t="str">
        <x:v>Cek usulan</x:v>
      </x:c>
      <x:c r="D46" t="str">
        <x:f>IF(B43="LENGKAPI UJI INTERVENSI","LENGKAPI UJI INTERVENSI",IF(B43="PERLU INTERVENSI PIMPINAN",IF(OR(B44="",B45=""),"LENGKAPI USULAN","SIAP DIBAWA KE FORUM"),"TIDAK PERLU USULAN PIMPINAN"))</x:f>
        <x:v>LENGKAPI UJI INTERVENSI</x:v>
      </x:c>
      <x:c r="E46"/>
      <x:c r="F46"/>
      <x:c r="G46"/>
      <x:c r="H46"/>
      <x:c r="I46"/>
      <x:c r="J46"/>
    </x:row>
    <x:row r="47">
      <x:c r="A47"/>
      <x:c r="B47"/>
      <x:c r="C47"/>
      <x:c r="D47"/>
      <x:c r="E47"/>
      <x:c r="F47"/>
      <x:c r="G47"/>
      <x:c r="H47"/>
      <x:c r="I47"/>
      <x:c r="J47"/>
    </x:row>
    <x:row r="48">
      <x:c r="A48" s="53" t="str">
        <x:v>Pengingat: nilai, early warning, dan kebutuhan intervensi pimpinan adalah tig...</x:v>
      </x:c>
      <x:c r="B48" s="53"/>
      <x:c r="C48" s="53"/>
      <x:c r="D48" s="53"/>
      <x:c r="E48" s="53"/>
      <x:c r="F48" s="53"/>
      <x:c r="G48" s="53"/>
      <x:c r="H48" s="53"/>
      <x:c r="I48" s="53"/>
      <x:c r="J48" s="53"/>
    </x:row>
  </x:sheetData>
  <x:mergeCells>
    <x:mergeCell ref="A1:J1"/>
    <x:mergeCell ref="A2:J2"/>
    <x:mergeCell ref="A5:J5"/>
    <x:mergeCell ref="B8:J8"/>
    <x:mergeCell ref="A11:J11"/>
    <x:mergeCell ref="A20:J20"/>
    <x:mergeCell ref="A25:J25"/>
    <x:mergeCell ref="A35:J35"/>
    <x:mergeCell ref="A48:J48"/>
  </x:mergeCells>
  <x:conditionalFormatting sqref="J13:J18">
    <x:cfRule type="expression" dxfId="0" priority="1">
      <x:formula>J13="OK"</x:formula>
    </x:cfRule>
    <x:cfRule type="expression" dxfId="1" priority="2">
      <x:formula>J13&lt;&gt;"OK"</x:formula>
    </x:cfRule>
  </x:conditionalFormatting>
  <x:dataValidations count="4">
    <x:dataValidation type="list" sqref="E13:E18">
      <x:formula1>"BELUM DITELAAH,BUKTI MEMADAI,BUKTI BELUM MEMADAI,BELUM DAPAT DINILAI"</x:formula1>
    </x:dataValidation>
    <x:dataValidation type="list" sqref="G13:G18">
      <x:formula1>"0,1,2,3,4"</x:formula1>
    </x:dataValidation>
    <x:dataValidation type="list" sqref="B22">
      <x:formula1>"BELUM,DISETUJUI,PERLU PERBAIKAN"</x:formula1>
    </x:dataValidation>
    <x:dataValidation type="list" sqref="C37:C41">
      <x:formula1>"BELUM DIPASTIKAN,TIDAK,YA"</x:formula1>
    </x:dataValidation>
  </x:dataValidations>
  <x:pageMargins left="0.7" right="0.7" top="0.75" bottom="0.75" header="0.3" footer="0.3"/>
</x:worksheet>
</file>