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ef3998432f4dba" /></Relationships>
</file>

<file path=xl/workbook.xml><?xml version="1.0" encoding="utf-8"?>
<x:workbook xmlns:x="http://schemas.openxmlformats.org/spreadsheetml/2006/main">
  <x:sheets>
    <x:sheet xmlns:r="http://schemas.openxmlformats.org/officeDocument/2006/relationships" name="RINGKASAN BAPPERIDA" sheetId="1" r:id="R284069cb7e2e4e16"/>
    <x:sheet xmlns:r="http://schemas.openxmlformats.org/officeDocument/2006/relationships" name="IDENTITAS &amp; PIC" sheetId="2" r:id="Ra20618f91ed64d26"/>
    <x:sheet xmlns:r="http://schemas.openxmlformats.org/officeDocument/2006/relationships" name="PELAKSANAAN KEGIATAN" sheetId="3" r:id="Re82cd9d394fa4735"/>
    <x:sheet xmlns:r="http://schemas.openxmlformats.org/officeDocument/2006/relationships" name="USULAN TINDAK LANJUT" sheetId="4" r:id="R649620720c3a465b"/>
    <x:sheet xmlns:r="http://schemas.openxmlformats.org/officeDocument/2006/relationships" name="BASELINE BAPPERIDA" sheetId="5" r:id="R758899421d9f4b5d"/>
    <x:sheet xmlns:r="http://schemas.openxmlformats.org/officeDocument/2006/relationships" name="SCORECARD BAPPERIDA" sheetId="6" r:id="Rcc2d253a79fb47e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dd mmmm yyyy"/>
    <x:numFmt numFmtId="203" formatCode="@"/>
  </x:numFmts>
  <x:fonts count="8">
    <x:font>
      <x:sz val="11"/>
      <x:name val="Carlito"/>
    </x:font>
    <x:font>
      <x:b/>
      <x:sz val="16"/>
      <x:color rgb="FFFFFFFF"/>
      <x:name val="Carlito"/>
    </x:font>
    <x:font>
      <x:i/>
      <x:sz val="11"/>
      <x:color rgb="FF1F2937"/>
      <x:name val="Carlito"/>
    </x:font>
    <x:font>
      <x:b/>
      <x:sz val="11"/>
      <x:color rgb="FFFFFFFF"/>
      <x:name val="Carlito"/>
    </x:font>
    <x:font>
      <x:b/>
      <x:sz val="11"/>
      <x:name val="Carlito"/>
    </x:font>
    <x:font>
      <x:b/>
      <x:sz val="11"/>
      <x:color rgb="FF6B4F00"/>
      <x:name val="Carlito"/>
    </x:font>
    <x:font>
      <x:i/>
      <x:sz val="11"/>
      <x:name val="Carlito"/>
    </x:font>
    <x:font>
      <x:b/>
      <x:sz val="11"/>
      <x:color rgb="FF8B1E1E"/>
      <x:name val="Carlito"/>
    </x:font>
  </x:fonts>
  <x:fills count="8">
    <x:fill>
      <x:patternFill patternType="none"/>
    </x:fill>
    <x:fill>
      <x:patternFill patternType="gray125"/>
    </x:fill>
    <x:fill>
      <x:patternFill patternType="solid">
        <x:fgColor rgb="FF0B1F3A"/>
      </x:patternFill>
    </x:fill>
    <x:fill>
      <x:patternFill patternType="solid">
        <x:fgColor rgb="FFEAF2F8"/>
      </x:patternFill>
    </x:fill>
    <x:fill>
      <x:patternFill patternType="solid">
        <x:fgColor rgb="FF173F6B"/>
      </x:patternFill>
    </x:fill>
    <x:fill>
      <x:patternFill patternType="solid">
        <x:fgColor rgb="FFF3F4F6"/>
      </x:patternFill>
    </x:fill>
    <x:fill>
      <x:patternFill patternType="solid">
        <x:fgColor rgb="FFFFF4CC"/>
      </x:patternFill>
    </x:fill>
    <x:fill>
      <x:patternFill patternType="solid">
        <x:fgColor rgb="FFFCE8E6"/>
      </x:patternFill>
    </x:fill>
  </x:fills>
  <x:borders count="2">
    <x:border/>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applyNumberFormat="1" applyFont="1" applyFill="1" applyBorder="1"/>
    <x:xf numFmtId="0" fontId="4" fillId="5" borderId="0" xfId="0" applyNumberFormat="1" applyFont="1" applyFill="1" applyBorder="1" applyAlignment="1">
      <x:alignment vertical="top"/>
    </x:xf>
    <x:xf numFmtId="0" fontId="0" fillId="0" borderId="0" xfId="0" applyNumberFormat="1" applyFont="1" applyFill="1" applyBorder="1" applyAlignment="1">
      <x:alignment vertical="top"/>
    </x:xf>
    <x:xf numFmtId="0" fontId="4" fillId="5" borderId="1" xfId="0" applyNumberFormat="1" applyFont="1" applyFill="1" applyBorder="1" applyAlignment="1">
      <x:alignment vertical="top"/>
    </x:xf>
    <x:xf numFmtId="0" fontId="0" fillId="0" borderId="1" xfId="0" applyNumberFormat="1" applyFont="1" applyFill="1" applyBorder="1" applyAlignment="1">
      <x:alignment vertical="top"/>
    </x:xf>
    <x:xf numFmtId="0" fontId="4" fillId="5"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0" fillId="6" borderId="0" xfId="0" applyNumberFormat="1" applyFont="1" applyFill="1" applyBorder="1" applyAlignment="1">
      <x:alignment vertical="top"/>
    </x:xf>
    <x:xf numFmtId="0" fontId="0" fillId="6" borderId="1" xfId="0" applyNumberFormat="1" applyFont="1" applyFill="1" applyBorder="1" applyAlignment="1">
      <x:alignment vertical="top"/>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1" xfId="0" applyNumberFormat="1" applyFont="1" applyFill="1" applyBorder="1"/>
    <x:xf numFmtId="0" fontId="6" fillId="5" borderId="1" xfId="0" applyNumberFormat="1" applyFont="1" applyFill="1" applyBorder="1" applyAlignment="1">
      <x:alignment wrapText="1"/>
    </x:xf>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1" xfId="0" applyNumberFormat="1" applyFont="1" applyFill="1" applyBorder="1"/>
    <x:xf numFmtId="0" fontId="4" fillId="6" borderId="1"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vertical="top"/>
    </x:xf>
    <x:xf numFmtId="202" fontId="0" fillId="0" borderId="1" xfId="0" applyNumberFormat="1" applyFont="1" applyFill="1" applyBorder="1" applyAlignment="1">
      <x:alignment vertical="top"/>
    </x:xf>
    <x:xf numFmtId="202" fontId="0" fillId="5" borderId="0" xfId="0" applyNumberFormat="1" applyFont="1" applyFill="1" applyBorder="1" applyAlignment="1">
      <x:alignment vertical="top" wrapText="1"/>
    </x:xf>
    <x:xf numFmtId="202" fontId="4" fillId="5" borderId="0" xfId="0" applyNumberFormat="1" applyFont="1" applyFill="1" applyBorder="1" applyAlignment="1">
      <x:alignment vertical="top" wrapText="1"/>
    </x:xf>
    <x:xf numFmtId="202" fontId="0" fillId="5" borderId="1" xfId="0" applyNumberFormat="1" applyFont="1" applyFill="1" applyBorder="1" applyAlignment="1">
      <x:alignment vertical="top" wrapText="1"/>
    </x:xf>
    <x:xf numFmtId="202" fontId="4" fillId="5"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202" fontId="0" fillId="6" borderId="0" xfId="0" applyNumberFormat="1" applyFont="1" applyFill="1" applyBorder="1" applyAlignment="1">
      <x:alignment vertical="top" wrapText="1"/>
    </x:xf>
    <x:xf numFmtId="201" fontId="3" fillId="2" borderId="0" xfId="0" applyNumberFormat="1" applyFont="1" applyFill="1" applyBorder="1" applyAlignment="1">
      <x:alignment horizontal="center" vertical="top" wrapText="1"/>
    </x:xf>
    <x:xf numFmtId="203" fontId="0" fillId="6" borderId="0" xfId="0" applyNumberFormat="1" applyFont="1" applyFill="1" applyBorder="1" applyAlignment="1">
      <x:alignment vertical="top" wrapText="1"/>
    </x:xf>
    <x:xf numFmtId="203" fontId="0" fillId="0" borderId="0" xfId="0" applyNumberFormat="1" applyFont="1" applyFill="1" applyBorder="1"/>
    <x:xf numFmtId="203" fontId="3" fillId="4" borderId="0" xfId="0" applyNumberFormat="1" applyFont="1" applyFill="1" applyBorder="1" applyAlignment="1">
      <x:alignment vertical="center"/>
    </x:xf>
  </x:cellXfs>
  <x:cellStyles count="1">
    <x:cellStyle name="Normal" xfId="0"/>
  </x:cellStyles>
  <x:dxfs count="4">
    <x:dxf>
      <x:fill>
        <x:patternFill>
          <x:bgColor rgb="FFDFF2E1"/>
        </x:patternFill>
      </x:fill>
    </x:dxf>
    <x:dxf>
      <x:fill>
        <x:patternFill>
          <x:bgColor rgb="FFFDEBD0"/>
        </x:patternFill>
      </x:fill>
    </x:dxf>
    <x:dxf>
      <x:fill>
        <x:patternFill>
          <x:bgColor rgb="FFDFF2E1"/>
        </x:patternFill>
      </x:fill>
    </x:dxf>
    <x:dxf>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1bdbf9308254523" /><Relationship Type="http://schemas.openxmlformats.org/officeDocument/2006/relationships/theme" Target="/xl/theme/theme1.xml" Id="Rfaa777c2bc764843" /><Relationship Type="http://schemas.openxmlformats.org/officeDocument/2006/relationships/sharedStrings" Target="/xl/sharedStrings.xml" Id="R44bac7bf31a244e2" /><Relationship Type="http://schemas.openxmlformats.org/officeDocument/2006/relationships/worksheet" Target="/xl/worksheets/sheet1.xml" Id="R284069cb7e2e4e16" /><Relationship Type="http://schemas.openxmlformats.org/officeDocument/2006/relationships/worksheet" Target="/xl/worksheets/sheet2.xml" Id="Ra20618f91ed64d26" /><Relationship Type="http://schemas.openxmlformats.org/officeDocument/2006/relationships/worksheet" Target="/xl/worksheets/sheet3.xml" Id="Re82cd9d394fa4735" /><Relationship Type="http://schemas.openxmlformats.org/officeDocument/2006/relationships/worksheet" Target="/xl/worksheets/sheet4.xml" Id="R649620720c3a465b" /><Relationship Type="http://schemas.openxmlformats.org/officeDocument/2006/relationships/worksheet" Target="/xl/worksheets/sheet5.xml" Id="R758899421d9f4b5d" /><Relationship Type="http://schemas.openxmlformats.org/officeDocument/2006/relationships/worksheet" Target="/xl/worksheets/sheet6.xml" Id="Rcc2d253a79fb47e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34" hidden="0" customWidth="1"/>
    <x:col min="3" max="3" width="38" hidden="0" customWidth="1"/>
    <x:col min="4" max="4" width="42" hidden="0" customWidth="1"/>
    <x:col min="5" max="5" width="26" hidden="0" customWidth="1"/>
    <x:col min="6" max="6" width="6" hidden="0" customWidth="1"/>
    <x:col min="7" max="7" width="24" hidden="0" customWidth="1"/>
    <x:col min="8" max="8" width="26" hidden="0" customWidth="1"/>
  </x:cols>
  <x:sheetData>
    <x:row r="1" ht="28" customHeight="1">
      <x:c r="A1" s="5" t="str">
        <x:v>MITRA KINERJA — RINGKASAN TERINTEGRASI BAPPERIDA KABUPATEN BINTAN</x:v>
      </x:c>
      <x:c r="B1" s="5"/>
      <x:c r="C1" s="5"/>
      <x:c r="D1" s="5"/>
      <x:c r="E1" s="5"/>
      <x:c r="F1" s="5"/>
      <x:c r="G1" s="5"/>
      <x:c r="H1" s="5"/>
    </x:row>
    <x:row r="2">
      <x:c r="A2" s="12" t="str">
        <x:v>Data Stakeholder → Baseline → Scorecard → Early Warning → Tindak Lanjut</x:v>
      </x:c>
      <x:c r="B2" s="12"/>
      <x:c r="C2" s="12"/>
      <x:c r="D2" s="12"/>
      <x:c r="E2" s="12"/>
      <x:c r="F2" s="12"/>
      <x:c r="G2" s="12"/>
      <x:c r="H2" s="12"/>
    </x:row>
    <x:row r="4" ht="22" customHeight="1">
      <x:c r="A4" s="18" t="str">
        <x:v>IDENTITAS PORTOFOLIO</x:v>
      </x:c>
      <x:c r="B4" s="18"/>
      <x:c r="C4" s="18"/>
      <x:c r="D4" s="18"/>
      <x:c r="E4" s="18"/>
      <x:c r="F4" s="18"/>
      <x:c r="G4" s="18"/>
      <x:c r="H4" s="18"/>
    </x:row>
    <x:row r="5">
      <x:c r="A5" s="31" t="str">
        <x:v>Kode Naskah</x:v>
      </x:c>
      <x:c r="B5" s="32" t="str">
        <x:v>P04</x:v>
      </x:c>
      <x:c r="D5" s="31" t="str">
        <x:v>PIC Mitra</x:v>
      </x:c>
      <x:c r="E5" s="32" t="str">
        <x:f>IF(OR('IDENTITAS &amp; PIC'!C11="",LEFT('IDENTITAS &amp; PIC'!C11,1)="&lt;"),"Belum tersedia",'IDENTITAS &amp; PIC'!C11)</x:f>
        <x:v>Diana Martin</x:v>
      </x:c>
      <x:c r="G5" s="31" t="str">
        <x:v>Nilai Berjalan</x:v>
      </x:c>
      <x:c r="H5" s="35" t="n">
        <x:f>'SCORECARD BAPPERIDA'!B21</x:f>
        <x:v>11.25</x:v>
      </x:c>
    </x:row>
    <x:row r="6">
      <x:c r="A6" s="31" t="str">
        <x:v>Mitra</x:v>
      </x:c>
      <x:c r="B6" s="32" t="str">
        <x:f>'IDENTITAS &amp; PIC'!C5</x:f>
        <x:v>Badan Perencanaan Pembangunan Riset dan Inovasi Daerah Kabupaten Bintan</x:v>
      </x:c>
      <x:c r="D6" s="31" t="str">
        <x:v>Total Kegiatan</x:v>
      </x:c>
      <x:c r="E6" s="32" t="n">
        <x:f>IF('PELAKSANAAN KEGIATAN'!B7&lt;&gt;"",1,0)+IF('PELAKSANAAN KEGIATAN'!B8&lt;&gt;"",1,0)+IF('PELAKSANAAN KEGIATAN'!B9&lt;&gt;"",1,0)</x:f>
        <x:v>2</x:v>
      </x:c>
      <x:c r="F6"/>
      <x:c r="G6" s="31" t="str">
        <x:v>Kelengkapan Scorecard</x:v>
      </x:c>
      <x:c r="H6" s="37" t="n">
        <x:f>'SCORECARD BAPPERIDA'!D21</x:f>
        <x:v>0.6666666666666666</x:v>
      </x:c>
    </x:row>
    <x:row r="7">
      <x:c r="A7" s="31" t="str">
        <x:v>Jenis</x:v>
      </x:c>
      <x:c r="B7" s="32" t="str">
        <x:v>PKS</x:v>
      </x:c>
      <x:c r="D7" s="31" t="str">
        <x:v>Usulan Tindak Lanjut</x:v>
      </x:c>
      <x:c r="E7" s="32" t="n">
        <x:f>IF('USULAN TINDAK LANJUT'!B7&lt;&gt;"",1,0)+IF('USULAN TINDAK LANJUT'!B8&lt;&gt;"",1,0)+IF('USULAN TINDAK LANJUT'!B9&lt;&gt;"",1,0)+IF('USULAN TINDAK LANJUT'!B10&lt;&gt;"",1,0)</x:f>
        <x:v>3</x:v>
      </x:c>
      <x:c r="G7" s="31" t="str">
        <x:v>Kategori</x:v>
      </x:c>
      <x:c r="H7" s="39" t="str">
        <x:f>'SCORECARD BAPPERIDA'!F21</x:f>
        <x:v>BELUM LENGKAP</x:v>
      </x:c>
    </x:row>
    <x:row r="8">
      <x:c r="A8" s="31" t="str">
        <x:v>Judul</x:v>
      </x:c>
      <x:c r="B8" s="32" t="str">
        <x:v>Pelindungan dan Pemanfaatan Kekayaan Intelektual</x:v>
      </x:c>
      <x:c r="D8" s="31" t="str">
        <x:v>Keterangan Bukti</x:v>
      </x:c>
      <x:c r="E8" s="32" t="n">
        <x:f>IF('PELAKSANAAN KEGIATAN'!E7&lt;&gt;"",1,0)+IF('PELAKSANAAN KEGIATAN'!E8&lt;&gt;"",1,0)+IF('PELAKSANAAN KEGIATAN'!E9&lt;&gt;"",1,0)</x:f>
        <x:v>2</x:v>
      </x:c>
      <x:c r="G8" s="31" t="str">
        <x:v>Early Warning</x:v>
      </x:c>
      <x:c r="H8" s="39" t="str">
        <x:f>'SCORECARD BAPPERIDA'!B32</x:f>
        <x:v>V0 - DATA BELUM CUKUP</x:v>
      </x:c>
    </x:row>
    <x:row r="10" ht="22" customHeight="1">
      <x:c r="A10" s="18" t="str">
        <x:v>STATUS BASELINE TERINTEGRASI</x:v>
      </x:c>
      <x:c r="B10" s="18"/>
      <x:c r="C10" s="18"/>
      <x:c r="D10" s="18"/>
      <x:c r="E10" s="18"/>
      <x:c r="F10" s="18"/>
      <x:c r="G10" s="18"/>
      <x:c r="H10" s="18"/>
    </x:row>
    <x:row r="11">
      <x:c r="A11" s="49" t="str">
        <x:v>Elemen</x:v>
      </x:c>
      <x:c r="B11" s="49" t="str">
        <x:v>Status Baseline</x:v>
      </x:c>
      <x:c r="C11" s="49" t="str">
        <x:v>Pembaruan Terintegrasi</x:v>
      </x:c>
      <x:c r="D11" s="49" t="str">
        <x:v>Catatan</x:v>
      </x:c>
    </x:row>
    <x:row r="12">
      <x:c r="A12" s="39" t="str">
        <x:v>PIC Mitra</x:v>
      </x:c>
      <x:c r="B12" s="32" t="str">
        <x:f>'BASELINE BAPPERIDA'!F20</x:f>
        <x:v>BELUM TERSEDIA</x:v>
      </x:c>
      <x:c r="C12" s="32" t="str">
        <x:f>'BASELINE BAPPERIDA'!J20</x:f>
        <x:v>PIC mitra: Diana Martin | Jabatan: Perencana Muda | Unit: Badan Perencanaan Pembangunan Riset dan Inovasi Daerah Kabupaten Bintan | HP: 085272076355 | Email: bintan.litbang@gmail.com | Status: Tetap | PIC cadangan: Susila Candra (Penyusun Rencana Kegiatan dan Anggaran)</x:v>
      </x:c>
      <x:c r="D12" s="32" t="str">
        <x:f>'BASELINE BAPPERIDA'!K20</x:f>
        <x:v>Pembaruan tersedia sebagai referensi; status baseline tidak berubah otomatis dan tetap memerlukan verifikasi.</x:v>
      </x:c>
    </x:row>
    <x:row r="13">
      <x:c r="A13" s="39" t="str">
        <x:v>Rencana Tindak Lanjut</x:v>
      </x:c>
      <x:c r="B13" s="32" t="str">
        <x:f>'BASELINE BAPPERIDA'!F21</x:f>
        <x:v>BELUM TERSEDIA</x:v>
      </x:c>
      <x:c r="C13" s="32" t="str">
        <x:f>'BASELINE BAPPERIDA'!J21</x:f>
        <x:v>Jumlah usulan: 3 | Prioritas pertama: Sosialisasi Pendaftaran HAKI | Target: 2026</x:v>
      </x:c>
      <x:c r="D13" s="32" t="str">
        <x:f>'BASELINE BAPPERIDA'!K21</x:f>
        <x:v>Pembaruan tersedia sebagai referensi; status baseline tidak berubah otomatis dan tetap memerlukan verifikasi.</x:v>
      </x:c>
    </x:row>
    <x:row r="14">
      <x:c r="A14" s="39" t="str">
        <x:v>Pelaksanaan &amp; Hasil</x:v>
      </x:c>
      <x:c r="B14" s="32" t="str">
        <x:f>'BASELINE BAPPERIDA'!F22</x:f>
        <x:v>BELUM TERSEDIA</x:v>
      </x:c>
      <x:c r="C14" s="32" t="str">
        <x:f>'BASELINE BAPPERIDA'!J22</x:f>
        <x:v>Jumlah kegiatan terdata: 2 | Kegiatan pertama: Rapat Koordinasi Kelitbangan Kabupaten Bintan Tahun 2026 | Status: Sudah Dilaksanakan</x:v>
      </x:c>
      <x:c r="D14" s="32" t="str">
        <x:f>'BASELINE BAPPERIDA'!K22</x:f>
        <x:v>Pembaruan tersedia sebagai referensi; status baseline tidak berubah otomatis dan tetap memerlukan verifikasi.</x:v>
      </x:c>
    </x:row>
    <x:row r="15">
      <x:c r="A15" s="39" t="str">
        <x:v>Eviden Implementasi</x:v>
      </x:c>
      <x:c r="B15" s="32" t="str">
        <x:f>'BASELINE BAPPERIDA'!F23</x:f>
        <x:v>BELUM TERSEDIA</x:v>
      </x:c>
      <x:c r="C15" s="32" t="str">
        <x:f>'BASELINE BAPPERIDA'!J23</x:f>
        <x:v>Jumlah kegiatan dengan keterangan bukti: 2 | Bukti pertama: https://drive.google.com/file/d/13QXb2_XyqfiSlcYES2OoZmEEx0jgtTT4/view?usp=sharing</x:v>
      </x:c>
      <x:c r="D15" s="32" t="str">
        <x:f>'BASELINE BAPPERIDA'!K23</x:f>
        <x:v>Pembaruan tersedia sebagai referensi; status baseline tidak berubah otomatis dan tetap memerlukan verifikasi.</x:v>
      </x:c>
    </x:row>
    <x:row r="17">
      <x:c r="A17" s="53" t="str">
        <x:v>Catatan kendali: data pada sheet input mengalir otomatis sebagai referensi, tetapi TIDAK otomatis mengubah status Baseline atau skor Scorecard. Pemeriksaan bukti dan validasi tetap diperlukan.</x:v>
      </x:c>
      <x:c r="B17" s="53"/>
      <x:c r="C17" s="53"/>
      <x:c r="D17" s="53"/>
      <x:c r="E17" s="53"/>
      <x:c r="F17" s="53"/>
      <x:c r="G17" s="53"/>
      <x:c r="H17" s="53"/>
    </x:row>
    <x:row r="19" ht="42" customHeight="1">
      <x:c r="A19" s="95" t="str">
        <x:v>CATATAN BAPPERIDA: formulir stakeholder sudah memuat PIC utama Diana Martin, PIC cadangan Susila Candra, 2 kegiatan beserta 2 tautan bukti, dan 3 usulan tindak lanjut. Baseline lama masih menyatakan 'belum terdapat kegiatan bersama' serta PIC belum tersedia, sehingga data baru ditampilkan sebagai pembaruan terintegrasi dan perlu diverifikasi sebelum status baseline atau skor diubah. Scorecard historis tetap mempertahankan I1=3 serta I3/I4/I5=0 sampai proses verifikasi ulang dilakukan.</x:v>
      </x:c>
      <x:c r="B19" s="95"/>
      <x:c r="C19" s="95"/>
      <x:c r="D19" s="95"/>
      <x:c r="E19" s="95"/>
      <x:c r="F19" s="95"/>
      <x:c r="G19" s="95"/>
      <x:c r="H19" s="95"/>
    </x:row>
  </x:sheetData>
  <x:mergeCells>
    <x:mergeCell ref="A1:H1"/>
    <x:mergeCell ref="A2:H2"/>
    <x:mergeCell ref="A4:H4"/>
    <x:mergeCell ref="A10:H10"/>
    <x:mergeCell ref="A17:H17"/>
    <x:mergeCell ref="A19:H19"/>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4" hidden="0" customWidth="1"/>
    <x:col min="3" max="3" width="34" hidden="0" customWidth="1"/>
    <x:col min="4" max="4" width="4" hidden="0" customWidth="1"/>
    <x:col min="5" max="5" width="20" hidden="0" customWidth="1"/>
    <x:col min="6" max="6" width="4" hidden="0" customWidth="1"/>
    <x:col min="7" max="7" width="28" hidden="0" customWidth="1"/>
  </x:cols>
  <x:sheetData>
    <x:row r="1" ht="28" customHeight="1">
      <x:c r="A1" s="5" t="str">
        <x:v>IDENTITAS KERJA SAMA DAN PIC — BAPPERIDA KABUPATEN BINTAN</x:v>
      </x:c>
      <x:c r="B1" s="5"/>
      <x:c r="C1" s="5"/>
      <x:c r="D1" s="5"/>
      <x:c r="E1" s="5"/>
      <x:c r="F1" s="5"/>
      <x:c r="G1" s="5"/>
      <x:c r="H1" t="str">
        <x:v>IDENTITAS KERJA SAMA DAN PIC</x:v>
      </x:c>
    </x:row>
    <x:row r="2">
      <x:c r="A2" s="58" t="str">
        <x:v>Data identitas dan PIC berasal dari formulir stakeholder Bapperida Kabupaten Bintan. Pembaruan otomatis menjadi referensi pada Baseline dan Scorecard, tetapi tetap memerlukan verifikasi.</x:v>
      </x:c>
      <x:c r="B2" s="58"/>
      <x:c r="C2" s="58"/>
      <x:c r="D2" s="58"/>
      <x:c r="E2" s="58"/>
      <x:c r="F2" s="58"/>
      <x:c r="G2" s="58"/>
      <x:c r="H2" t="str">
        <x:v>Sel kuning diisi oleh mitra; data naskah telah dipersiapkan untuk STAI Natuna dan dapat disesuaikan.</x:v>
      </x:c>
    </x:row>
    <x:row r="3">
      <x:c r="A3"/>
      <x:c r="B3"/>
      <x:c r="C3"/>
      <x:c r="D3"/>
      <x:c r="E3"/>
      <x:c r="F3"/>
      <x:c r="G3"/>
      <x:c r="H3"/>
    </x:row>
    <x:row r="4" ht="22" customHeight="1">
      <x:c r="A4" s="18" t="str">
        <x:v>A. IDENTITAS KERJA SAMA</x:v>
      </x:c>
      <x:c r="B4" s="18"/>
      <x:c r="C4" s="18"/>
      <x:c r="D4" s="18"/>
      <x:c r="E4" s="18"/>
      <x:c r="F4" s="18"/>
      <x:c r="G4" s="18"/>
      <x:c r="H4" t="str">
        <x:v>A. IDENTITAS KERJA SAMA</x:v>
      </x:c>
    </x:row>
    <x:row r="5">
      <x:c r="A5" s="31" t="str">
        <x:v>Nama Mitra</x:v>
      </x:c>
      <x:c r="B5" s="32"/>
      <x:c r="C5" s="63" t="str">
        <x:v>Badan Perencanaan Pembangunan Riset dan Inovasi Daerah Kabupaten Bintan</x:v>
      </x:c>
      <x:c r="D5" s="63"/>
      <x:c r="E5" s="63"/>
      <x:c r="F5" s="63"/>
      <x:c r="G5" s="63"/>
      <x:c r="H5"/>
    </x:row>
    <x:row r="6">
      <x:c r="A6" s="31" t="str">
        <x:v>Nomor Nota Kesepahaman/Perjanjian Kerja Sama</x:v>
      </x:c>
      <x:c r="B6" s="32"/>
      <x:c r="C6" s="63" t="str">
        <x:v>Nomor: W.32-HH.04.02-29
Nomor: 2/000.4.7.2/VI/2026</x:v>
      </x:c>
      <x:c r="D6" s="63"/>
      <x:c r="E6" s="63"/>
      <x:c r="F6" s="63"/>
      <x:c r="G6" s="63"/>
      <x:c r="H6"/>
    </x:row>
    <x:row r="7">
      <x:c r="A7" s="31" t="str">
        <x:v>Tanggal</x:v>
      </x:c>
      <x:c r="B7" s="32"/>
      <x:c r="C7" s="96" t="str">
        <x:v>30 Juni 2026</x:v>
      </x:c>
      <x:c r="D7" s="63"/>
      <x:c r="E7" s="63"/>
      <x:c r="F7" s="63"/>
      <x:c r="G7" s="63"/>
      <x:c r="H7"/>
    </x:row>
    <x:row r="8">
      <x:c r="A8" s="31" t="str">
        <x:v>Ruang Lingkup</x:v>
      </x:c>
      <x:c r="B8" s="32"/>
      <x:c r="C8" s="63" t="str">
        <x:v>Perlindungan dan Pemanfaatan Kekayaan Intelektual</x:v>
      </x:c>
      <x:c r="D8" s="63"/>
      <x:c r="E8" s="63"/>
      <x:c r="F8" s="63"/>
      <x:c r="G8" s="63"/>
      <x:c r="H8"/>
    </x:row>
    <x:row r="9">
      <x:c r="A9"/>
      <x:c r="B9"/>
      <x:c r="C9"/>
      <x:c r="D9"/>
      <x:c r="E9"/>
      <x:c r="F9"/>
      <x:c r="G9"/>
      <x:c r="H9"/>
    </x:row>
    <x:row r="10" ht="22" customHeight="1">
      <x:c r="A10" s="18" t="str">
        <x:v>B. PIC UTAMA</x:v>
      </x:c>
      <x:c r="B10" s="18"/>
      <x:c r="C10" s="18"/>
      <x:c r="D10" s="18"/>
      <x:c r="E10" s="18"/>
      <x:c r="F10" s="18"/>
      <x:c r="G10" s="18"/>
      <x:c r="H10" t="str">
        <x:v>B. PIC UTAMA</x:v>
      </x:c>
    </x:row>
    <x:row r="11">
      <x:c r="A11" s="31" t="str">
        <x:v>Nama Lengkap*</x:v>
      </x:c>
      <x:c r="B11" s="32"/>
      <x:c r="C11" s="63" t="str">
        <x:v>Diana Martin</x:v>
      </x:c>
      <x:c r="D11" s="32"/>
      <x:c r="E11" s="31" t="str">
        <x:v>Jabatan*</x:v>
      </x:c>
      <x:c r="F11" s="32"/>
      <x:c r="G11" s="98" t="str">
        <x:v>Perencana Muda</x:v>
      </x:c>
      <x:c r="H11"/>
    </x:row>
    <x:row r="12">
      <x:c r="A12" s="31" t="str">
        <x:v>Unit Kerja*</x:v>
      </x:c>
      <x:c r="B12" s="32"/>
      <x:c r="C12" s="63" t="str">
        <x:v>Badan Perencanaan Pembangunan Riset dan Inovasi Daerah Kabupaten Bintan</x:v>
      </x:c>
      <x:c r="D12" s="32"/>
      <x:c r="E12" s="31" t="str">
        <x:v>No. HP/WA*</x:v>
      </x:c>
      <x:c r="F12" s="32"/>
      <x:c r="G12" s="98" t="str">
        <x:v>085272076355</x:v>
      </x:c>
      <x:c r="H12"/>
    </x:row>
    <x:row r="13">
      <x:c r="A13" s="31" t="str">
        <x:v>Email Resmi*</x:v>
      </x:c>
      <x:c r="B13" s="32"/>
      <x:c r="C13" s="63" t="str">
        <x:v>bintan.litbang@gmail.com</x:v>
      </x:c>
      <x:c r="D13" s="32"/>
      <x:c r="E13" s="31" t="str">
        <x:v>Status</x:v>
      </x:c>
      <x:c r="F13" s="32"/>
      <x:c r="G13" s="98" t="str">
        <x:v>Tetap</x:v>
      </x:c>
      <x:c r="H13"/>
    </x:row>
    <x:row r="14">
      <x:c r="A14"/>
      <x:c r="B14"/>
      <x:c r="C14"/>
      <x:c r="D14"/>
      <x:c r="E14"/>
      <x:c r="F14"/>
      <x:c r="G14" s="99"/>
      <x:c r="H14"/>
    </x:row>
    <x:row r="15" ht="22" customHeight="1">
      <x:c r="A15" s="18" t="str">
        <x:v>C. PIC CADANGAN</x:v>
      </x:c>
      <x:c r="B15" s="18"/>
      <x:c r="C15" s="18"/>
      <x:c r="D15" s="18"/>
      <x:c r="E15" s="18"/>
      <x:c r="F15" s="18"/>
      <x:c r="G15" s="100"/>
      <x:c r="H15" t="str">
        <x:v>C. PIC CADANGAN</x:v>
      </x:c>
    </x:row>
    <x:row r="16">
      <x:c r="A16" s="31" t="str">
        <x:v>Nama Lengkap*</x:v>
      </x:c>
      <x:c r="B16" s="32"/>
      <x:c r="C16" s="63" t="str">
        <x:v>Susila Candra</x:v>
      </x:c>
      <x:c r="D16" s="32"/>
      <x:c r="E16" s="31" t="str">
        <x:v>Jabatan*</x:v>
      </x:c>
      <x:c r="F16" s="32"/>
      <x:c r="G16" s="98" t="str">
        <x:v>Penyusun Rencana Kegiatan dan Anggaran</x:v>
      </x:c>
      <x:c r="H16"/>
    </x:row>
    <x:row r="17">
      <x:c r="A17" s="31" t="str">
        <x:v>Unit Kerja*</x:v>
      </x:c>
      <x:c r="B17" s="32"/>
      <x:c r="C17" s="63" t="str">
        <x:v>Badan Perencanaan Pembangunan Riset dan Inovasi Daerah Kabupaten Bintan</x:v>
      </x:c>
      <x:c r="D17" s="32"/>
      <x:c r="E17" s="31" t="str">
        <x:v>No. HP/WA*</x:v>
      </x:c>
      <x:c r="F17" s="32"/>
      <x:c r="G17" s="98" t="str">
        <x:v>081270417092</x:v>
      </x:c>
      <x:c r="H17"/>
    </x:row>
    <x:row r="18">
      <x:c r="A18" s="31" t="str">
        <x:v>Email Resmi*</x:v>
      </x:c>
      <x:c r="B18" s="32"/>
      <x:c r="C18" s="63" t="str">
        <x:v>bintan.litbang@gmail.com</x:v>
      </x:c>
      <x:c r="D18" s="32"/>
      <x:c r="E18" s="31" t="str">
        <x:v>Status</x:v>
      </x:c>
      <x:c r="F18" s="32"/>
      <x:c r="G18" s="63" t="str">
        <x:v>Tetap</x:v>
      </x:c>
      <x:c r="H18"/>
    </x:row>
    <x:row r="19">
      <x:c r="A19"/>
      <x:c r="B19"/>
      <x:c r="C19"/>
      <x:c r="D19"/>
      <x:c r="E19"/>
      <x:c r="F19"/>
      <x:c r="G19"/>
      <x:c r="H19"/>
    </x:row>
    <x:row r="20" ht="22" customHeight="1">
      <x:c r="A20" s="18" t="str">
        <x:v>D. KONFIRMASI RAPAT PENGUATAN PIC</x:v>
      </x:c>
      <x:c r="B20" s="18"/>
      <x:c r="C20" s="18"/>
      <x:c r="D20" s="18"/>
      <x:c r="E20" s="18"/>
      <x:c r="F20" s="18"/>
      <x:c r="G20" s="18"/>
      <x:c r="H20" t="str">
        <x:v>D. KONFIRMASI RAPAT PENGUATAN PIC</x:v>
      </x:c>
    </x:row>
    <x:row r="21">
      <x:c r="A21" s="31" t="str">
        <x:v>Kesediaan Hadir*</x:v>
      </x:c>
      <x:c r="B21" s="32"/>
      <x:c r="C21" s="63" t="str">
        <x:v>Hadir</x:v>
      </x:c>
      <x:c r="D21" s="32"/>
      <x:c r="E21" s="31" t="str">
        <x:v>Nama Peserta*</x:v>
      </x:c>
      <x:c r="F21" s="32"/>
      <x:c r="G21" s="63" t="str">
        <x:v>Diana Martin
Susila Candra</x:v>
      </x:c>
      <x:c r="H21"/>
    </x:row>
    <x:row r="22">
      <x:c r="A22" s="31" t="str">
        <x:v>Pertanyaan/Kebutuhan Awal</x:v>
      </x:c>
      <x:c r="B22" s="32"/>
      <x:c r="C22" s="63" t="str">
        <x:v>Penjelasan terkait data yang dibutuhkan</x:v>
      </x:c>
      <x:c r="D22" s="32"/>
      <x:c r="E22" s="32"/>
      <x:c r="F22" s="32"/>
      <x:c r="G22" s="32"/>
      <x:c r="H22"/>
    </x:row>
    <x:row r="23">
      <x:c r="A23"/>
      <x:c r="B23"/>
      <x:c r="C23"/>
      <x:c r="D23"/>
      <x:c r="E23"/>
      <x:c r="F23"/>
      <x:c r="G23"/>
      <x:c r="H23"/>
    </x:row>
    <x:row r="24">
      <x:c r="A24" s="66" t="str">
        <x:v>Data kontak digunakan untuk koordinasi, monitoring, evaluasi, dan tindak lanjut pelaksanaan kerja sama.</x:v>
      </x:c>
      <x:c r="B24" s="66" t="str">
        <x:v>Data kontak digunakan untuk koordinasi, monitoring, evaluasi, dan tindak lanjut pelaksanaan kerja sama.</x:v>
      </x:c>
      <x:c r="C24" s="66" t="str">
        <x:v>Data kontak digunakan untuk koordinasi, monitoring, evaluasi, dan tindak lanjut pelaksanaan kerja sama.</x:v>
      </x:c>
      <x:c r="D24" s="66" t="str">
        <x:v>Data kontak digunakan untuk koordinasi, monitoring, evaluasi, dan tindak lanjut pelaksanaan kerja sama.</x:v>
      </x:c>
      <x:c r="E24" s="66" t="str">
        <x:v>Data kontak digunakan untuk koordinasi, monitoring, evaluasi, dan tindak lanjut pelaksanaan kerja sama.</x:v>
      </x:c>
      <x:c r="F24" s="66" t="str">
        <x:v>Data kontak digunakan untuk koordinasi, monitoring, evaluasi, dan tindak lanjut pelaksanaan kerja sama.</x:v>
      </x:c>
      <x:c r="G24" s="66" t="str">
        <x:v>Data kontak digunakan untuk koordinasi, monitoring, evaluasi, dan tindak lanjut pelaksanaan kerja sama.</x:v>
      </x:c>
      <x:c r="H24" t="str">
        <x:v>Data kontak digunakan untuk koordinasi, monitoring, evaluasi, dan tindak lanjut pelaksanaan kerja sama.</x:v>
      </x:c>
    </x:row>
    <x:row r="25">
      <x:c r="A25" t="str">
        <x:v>Data kontak digunakan untuk koordinasi, monitoring, evaluasi, dan tindak lanjut pelaksanaan kerja sama.</x:v>
      </x:c>
      <x:c r="B25" t="str">
        <x:v>Data kontak digunakan untuk koordinasi, monitoring, evaluasi, dan tindak lanjut pelaksanaan kerja sama.</x:v>
      </x:c>
      <x:c r="C25" t="str">
        <x:v>Data kontak digunakan untuk koordinasi, monitoring, evaluasi, dan tindak lanjut pelaksanaan kerja sama.</x:v>
      </x:c>
      <x:c r="D25" t="str">
        <x:v>Data kontak digunakan untuk koordinasi, monitoring, evaluasi, dan tindak lanjut pelaksanaan kerja sama.</x:v>
      </x:c>
      <x:c r="E25" t="str">
        <x:v>Data kontak digunakan untuk koordinasi, monitoring, evaluasi, dan tindak lanjut pelaksanaan kerja sama.</x:v>
      </x:c>
      <x:c r="F25" t="str">
        <x:v>Data kontak digunakan untuk koordinasi, monitoring, evaluasi, dan tindak lanjut pelaksanaan kerja sama.</x:v>
      </x:c>
      <x:c r="G25" t="str">
        <x:v>Data kontak digunakan untuk koordinasi, monitoring, evaluasi, dan tindak lanjut pelaksanaan kerja sama.</x:v>
      </x:c>
      <x:c r="H25" t="str">
        <x:v>Data kontak digunakan untuk koordinasi, monitoring, evaluasi, dan tindak lanjut pelaksanaan kerja sama.</x:v>
      </x:c>
    </x:row>
  </x:sheetData>
  <x:mergeCells>
    <x:mergeCell ref="A1:G1"/>
    <x:mergeCell ref="A2:G2"/>
    <x:mergeCell ref="A4:G4"/>
    <x:mergeCell ref="C5:G5"/>
    <x:mergeCell ref="C6:G6"/>
    <x:mergeCell ref="C7:G7"/>
    <x:mergeCell ref="C8:G8"/>
    <x:mergeCell ref="A10:G10"/>
    <x:mergeCell ref="A15:G15"/>
    <x:mergeCell ref="A20:G20"/>
    <x:mergeCell ref="C22:G22"/>
    <x:mergeCell ref="A24:G24"/>
  </x:mergeCells>
  <x:dataValidations count="3">
    <x:dataValidation type="list" sqref="C13">
      <x:formula1>"Tetap,Tidak Aktif,Pengganti"</x:formula1>
    </x:dataValidation>
    <x:dataValidation type="list" sqref="G13">
      <x:formula1>"Tetap,Tidak Aktif,Pengganti"</x:formula1>
    </x:dataValidation>
    <x:dataValidation type="list" sqref="C21">
      <x:formula1>"Hadir,Tidak Hadir,Daring"</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36" hidden="0" customWidth="1"/>
    <x:col min="3" max="3" width="20" hidden="0" customWidth="1"/>
    <x:col min="4" max="4" width="32" hidden="0" customWidth="1"/>
    <x:col min="5" max="5" width="38" hidden="0" customWidth="1"/>
    <x:col min="6" max="6" width="30" hidden="0" customWidth="1"/>
  </x:cols>
  <x:sheetData>
    <x:row r="1" ht="28" customHeight="1">
      <x:c r="A1" s="5" t="str">
        <x:v>KEGIATAN YANG SUDAH/SEDANG DILAKSANAKAN — BAPPERIDA KABUPATEN BINTAN</x:v>
      </x:c>
      <x:c r="B1" s="5"/>
      <x:c r="C1" s="5"/>
      <x:c r="D1" s="5"/>
      <x:c r="E1" s="5"/>
      <x:c r="F1" s="5"/>
    </x:row>
    <x:row r="2">
      <x:c r="A2" s="58" t="str">
        <x:v>Data kegiatan berasal dari formulir stakeholder Bapperida Kabupaten Bintan. Kegiatan dan bukti mengalir otomatis sebagai referensi, tanpa otomatis mengubah skor sebelum diverifikasi.</x:v>
      </x:c>
      <x:c r="B2" s="58"/>
      <x:c r="C2" s="58"/>
      <x:c r="D2" s="58"/>
      <x:c r="E2" s="58"/>
      <x:c r="F2" s="58"/>
    </x:row>
    <x:row r="3">
      <x:c r="A3"/>
      <x:c r="B3"/>
      <x:c r="C3"/>
      <x:c r="D3"/>
      <x:c r="E3"/>
      <x:c r="F3"/>
    </x:row>
    <x:row r="4">
      <x:c r="A4" s="70" t="str">
        <x:v>Isi hanya kegiatan utama. Jika belum ada kegiatan, sheet ini boleh dikosongkan. Kolom tanpa tanda * bersifat opsional.</x:v>
      </x:c>
      <x:c r="B4" s="70"/>
      <x:c r="C4" s="70"/>
      <x:c r="D4" s="70"/>
      <x:c r="E4" s="70"/>
      <x:c r="F4" s="70"/>
    </x:row>
    <x:row r="5">
      <x:c r="A5"/>
      <x:c r="B5"/>
      <x:c r="C5"/>
      <x:c r="D5"/>
      <x:c r="E5"/>
      <x:c r="F5"/>
    </x:row>
    <x:row r="6">
      <x:c r="A6" s="49" t="str">
        <x:v>No.</x:v>
      </x:c>
      <x:c r="B6" s="49" t="str">
        <x:v>Kegiatan yang Sudah/Sedang Dilaksanakan*</x:v>
      </x:c>
      <x:c r="C6" s="49" t="str">
        <x:v>Status*</x:v>
      </x:c>
      <x:c r="D6" s="49" t="str">
        <x:v>Hasil/Manfaat Singkat</x:v>
      </x:c>
      <x:c r="E6" s="49" t="str">
        <x:v>Bukti yang Tersedia (opsional: nama file/tautan)</x:v>
      </x:c>
      <x:c r="F6" s="49" t="str">
        <x:v>Kendala/Catatan (jika ada)</x:v>
      </x:c>
    </x:row>
    <x:row r="7">
      <x:c r="A7" s="32" t="n">
        <x:v>1</x:v>
      </x:c>
      <x:c r="B7" s="63" t="str">
        <x:v>Rapat Koordinasi Kelitbangan Kabupaten Bintan Tahun 2026</x:v>
      </x:c>
      <x:c r="C7" s="63" t="str">
        <x:v>Sudah Dilaksanakan</x:v>
      </x:c>
      <x:c r="D7" s="63" t="str">
        <x:v>Meningkatjan koordinasi dan sinergi dalam pelaksanaan penelitian, pengkajian, dan inovasi daerah. Kegiatan ini juga menghasilkan kesamaan persepsi terkait arah kebijakan kelitbangan, identifikasi permasalahan dan kebutuhan kajian daerah, serta masukan strategis yang dapat dimanfaatkan sebagai bahan perumusan kebijakan dan mendukung perencanaan pembangunan daerah yang berbasis data, penelitian, dan inovasi</x:v>
      </x:c>
      <x:c r="E7" s="63" t="str">
        <x:v>https://drive.google.com/file/d/13QXb2_XyqfiSlcYES2OoZmEEx0jgtTT4/view?usp=sharing</x:v>
      </x:c>
      <x:c r="F7" s="63"/>
    </x:row>
    <x:row r="8">
      <x:c r="A8" s="32" t="n">
        <x:v>2</x:v>
      </x:c>
      <x:c r="B8" s="63" t="str">
        <x:v>Data HAKI yang telah terdaftar resmi (baik yang bersifat personal,komunal, maupun institusional) yang berasal dari Kabupaten Bintan</x:v>
      </x:c>
      <x:c r="C8" s="63" t="str">
        <x:v>Sudah Dilaksanakan</x:v>
      </x:c>
      <x:c r="D8" s="63" t="str">
        <x:v>Kelengkapan data penilaian Innovative Government Award (IGA) Tahun 2026 yang diselenggarakan oleh Kementerian Dalam Negeri</x:v>
      </x:c>
      <x:c r="E8" s="63" t="str">
        <x:v>https://drive.google.com/file/d/1oRPC4gt_nfout1TL_-oHz3k9hfBz9LEA/view?usp=sharing</x:v>
      </x:c>
      <x:c r="F8" s="63"/>
    </x:row>
    <x:row r="9">
      <x:c r="A9" s="32"/>
      <x:c r="B9" s="63"/>
      <x:c r="C9" s="63"/>
      <x:c r="D9" s="63"/>
      <x:c r="E9" s="63"/>
      <x:c r="F9" s="63"/>
    </x:row>
    <x:row r="10">
      <x:c r="A10" s="32"/>
      <x:c r="B10" s="63"/>
      <x:c r="C10" s="63"/>
      <x:c r="D10" s="63"/>
      <x:c r="E10" s="63"/>
      <x:c r="F10" s="63"/>
    </x:row>
    <x:row r="11">
      <x:c r="A11"/>
      <x:c r="B11"/>
      <x:c r="C11"/>
      <x:c r="D11"/>
      <x:c r="E11"/>
      <x:c r="F11"/>
    </x:row>
    <x:row r="12">
      <x:c r="A12"/>
      <x:c r="B12"/>
      <x:c r="C12"/>
      <x:c r="D12"/>
      <x:c r="E12"/>
      <x:c r="F12"/>
    </x:row>
  </x:sheetData>
  <x:mergeCells>
    <x:mergeCell ref="A1:F1"/>
    <x:mergeCell ref="A2:F2"/>
    <x:mergeCell ref="A4:F4"/>
  </x:mergeCells>
  <x:dataValidations count="1">
    <x:dataValidation type="list" sqref="C7:C10">
      <x:formula1>"Sudah Dilaksanakan,Sedang Berjalan,Belum Dilaksanakan"</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36" hidden="0" customWidth="1"/>
    <x:col min="3" max="3" width="18" hidden="0" customWidth="1"/>
    <x:col min="4" max="4" width="34" hidden="0" customWidth="1"/>
    <x:col min="5" max="5" width="32" hidden="0" customWidth="1"/>
    <x:col min="6" max="6" width="32" hidden="0" customWidth="1"/>
  </x:cols>
  <x:sheetData>
    <x:row r="1" ht="28" customHeight="1">
      <x:c r="A1" s="5" t="str">
        <x:v>USULAN TINDAK LANJUT — BAPPERIDA KABUPATEN BINTAN</x:v>
      </x:c>
      <x:c r="B1" s="5"/>
      <x:c r="C1" s="5"/>
      <x:c r="D1" s="5"/>
      <x:c r="E1" s="5"/>
      <x:c r="F1" s="5"/>
    </x:row>
    <x:row r="2">
      <x:c r="A2" s="58" t="str">
        <x:v>Usulan tindak lanjut berasal dari formulir stakeholder Bapperida Kabupaten Bintan dan menjadi referensi otomatis pada Baseline, Scorecard, dan Ringkasan.</x:v>
      </x:c>
      <x:c r="B2" s="58"/>
      <x:c r="C2" s="58"/>
      <x:c r="D2" s="58"/>
      <x:c r="E2" s="58"/>
      <x:c r="F2" s="58"/>
    </x:row>
    <x:row r="3">
      <x:c r="A3"/>
      <x:c r="B3"/>
      <x:c r="C3"/>
      <x:c r="D3"/>
      <x:c r="E3"/>
      <x:c r="F3"/>
    </x:row>
    <x:row r="4">
      <x:c r="A4" s="70" t="str">
        <x:v>Cukup isi usulan prioritas. Kolom E–F opsional: bantuan = data/narasumber/surat/fasilitasi; pihak = unit atau instansi yang perlu diajak berkoordinasi.</x:v>
      </x:c>
      <x:c r="B4" s="70"/>
      <x:c r="C4" s="70"/>
      <x:c r="D4" s="70"/>
      <x:c r="E4" s="70"/>
      <x:c r="F4" s="70"/>
    </x:row>
    <x:row r="5">
      <x:c r="A5"/>
      <x:c r="B5"/>
      <x:c r="C5"/>
      <x:c r="D5"/>
      <x:c r="E5"/>
      <x:c r="F5"/>
    </x:row>
    <x:row r="6">
      <x:c r="A6" s="49" t="str">
        <x:v>No.</x:v>
      </x:c>
      <x:c r="B6" s="49" t="str">
        <x:v>Usulan Kegiatan/Tindak Lanjut*</x:v>
      </x:c>
      <x:c r="C6" s="49" t="str">
        <x:v>Target Waktu*</x:v>
      </x:c>
      <x:c r="D6" s="49" t="str">
        <x:v>Hasil/Manfaat yang Diharapkan</x:v>
      </x:c>
      <x:c r="E6" s="49" t="str">
        <x:v>Bantuan yang Dibutuhkan (jika ada)</x:v>
      </x:c>
      <x:c r="F6" s="49" t="str">
        <x:v>Pihak yang Perlu Dilibatkan (jika ada)</x:v>
      </x:c>
    </x:row>
    <x:row r="7">
      <x:c r="A7" s="32" t="n">
        <x:v>1</x:v>
      </x:c>
      <x:c r="B7" s="63" t="str">
        <x:v>Sosialisasi Pendaftaran HAKI</x:v>
      </x:c>
      <x:c r="C7" s="63" t="n">
        <x:v>2026</x:v>
      </x:c>
      <x:c r="D7" s="63" t="str">
        <x:v>Hasil Produk  yan ada dapat didaftarkan HAKI</x:v>
      </x:c>
      <x:c r="E7" s="63"/>
      <x:c r="F7" s="63" t="str">
        <x:v>OPD, Masyarakat, UMKM dan  Pelaku inovasi</x:v>
      </x:c>
    </x:row>
    <x:row r="8">
      <x:c r="A8" s="32" t="n">
        <x:v>2</x:v>
      </x:c>
      <x:c r="B8" s="63" t="str">
        <x:v>Konsultasi Produk Hukum</x:v>
      </x:c>
      <x:c r="C8" s="63"/>
      <x:c r="D8" s="63"/>
      <x:c r="E8" s="63"/>
      <x:c r="F8" s="63"/>
    </x:row>
    <x:row r="9">
      <x:c r="A9" s="32" t="n">
        <x:v>3</x:v>
      </x:c>
      <x:c r="B9" s="63" t="str">
        <x:v>Fasilitasi Pendaftaran Terkait Kekayaan Intelektual</x:v>
      </x:c>
      <x:c r="C9" s="63"/>
      <x:c r="D9" s="63"/>
      <x:c r="E9" s="63"/>
      <x:c r="F9" s="63"/>
    </x:row>
    <x:row r="10">
      <x:c r="A10" s="32"/>
      <x:c r="B10" s="63"/>
      <x:c r="C10" s="63"/>
      <x:c r="D10" s="63"/>
      <x:c r="E10" s="63"/>
      <x:c r="F10" s="63"/>
    </x:row>
    <x:row r="11">
      <x:c r="A11"/>
      <x:c r="B11"/>
      <x:c r="C11"/>
      <x:c r="D11"/>
      <x:c r="E11"/>
      <x:c r="F11"/>
    </x:row>
    <x:row r="12">
      <x:c r="A12"/>
      <x:c r="B12"/>
      <x:c r="C12"/>
      <x:c r="D12"/>
      <x:c r="E12"/>
      <x:c r="F12"/>
    </x:row>
  </x:sheetData>
  <x:mergeCells>
    <x:mergeCell ref="A1:F1"/>
    <x:mergeCell ref="A2:F2"/>
    <x:mergeCell ref="A4:F4"/>
  </x:mergeCells>
  <x:pageMargins left="0.7" right="0.7" top="0.75" bottom="0.75" header="0.3" footer="0.3"/>
</x:worksheet>
</file>

<file path=xl/worksheets/sheet5.xml><?xml version="1.0" encoding="utf-8"?>
<x:worksheet xmlns:x="http://schemas.openxmlformats.org/spreadsheetml/2006/main">
  <x:sheetFormatPr defaultRowHeight="15"/>
  <x:cols>
    <x:col min="1" max="1" width="6" hidden="0" customWidth="1"/>
    <x:col min="2" max="2" width="16" hidden="0" customWidth="1"/>
    <x:col min="3" max="3" width="24" hidden="0" customWidth="1"/>
    <x:col min="4" max="4" width="31" hidden="0" customWidth="1"/>
    <x:col min="5" max="5" width="30" hidden="0" customWidth="1"/>
    <x:col min="6" max="6" width="20" hidden="0" customWidth="1"/>
    <x:col min="7" max="7" width="48" hidden="0" customWidth="1"/>
    <x:col min="8" max="8" width="38" hidden="0" customWidth="1"/>
    <x:col min="9" max="9" width="38" hidden="0" customWidth="1"/>
    <x:col min="10" max="10" width="48" hidden="0" customWidth="1"/>
    <x:col min="11" max="11" width="42" hidden="0" customWidth="1"/>
  </x:cols>
  <x:sheetData>
    <x:row r="1" ht="28" customHeight="1">
      <x:c r="A1" s="5" t="str">
        <x:v>FORMULIR BASELINE V.0 — MITRA KINERJA — BAPPERIDA KABUPATEN BINTAN</x:v>
      </x:c>
      <x:c r="B1" s="5" t="str">
        <x:v>SIMULASI FORMULIR BASELINE V.0 — MITRA KINERJA</x:v>
      </x:c>
      <x:c r="C1" s="5" t="str">
        <x:v>SIMULASI FORMULIR BASELINE V.0 — MITRA KINERJA</x:v>
      </x:c>
      <x:c r="D1" s="5" t="str">
        <x:v>SIMULASI FORMULIR BASELINE V.0 — MITRA KINERJA</x:v>
      </x:c>
      <x:c r="E1" s="5" t="str">
        <x:v>SIMULASI FORMULIR BASELINE V.0 — MITRA KINERJA</x:v>
      </x:c>
      <x:c r="F1" s="5" t="str">
        <x:v>SIMULASI FORMULIR BASELINE V.0 — MITRA KINERJA</x:v>
      </x:c>
      <x:c r="G1" s="5" t="str">
        <x:v>SIMULASI FORMULIR BASELINE V.0 — MITRA KINERJA</x:v>
      </x:c>
      <x:c r="H1" s="5" t="str">
        <x:v>SIMULASI FORMULIR BASELINE V.0 — MITRA KINERJA</x:v>
      </x:c>
      <x:c r="I1" s="5" t="str">
        <x:v>SIMULASI FORMULIR BASELINE V.0 — MITRA KINERJA</x:v>
      </x:c>
      <x:c r="J1" s="5"/>
      <x:c r="K1" s="5"/>
    </x:row>
    <x:row r="2">
      <x:c r="A2" s="58" t="str">
        <x:v>P04 — PILOT UTAMA — Badan Perencanaan Pembangunan, Riset, dan Inovasi Daerah Kabupaten Bintan</x:v>
      </x:c>
      <x:c r="B2" s="58"/>
      <x:c r="C2" s="58"/>
      <x:c r="D2" s="58"/>
      <x:c r="E2" s="58"/>
      <x:c r="F2" s="58"/>
      <x:c r="G2" s="58"/>
      <x:c r="H2" s="58"/>
      <x:c r="I2" s="58"/>
      <x:c r="J2" s="58"/>
      <x:c r="K2" s="58"/>
    </x:row>
    <x:row r="3">
      <x:c r="A3"/>
      <x:c r="B3"/>
      <x:c r="C3"/>
      <x:c r="D3"/>
      <x:c r="E3"/>
      <x:c r="F3"/>
      <x:c r="G3"/>
      <x:c r="H3"/>
      <x:c r="I3"/>
    </x:row>
    <x:row r="4" ht="22" customHeight="1">
      <x:c r="A4" s="18" t="str">
        <x:v>IDENTITAS NASKAH DAN KONTROL PEMERIKSAAN</x:v>
      </x:c>
      <x:c r="B4" s="18"/>
      <x:c r="C4" s="18"/>
      <x:c r="D4" s="18"/>
      <x:c r="E4" s="18"/>
      <x:c r="F4" s="18"/>
      <x:c r="G4" s="18"/>
      <x:c r="H4" s="18"/>
      <x:c r="I4" s="18"/>
      <x:c r="J4" s="18"/>
      <x:c r="K4" s="18"/>
    </x:row>
    <x:row r="5">
      <x:c r="A5" s="31" t="str">
        <x:v>Kode naskah</x:v>
      </x:c>
      <x:c r="B5" s="32" t="str">
        <x:v>P04</x:v>
      </x:c>
      <x:c r="C5" s="32"/>
      <x:c r="D5" s="31" t="str">
        <x:v>Status portofolio</x:v>
      </x:c>
      <x:c r="E5" s="32" t="str">
        <x:v>Pilot Utama</x:v>
      </x:c>
      <x:c r="F5" s="32"/>
      <x:c r="G5" s="31" t="str">
        <x:v>Nama pemeriksa</x:v>
      </x:c>
      <x:c r="H5" s="32" t="str">
        <x:v>SIMULASI AWAL — belum diverifikasi petugas</x:v>
      </x:c>
      <x:c r="I5" s="32" t="str">
        <x:v>SIMULASI AWAL — belum diverifikasi petugas</x:v>
      </x:c>
      <x:c r="J5" s="32"/>
      <x:c r="K5" s="32"/>
    </x:row>
    <x:row r="6">
      <x:c r="A6" s="31" t="str">
        <x:v>Mitra</x:v>
      </x:c>
      <x:c r="B6" s="32" t="str">
        <x:v>Badan Perencanaan Pembangunan, Riset, dan Inovasi Daerah Kabupaten Bintan</x:v>
      </x:c>
      <x:c r="C6" s="32"/>
      <x:c r="D6" s="31"/>
      <x:c r="E6" s="32"/>
      <x:c r="F6" s="32"/>
      <x:c r="G6" s="31" t="str">
        <x:v>Unit/Tim pemeriksa</x:v>
      </x:c>
      <x:c r="H6" s="32" t="str">
        <x:v>Pokja Data / pemeriksa naskah (simulasi)</x:v>
      </x:c>
      <x:c r="I6" s="32" t="str">
        <x:v>Pokja Data / pemeriksa naskah (simulasi)</x:v>
      </x:c>
      <x:c r="J6" s="32"/>
      <x:c r="K6" s="32"/>
    </x:row>
    <x:row r="7">
      <x:c r="A7" s="31" t="str">
        <x:v>Jenis awal</x:v>
      </x:c>
      <x:c r="B7" s="32" t="str">
        <x:v>PKS</x:v>
      </x:c>
      <x:c r="C7" s="32"/>
      <x:c r="D7" s="31" t="str">
        <x:v>Nomor naskah awal</x:v>
      </x:c>
      <x:c r="E7" s="32" t="str">
        <x:v>BELUM TERVERIFIKASI</x:v>
      </x:c>
      <x:c r="F7" s="32" t="str">
        <x:v>BELUM TERVERIFIKASI</x:v>
      </x:c>
      <x:c r="G7" s="31" t="str">
        <x:v>Tanggal pemeriksaan</x:v>
      </x:c>
      <x:c r="H7" s="75" t="n">
        <x:v>46262</x:v>
      </x:c>
      <x:c r="I7" s="32" t="n">
        <x:v>46262</x:v>
      </x:c>
      <x:c r="J7" s="32"/>
      <x:c r="K7" s="32"/>
    </x:row>
    <x:row r="8">
      <x:c r="A8" s="31" t="str">
        <x:v>Judul awal</x:v>
      </x:c>
      <x:c r="B8" s="32" t="str">
        <x:v>Pelindungan dan Pemanfaatan Kekayaan Intelektual</x:v>
      </x:c>
      <x:c r="C8" s="32"/>
      <x:c r="D8" s="31"/>
      <x:c r="E8" s="32"/>
      <x:c r="F8" s="32"/>
      <x:c r="G8" s="31" t="str">
        <x:v>Cut-off baseline</x:v>
      </x:c>
      <x:c r="H8" s="75" t="n">
        <x:v>46262</x:v>
      </x:c>
      <x:c r="I8" s="32" t="n">
        <x:v>46262</x:v>
      </x:c>
      <x:c r="J8" s="32"/>
      <x:c r="K8" s="32"/>
    </x:row>
    <x:row r="9">
      <x:c r="A9" s="31" t="str">
        <x:v>Tanggal mulai awal</x:v>
      </x:c>
      <x:c r="B9" s="75" t="n">
        <x:v>46203</x:v>
      </x:c>
      <x:c r="C9" s="32"/>
      <x:c r="D9" s="31" t="str">
        <x:v>Tanggal berakhir awal</x:v>
      </x:c>
      <x:c r="E9" s="75" t="n">
        <x:v>47298</x:v>
      </x:c>
      <x:c r="F9" s="32"/>
      <x:c r="G9" s="31" t="str">
        <x:v>Status pengisian</x:v>
      </x:c>
      <x:c r="H9" s="32" t="str">
        <x:v>SELESAI DIISI</x:v>
      </x:c>
      <x:c r="I9" s="32"/>
      <x:c r="J9" s="32"/>
      <x:c r="K9" s="32"/>
    </x:row>
    <x:row r="10">
      <x:c r="A10" t="str">
        <x:v>SIMULASI — Data awal berasal dari matriks scoring dan penelusuran publik P2MA per 28 Agustus 2026. Isian ini belum merupakan verifikasi resmi; nomor naskah, arsip internal, PIC, pelaksanaan, eviden, dan hambatan tetap harus dikonfirmasi.</x:v>
      </x:c>
      <x:c r="B10" t="str">
        <x:v>SIMULASI — Data awal berasal dari matriks scoring dan penelusuran publik P2MA per 28 Agustus 2026. Isian ini belum merupakan verifikasi resmi; nomor naskah, arsip internal, PIC, pelaksanaan, eviden, dan hambatan tetap harus dikonfirmasi.</x:v>
      </x:c>
      <x:c r="C10" t="str">
        <x:v>SIMULASI — Data awal berasal dari matriks scoring dan penelusuran publik P2MA per 28 Agustus 2026. Isian ini belum merupakan verifikasi resmi; nomor naskah, arsip internal, PIC, pelaksanaan, eviden, dan hambatan tetap harus dikonfirmasi.</x:v>
      </x:c>
      <x:c r="D10" t="str">
        <x:v>SIMULASI — Data awal berasal dari matriks scoring dan penelusuran publik P2MA per 28 Agustus 2026. Isian ini belum merupakan verifikasi resmi; nomor naskah, arsip internal, PIC, pelaksanaan, eviden, dan hambatan tetap harus dikonfirmasi.</x:v>
      </x:c>
      <x:c r="E10" t="str">
        <x:v>SIMULASI — Data awal berasal dari matriks scoring dan penelusuran publik P2MA per 28 Agustus 2026. Isian ini belum merupakan verifikasi resmi; nomor naskah, arsip internal, PIC, pelaksanaan, eviden, dan hambatan tetap harus dikonfirmasi.</x:v>
      </x:c>
      <x:c r="F10" t="str">
        <x:v>SIMULASI — Data awal berasal dari matriks scoring dan penelusuran publik P2MA per 28 Agustus 2026. Isian ini belum merupakan verifikasi resmi; nomor naskah, arsip internal, PIC, pelaksanaan, eviden, dan hambatan tetap harus dikonfirmasi.</x:v>
      </x:c>
      <x:c r="G10" t="str">
        <x:v>SIMULASI — Data awal berasal dari matriks scoring dan penelusuran publik P2MA per 28 Agustus 2026. Isian ini belum merupakan verifikasi resmi; nomor naskah, arsip internal, PIC, pelaksanaan, eviden, dan hambatan tetap harus dikonfirmasi.</x:v>
      </x:c>
      <x:c r="H10" t="str">
        <x:v>SIMULASI — Data awal berasal dari matriks scoring dan penelusuran publik P2MA per 28 Agustus 2026. Isian ini belum merupakan verifikasi resmi; nomor naskah, arsip internal, PIC, pelaksanaan, eviden, dan hambatan tetap harus dikonfirmasi.</x:v>
      </x:c>
      <x:c r="I10" t="str">
        <x:v>SIMULASI — Data awal berasal dari matriks scoring dan penelusuran publik P2MA per 28 Agustus 2026. Isian ini belum merupakan verifikasi resmi; nomor naskah, arsip internal, PIC, pelaksanaan, eviden, dan hambatan tetap harus dikonfirmasi.</x:v>
      </x:c>
    </x:row>
    <x:row r="11">
      <x:c r="A11"/>
      <x:c r="B11"/>
      <x:c r="C11"/>
      <x:c r="D11"/>
      <x:c r="E11"/>
      <x:c r="F11"/>
      <x:c r="G11"/>
      <x:c r="H11"/>
      <x:c r="I11"/>
    </x:row>
    <x:row r="12">
      <x:c r="A12" s="49" t="str">
        <x:v>No</x:v>
      </x:c>
      <x:c r="B12" s="49" t="str">
        <x:v>Kelompok</x:v>
      </x:c>
      <x:c r="C12" s="49" t="str">
        <x:v>Elemen baseline</x:v>
      </x:c>
      <x:c r="D12" s="49" t="str">
        <x:v>Yang diperiksa</x:v>
      </x:c>
      <x:c r="E12" s="49" t="str">
        <x:v>Sumber/bukti minimum</x:v>
      </x:c>
      <x:c r="F12" s="49" t="str">
        <x:v>Status</x:v>
      </x:c>
      <x:c r="G12" s="49" t="str">
        <x:v>Fakta/hasil pemeriksaan</x:v>
      </x:c>
      <x:c r="H12" s="49" t="str">
        <x:v>Sumber/link bukti</x:v>
      </x:c>
      <x:c r="I12" s="49" t="str">
        <x:v>Catatan verifikasi</x:v>
      </x:c>
      <x:c r="J12" s="49" t="str">
        <x:v>PEMBARUAN TERINTEGRASI</x:v>
      </x:c>
      <x:c r="K12" s="49" t="str">
        <x:v>CATATAN KENDALI</x:v>
      </x:c>
    </x:row>
    <x:row r="13">
      <x:c r="A13" s="32" t="n">
        <x:v>1</x:v>
      </x:c>
      <x:c r="B13" s="32" t="str">
        <x:v>IDENTITAS</x:v>
      </x:c>
      <x:c r="C13" s="32" t="str">
        <x:v>Identitas naskah</x:v>
      </x:c>
      <x:c r="D13" s="32" t="str">
        <x:v>Jenis, nomor para pihak, judul, dan nama resmi mitra sesuai naskah.</x:v>
      </x:c>
      <x:c r="E13" s="32" t="str">
        <x:v>Naskah bertanda tangan; P2MA sebagai pembanding.</x:v>
      </x:c>
      <x:c r="F13" s="32" t="str">
        <x:v>TERVERIFIKASI</x:v>
      </x:c>
      <x:c r="G13" s="32" t="str">
        <x:v>Jenis, mitra, judul, nomor narahubung serta  halaman tanda tangan  dapat dicocokkan dengan hasil pencarian/naskah P2MA. Jenis, mitra, dan judul sesuai hasil pencarian P2MA. </x:v>
      </x:c>
      <x:c r="H13" s="32" t="str">
        <x:v>https://p2ma.kemenkum.go.id/uploads/kerjasama/naskah/1785760267.pdf</x:v>
      </x:c>
      <x:c r="I13" s="32" t="str">
        <x:v>Jenis, mitra, judul, nomor narahubung serta  halaman tanda tangan  dapat dicocokkan dengan hasil pencarian/naskah P2MA. Jenis, mitra, dan judul sesuai hasil pencarian P2MA. </x:v>
      </x:c>
      <x:c r="J13" s="63" t="str">
        <x:f>'IDENTITAS &amp; PIC'!C5</x:f>
        <x:v>Badan Perencanaan Pembangunan Riset dan Inovasi Daerah Kabupaten Bintan</x:v>
      </x:c>
      <x:c r="K13" s="63" t="str">
        <x:f>IF(OR(LEFT(J13,9)="Belum ada",LEFT(J13,9)="Tidak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4">
      <x:c r="A14" s="32" t="n">
        <x:v>2</x:v>
      </x:c>
      <x:c r="B14" s="32" t="str">
        <x:v>MASA BERLAKU</x:v>
      </x:c>
      <x:c r="C14" s="32" t="str">
        <x:v>Masa berlaku</x:v>
      </x:c>
      <x:c r="D14" s="32" t="str">
        <x:v>Tanggal efektif, durasi, dan tanggal berakhir sesuai klausul naskah.</x:v>
      </x:c>
      <x:c r="E14" s="32" t="str">
        <x:v>Klausul jangka waktu; halaman tanda tangan; P2MA.</x:v>
      </x:c>
      <x:c r="F14" s="32" t="str">
        <x:v>TERVERIFIKASI</x:v>
      </x:c>
      <x:c r="G14" s="32" t="str">
        <x:v>P2MA publik menampilkan status Berlangsung, mulai 30 Juni 2026 dan berakhir 29 Juni 2029; tanggal sesuai data awal.</x:v>
      </x:c>
      <x:c r="H14" s="32" t="str">
        <x:v>https://p2ma.kemenkum.go.id/kdn/pencarian?tipe=1&amp;keyword=Badan%20Perencanaan%20Pembangunan%2C%20Riset%2C%20dan%20Inovasi%20Daerah%20Kabupaten%20Bintan</x:v>
      </x:c>
      <x:c r="I14" s="32" t="str">
        <x:v>Tanggal sesuai antara data awal dan P2MA publik; tetap periksa klausul naskah final.</x:v>
      </x:c>
      <x:c r="J14" s="96" t="str">
        <x:f>'IDENTITAS &amp; PIC'!C7</x:f>
        <x:v>30 Juni 2026</x:v>
      </x:c>
      <x:c r="K14" s="63" t="str">
        <x:f>IF(OR(LEFT(J14,9)="Belum ada",LEFT(J14,9)="Tidak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5">
      <x:c r="A15" s="32" t="n">
        <x:v>3</x:v>
      </x:c>
      <x:c r="B15" s="32" t="str">
        <x:v>SUBSTANSI</x:v>
      </x:c>
      <x:c r="C15" s="32" t="str">
        <x:v>Ruang lingkup</x:v>
      </x:c>
      <x:c r="D15" s="32" t="str">
        <x:v>Ruang kerja, kewajiban, atau kegiatan utama yang disepakati.</x:v>
      </x:c>
      <x:c r="E15" s="32" t="str">
        <x:v>Pasal ruang lingkup/hak-kewajiban; lampiran.</x:v>
      </x:c>
      <x:c r="F15" s="32" t="str">
        <x:v>TERVERIFIKASI</x:v>
      </x:c>
      <x:c r="G15" s="32" t="str">
        <x:v>Ruang lingkup yang tercatat meliputi sosialisasi dan bimbingan teknis KI; peningkatan kapasitas SDM di bidang KI; fasilitasi pendaftaran KI; pembentukan Sentra KI; serta kegiatan lain yang disepakati di bidang KI.</x:v>
      </x:c>
      <x:c r="H15" s="32" t="str">
        <x:v>https://p2ma.kemenkum.go.id/uploads/kerjasama/naskah/1785760267.pdf</x:v>
      </x:c>
      <x:c r="I15" s="32" t="str">
        <x:v>Ruang lingkup merupakan komitmen dalam naskah, bukan bukti bahwa kegiatan telah dilaksanakan.</x:v>
      </x:c>
      <x:c r="J15" s="63" t="str">
        <x:f>IF('IDENTITAS &amp; PIC'!C8="","Belum ada pembaruan ruang lingkup",'IDENTITAS &amp; PIC'!C8)</x:f>
        <x:v>Perlindungan dan Pemanfaatan Kekayaan Intelektual</x:v>
      </x:c>
      <x:c r="K15" s="63" t="str">
        <x:f>IF(OR(LEFT(J15,9)="Belum ada",LEFT(J15,9)="Tidak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6">
      <x:c r="A16" s="32" t="n">
        <x:v>4</x:v>
      </x:c>
      <x:c r="B16" s="32" t="str">
        <x:v>TATA KELOLA</x:v>
      </x:c>
      <x:c r="C16" s="32" t="str">
        <x:v>Status arsip</x:v>
      </x:c>
      <x:c r="D16" s="32" t="str">
        <x:v>Ketersediaan naskah lengkap pada lokasi arsip resmi dan dapat ditemukan kembali.</x:v>
      </x:c>
      <x:c r="E16" s="32" t="str">
        <x:v>Arsip resmi; register; folder organisasi.</x:v>
      </x:c>
      <x:c r="F16" s="32" t="str">
        <x:v>TERVERIFIKASI</x:v>
      </x:c>
      <x:c r="G16" s="32" t="str">
        <x:v>Salinan naskah dapat dibuka melalui P2MA. Lokasi arsip resmi internal sudah ada di Bagian Tata Usaha dan Umum Kantor Wilayah.</x:v>
      </x:c>
      <x:c r="H16" s="32" t="str">
        <x:v>Naskah P2MA pada baris 5; arsip internal sudah di Arsiparis</x:v>
      </x:c>
      <x:c r="I16" s="32" t="str">
        <x:v>Minta lokasi folder/register resmi kepada tata usaha atau unit pengampu.</x:v>
      </x:c>
      <x:c r="J16" s="63" t="str">
        <x:v>Belum ada pembaruan arsip dari sheet input</x:v>
      </x:c>
      <x:c r="K16" s="63" t="str">
        <x:f>IF(OR(LEFT(J16,9)="Belum ada",LEFT(J16,9)="Tidak ada"),"Tidak ada pembaruan yang mengubah baseline.","Pembaruan tersedia sebagai referensi; status baseline tidak berubah otomatis dan tetap memerlukan verifikasi.")</x:f>
        <x:v>Tidak ada pembaruan yang mengubah baseline.</x:v>
      </x:c>
    </x:row>
    <x:row r="17">
      <x:c r="A17" s="32" t="n">
        <x:v>5</x:v>
      </x:c>
      <x:c r="B17" s="32" t="str">
        <x:v>TATA KELOLA</x:v>
      </x:c>
      <x:c r="C17" s="32" t="str">
        <x:v>Status P2MA</x:v>
      </x:c>
      <x:c r="D17" s="32" t="str">
        <x:v>Keberadaan entri dan kesesuaian metadata P2MA dengan naskah resmi.</x:v>
      </x:c>
      <x:c r="E17" s="32" t="str">
        <x:v>P2MA dan naskah bertanda tangan.</x:v>
      </x:c>
      <x:c r="F17" s="32" t="str">
        <x:v>TERVERIFIKASI</x:v>
      </x:c>
      <x:c r="G17" s="32" t="str">
        <x:v>Entri publik P2MA ditemukan dengan status Berlangsung dan naskah PDF dapat dibuka. Satu entri ditemukan dan tautan PDF dapat dibuka.</x:v>
      </x:c>
      <x:c r="H17" s="32" t="str">
        <x:v>https://p2ma.kemenkum.go.id/kdn/pencarian?tipe=1&amp;keyword=Badan%20Perencanaan%20Pembangunan%2C%20Riset%2C%20dan%20Inovasi%20Daerah%20Kabupaten%20Bintan</x:v>
      </x:c>
      <x:c r="I17" s="32" t="str">
        <x:v>Pemeriksaan publik dilakukan pada 28 Agustus 2026.</x:v>
      </x:c>
      <x:c r="J17" s="63" t="str">
        <x:v>Belum ada pembaruan P2MA dari sheet input</x:v>
      </x:c>
      <x:c r="K17" s="63" t="str">
        <x:f>IF(OR(LEFT(J17,9)="Belum ada",LEFT(J17,9)="Tidak ada"),"Tidak ada pembaruan yang mengubah baseline.","Pembaruan tersedia sebagai referensi; status baseline tidak berubah otomatis dan tetap memerlukan verifikasi.")</x:f>
        <x:v>Tidak ada pembaruan yang mengubah baseline.</x:v>
      </x:c>
    </x:row>
    <x:row r="18">
      <x:c r="A18" s="32" t="n">
        <x:v>6</x:v>
      </x:c>
      <x:c r="B18" s="32" t="str">
        <x:v>PENGAMPU</x:v>
      </x:c>
      <x:c r="C18" s="32" t="str">
        <x:v>Unit pengampu</x:v>
      </x:c>
      <x:c r="D18" s="32" t="str">
        <x:v>Unit internal yang bertanggung jawab atas substansi dan implementasi kerja sama.</x:v>
      </x:c>
      <x:c r="E18" s="32" t="str">
        <x:v>ND/SK/pembagian tugas; konfirmasi tertulis unit.</x:v>
      </x:c>
      <x:c r="F18" s="32" t="str">
        <x:v>BELUM TERSEDIA</x:v>
      </x:c>
      <x:c r="G18" s="32" t="str">
        <x:v>Naskah dan P2MA publik belum cukup untuk menetapkan unit internal yang bertanggung jawab atas implementasi kerja sama.</x:v>
      </x:c>
      <x:c r="H18" s="32" t="str">
        <x:v>Naskah/P2MA publik; ND, SK, pembagian tugas, atau konfirmasi unit belum diperoleh.</x:v>
      </x:c>
      <x:c r="I18" s="32" t="str">
        <x:v>Nomor PIC Belum di Cantumkan Namun sudah ada
PIC KI Booby Briando
PIC Baperida Ibu Diana</x:v>
      </x:c>
      <x:c r="J18" s="63" t="str">
        <x:v>Belum ada pembaruan unit pengampu dari sheet input</x:v>
      </x:c>
      <x:c r="K18" s="63" t="str">
        <x:f>IF(OR(LEFT(J18,9)="Belum ada",LEFT(J18,9)="Tidak ada"),"Tidak ada pembaruan yang mengubah baseline.","Pembaruan tersedia sebagai referensi; status baseline tidak berubah otomatis dan tetap memerlukan verifikasi.")</x:f>
        <x:v>Tidak ada pembaruan yang mengubah baseline.</x:v>
      </x:c>
    </x:row>
    <x:row r="19">
      <x:c r="A19" s="32" t="n">
        <x:v>7</x:v>
      </x:c>
      <x:c r="B19" s="32" t="str">
        <x:v>PIC</x:v>
      </x:c>
      <x:c r="C19" s="32" t="str">
        <x:v>PIC internal</x:v>
      </x:c>
      <x:c r="D19" s="32" t="str">
        <x:v>PIC utama dan cadangan yang aktif, lengkap dengan jabatan, kontak, dan dasar penetapan.</x:v>
      </x:c>
      <x:c r="E19" s="32" t="str">
        <x:v>ND/SK/daftar PIC; konfirmasi tertulis unit.</x:v>
      </x:c>
      <x:c r="F19" s="32" t="str">
        <x:v>BELUM TERSEDIA</x:v>
      </x:c>
      <x:c r="G19" s="32" t="str">
        <x:v>PIC internal utama dan cadangan belum dapat dipastikan dari sumber publik yang diperiksa.</x:v>
      </x:c>
      <x:c r="H19" s="32" t="str">
        <x:v>Daftar PIC, ND/SK, dan konfirmasi tertulis unit belum diperoleh.</x:v>
      </x:c>
      <x:c r="I19" s="32" t="str">
        <x:v>Nomor PIC Belum di Cantumkan Namun sudah ada
PIC KI Booby Briando
PIC Baperida Ibu Diana</x:v>
      </x:c>
      <x:c r="J19" s="63" t="str">
        <x:v>Belum ada pembaruan PIC internal dari sheet input</x:v>
      </x:c>
      <x:c r="K19" s="63" t="str">
        <x:f>IF(OR(LEFT(J19,9)="Belum ada",LEFT(J19,9)="Tidak ada"),"Tidak ada pembaruan yang mengubah baseline.","Pembaruan tersedia sebagai referensi; status baseline tidak berubah otomatis dan tetap memerlukan verifikasi.")</x:f>
        <x:v>Tidak ada pembaruan yang mengubah baseline.</x:v>
      </x:c>
    </x:row>
    <x:row r="20">
      <x:c r="A20" s="32" t="n">
        <x:v>8</x:v>
      </x:c>
      <x:c r="B20" s="32" t="str">
        <x:v>PIC</x:v>
      </x:c>
      <x:c r="C20" s="32" t="str">
        <x:v>PIC mitra</x:v>
      </x:c>
      <x:c r="D20" s="32" t="str">
        <x:v>Penghubung operasional pihak mitra yang telah dikonfirmasi.</x:v>
      </x:c>
      <x:c r="E20" s="32" t="str">
        <x:v>Surat/email/form konfirmasi resmi dari mitra.</x:v>
      </x:c>
      <x:c r="F20" s="32" t="str">
        <x:v>BELUM TERSEDIA</x:v>
      </x:c>
      <x:c r="G20" s="32" t="str">
        <x:v>PIC operasional pihak mitra belum dikonfirmasi melalui surat, email resmi, atau formulir penunjukan.</x:v>
      </x:c>
      <x:c r="H20" s="32" t="str">
        <x:v>Surat/email/formulir penunjukan PIC mitra belum diperoleh.</x:v>
      </x:c>
      <x:c r="I20" s="32" t="str">
        <x:v>Nomor PIC Belum di Cantumkan Namun sudah ada
PIC KI Booby Briando
PIC Baperida Ibu Diana</x:v>
      </x:c>
      <x:c r="J20" s="63" t="str">
        <x:f>IF(OR('IDENTITAS &amp; PIC'!C11="",LEFT('IDENTITAS &amp; PIC'!C11,1)="&lt;"),"Belum ada PIC mitra yang diisi","PIC mitra: "&amp;'IDENTITAS &amp; PIC'!C11&amp;" | Jabatan: "&amp;'IDENTITAS &amp; PIC'!G11&amp;" | Unit: "&amp;'IDENTITAS &amp; PIC'!C12&amp;" | HP: "&amp;'IDENTITAS &amp; PIC'!G12&amp;" | Email: "&amp;TRIM('IDENTITAS &amp; PIC'!C13)&amp;" | Status: "&amp;'IDENTITAS &amp; PIC'!G13&amp;" | PIC cadangan: "&amp;'IDENTITAS &amp; PIC'!C16&amp;" ("&amp;'IDENTITAS &amp; PIC'!G16&amp;")")</x:f>
        <x:v>PIC mitra: Diana Martin | Jabatan: Perencana Muda | Unit: Badan Perencanaan Pembangunan Riset dan Inovasi Daerah Kabupaten Bintan | HP: 085272076355 | Email: bintan.litbang@gmail.com | Status: Tetap | PIC cadangan: Susila Candra (Penyusun Rencana Kegiatan dan Anggaran)</x:v>
      </x:c>
      <x:c r="K20" s="63" t="str">
        <x:f>IF(OR(LEFT(J20,9)="Belum ada",LEFT(J20,9)="Tidak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21">
      <x:c r="A21" s="32" t="n">
        <x:v>9</x:v>
      </x:c>
      <x:c r="B21" s="32" t="str">
        <x:v>TINDAK LANJUT</x:v>
      </x:c>
      <x:c r="C21" s="32" t="str">
        <x:v>Rencana tindak lanjut</x:v>
      </x:c>
      <x:c r="D21" s="32" t="str">
        <x:v>Dokumen atau komitmen operasional yang memuat kegiatan, periode, target, dan/atau PIC.</x:v>
      </x:c>
      <x:c r="E21" s="32" t="str">
        <x:v>Rencana aksi; matriks kerja; kalender; notula.</x:v>
      </x:c>
      <x:c r="F21" s="32" t="str">
        <x:v>BELUM TERSEDIA</x:v>
      </x:c>
      <x:c r="G21" s="32" t="str">
        <x:v>Ruang lingkup naskah tersedia, tetapi belum ditemukan rencana aksi atau komitmen operasional yang memuat kegiatan, periode, target, dan PIC.</x:v>
      </x:c>
      <x:c r="H21" s="32" t="str">
        <x:v>Rencana aksi, matriks kerja, kalender, atau notula belum diperoleh.</x:v>
      </x:c>
      <x:c r="I21" s="32" t="str">
        <x:v>Ruang lingkup umum dalam MoU/PKS tidak otomatis menjadi rencana tindak lanjut.</x:v>
      </x:c>
      <x:c r="J21" s="63" t="str">
        <x:f>IF((IF('USULAN TINDAK LANJUT'!B7&lt;&gt;"",1,0)+IF('USULAN TINDAK LANJUT'!B8&lt;&gt;"",1,0)+IF('USULAN TINDAK LANJUT'!B9&lt;&gt;"",1,0)+IF('USULAN TINDAK LANJUT'!B10&lt;&gt;"",1,0))=0,"Belum ada usulan tindak lanjut terisi","Jumlah usulan: "&amp;(IF('USULAN TINDAK LANJUT'!B7&lt;&gt;"",1,0)+IF('USULAN TINDAK LANJUT'!B8&lt;&gt;"",1,0)+IF('USULAN TINDAK LANJUT'!B9&lt;&gt;"",1,0)+IF('USULAN TINDAK LANJUT'!B10&lt;&gt;"",1,0))&amp;" | Prioritas pertama: "&amp;'USULAN TINDAK LANJUT'!B7&amp;" | Target: "&amp;'USULAN TINDAK LANJUT'!C7)</x:f>
        <x:v>Jumlah usulan: 3 | Prioritas pertama: Sosialisasi Pendaftaran HAKI | Target: 2026</x:v>
      </x:c>
      <x:c r="K21" s="63" t="str">
        <x:f>IF(OR(LEFT(J21,9)="Belum ada",LEFT(J21,9)="Tidak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22">
      <x:c r="A22" s="32" t="n">
        <x:v>10</x:v>
      </x:c>
      <x:c r="B22" s="32" t="str">
        <x:v>PELAKSANAAN</x:v>
      </x:c>
      <x:c r="C22" s="32" t="str">
        <x:v>Pelaksanaan dan hasil</x:v>
      </x:c>
      <x:c r="D22" s="32" t="str">
        <x:v>Kegiatan aktual, realisasi terhadap target jatuh tempo, serta output yang dihasilkan.</x:v>
      </x:c>
      <x:c r="E22" s="32" t="str">
        <x:v>Laporan; undangan; notula; daftar hadir; data hasil.</x:v>
      </x:c>
      <x:c r="F22" s="32" t="str">
        <x:v>BELUM TERSEDIA</x:v>
      </x:c>
      <x:c r="G22" s="32" t="str">
        <x:v>Status Berlangsung pada P2MA belum membuktikan kegiatan atau output. Laporan pelaksanaan dan data hasil belum diperiksa.</x:v>
      </x:c>
      <x:c r="H22" s="32" t="str">
        <x:v>Laporan, undangan, notula, daftar hadir, dan data hasil belum diperoleh.</x:v>
      </x:c>
      <x:c r="I22" s="32" t="str">
        <x:v>Belum terdapat Kegiatan bersama</x:v>
      </x:c>
      <x:c r="J22" s="63" t="str">
        <x:f>IF((IF('PELAKSANAAN KEGIATAN'!B7&lt;&gt;"",1,0)+IF('PELAKSANAAN KEGIATAN'!B8&lt;&gt;"",1,0)+IF('PELAKSANAAN KEGIATAN'!B9&lt;&gt;"",1,0))=0,"Belum ada kegiatan pada sheet pelaksanaan","Jumlah kegiatan terdata: "&amp;(IF('PELAKSANAAN KEGIATAN'!B7&lt;&gt;"",1,0)+IF('PELAKSANAAN KEGIATAN'!B8&lt;&gt;"",1,0)+IF('PELAKSANAAN KEGIATAN'!B9&lt;&gt;"",1,0))&amp;" | Kegiatan pertama: "&amp;'PELAKSANAAN KEGIATAN'!B7&amp;" | Status: "&amp;'PELAKSANAAN KEGIATAN'!C7)</x:f>
        <x:v>Jumlah kegiatan terdata: 2 | Kegiatan pertama: Rapat Koordinasi Kelitbangan Kabupaten Bintan Tahun 2026 | Status: Sudah Dilaksanakan</x:v>
      </x:c>
      <x:c r="K22" s="63" t="str">
        <x:f>IF(OR(LEFT(J22,9)="Belum ada",LEFT(J22,9)="Tidak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23">
      <x:c r="A23" s="32" t="n">
        <x:v>11</x:v>
      </x:c>
      <x:c r="B23" s="32" t="str">
        <x:v>EVIDEN</x:v>
      </x:c>
      <x:c r="C23" s="32" t="str">
        <x:v>Eviden implementasi</x:v>
      </x:c>
      <x:c r="D23" s="32" t="str">
        <x:v>Bukti pelaksanaan/output, lokasi penyimpanan, dan tingkat keteraturannya.</x:v>
      </x:c>
      <x:c r="E23" s="32" t="str">
        <x:v>Folder resmi; indeks bukti; dokumen/data kegiatan.</x:v>
      </x:c>
      <x:c r="F23" s="32" t="str">
        <x:v>BELUM TERSEDIA</x:v>
      </x:c>
      <x:c r="G23" s="32" t="str">
        <x:v>Naskah dan entri P2MA tersedia, tetapi folder resmi, indeks, serta bukti implementasi belum diperiksa.</x:v>
      </x:c>
      <x:c r="H23" s="32" t="str">
        <x:v>Folder eviden, indeks bukti, dan dokumen/data kegiatan belum diperoleh.</x:v>
      </x:c>
      <x:c r="I23" s="32" t="str">
        <x:v>Belum terdapat Kegiatan bersama</x:v>
      </x:c>
      <x:c r="J23" s="63" t="str">
        <x:f>IF((IF('PELAKSANAAN KEGIATAN'!E7&lt;&gt;"",1,0)+IF('PELAKSANAAN KEGIATAN'!E8&lt;&gt;"",1,0)+IF('PELAKSANAAN KEGIATAN'!E9&lt;&gt;"",1,0))=0,"Belum ada keterangan bukti pada sheet pelaksanaan","Jumlah kegiatan dengan keterangan bukti: "&amp;(IF('PELAKSANAAN KEGIATAN'!E7&lt;&gt;"",1,0)+IF('PELAKSANAAN KEGIATAN'!E8&lt;&gt;"",1,0)+IF('PELAKSANAAN KEGIATAN'!E9&lt;&gt;"",1,0))&amp;" | Bukti pertama: "&amp;'PELAKSANAAN KEGIATAN'!E7)</x:f>
        <x:v>Jumlah kegiatan dengan keterangan bukti: 2 | Bukti pertama: https://drive.google.com/file/d/13QXb2_XyqfiSlcYES2OoZmEEx0jgtTT4/view?usp=sharing</x:v>
      </x:c>
      <x:c r="K23" s="63" t="str">
        <x:f>IF(OR(LEFT(J23,9)="Belum ada",LEFT(J23,9)="Tidak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24">
      <x:c r="A24" s="32" t="n">
        <x:v>12</x:v>
      </x:c>
      <x:c r="B24" s="32" t="str">
        <x:v>HAMBATAN</x:v>
      </x:c>
      <x:c r="C24" s="32" t="str">
        <x:v>Hambatan/gap</x:v>
      </x:c>
      <x:c r="D24" s="32" t="str">
        <x:v>Kendala faktual atau kekosongan data yang memengaruhi implementasi dan sudah dikonfirmasi.</x:v>
      </x:c>
      <x:c r="E24" s="32" t="str">
        <x:v>Konfirmasi unit/PIC/mitra; notula; laporan; bukti keterlambatan.</x:v>
      </x:c>
      <x:c r="F24" s="32" t="str">
        <x:v>BELUM TERSEDIA</x:v>
      </x:c>
      <x:c r="G24" s="32" t="str">
        <x:v>Hambatan operasional belum dikonfirmasi. Gap verifikasi sementara mencakup arsip internal, unit pengampu, PIC, rencana tindak lanjut, pelaksanaan, dan eviden. Nomor para pihak masih perlu ditranskripsikan dari naskah.</x:v>
      </x:c>
      <x:c r="H24" s="32" t="str">
        <x:v>Penelusuran publik P2MA; konfirmasi unit/PIC/mitra belum dilakukan.</x:v>
      </x:c>
      <x:c r="I24" s="32" t="str">
        <x:v>Belum terdapat Kegiatan bersama</x:v>
      </x:c>
      <x:c r="J24" s="63" t="str">
        <x:f>IF((IF('PELAKSANAAN KEGIATAN'!F7&lt;&gt;"",1,0)+IF('PELAKSANAAN KEGIATAN'!F8&lt;&gt;"",1,0)+IF('PELAKSANAAN KEGIATAN'!F9&lt;&gt;"",1,0))=0,"Belum ada kendala/catatan pada sheet pelaksanaan","Kendala/catatan pertama: "&amp;IF('PELAKSANAAN KEGIATAN'!F7&lt;&gt;"",'PELAKSANAAN KEGIATAN'!F7,IF('PELAKSANAAN KEGIATAN'!F8&lt;&gt;"",'PELAKSANAAN KEGIATAN'!F8,'PELAKSANAAN KEGIATAN'!F9)))</x:f>
        <x:v>Belum ada kendala/catatan pada sheet pelaksanaan</x:v>
      </x:c>
      <x:c r="K24" s="63" t="str">
        <x:f>IF(OR(LEFT(J24,9)="Belum ada",LEFT(J24,9)="Tidak ada"),"Tidak ada pembaruan yang mengubah baseline.","Pembaruan tersedia sebagai referensi; status baseline tidak berubah otomatis dan tetap memerlukan verifikasi.")</x:f>
        <x:v>Tidak ada pembaruan yang mengubah baseline.</x:v>
      </x:c>
    </x:row>
    <x:row r="25">
      <x:c r="A25"/>
      <x:c r="B25"/>
      <x:c r="C25"/>
      <x:c r="D25"/>
      <x:c r="E25"/>
      <x:c r="F25"/>
      <x:c r="G25"/>
      <x:c r="H25"/>
      <x:c r="I25"/>
    </x:row>
    <x:row r="26">
      <x:c r="A26" t="str">
        <x:v>RINGKASAN BASELINE V.0</x:v>
      </x:c>
      <x:c r="B26"/>
      <x:c r="C26"/>
      <x:c r="D26"/>
      <x:c r="E26"/>
      <x:c r="F26"/>
      <x:c r="G26"/>
      <x:c r="H26"/>
      <x:c r="I26"/>
    </x:row>
    <x:row r="27" ht="22" customHeight="1">
      <x:c r="A27" s="18"/>
      <x:c r="B27" s="18"/>
      <x:c r="C27" s="18"/>
      <x:c r="D27" s="18"/>
      <x:c r="E27" s="18"/>
      <x:c r="F27" s="18"/>
      <x:c r="G27" s="18"/>
      <x:c r="H27" s="18"/>
      <x:c r="I27" s="18"/>
      <x:c r="J27" s="18"/>
      <x:c r="K27" s="18"/>
    </x:row>
    <x:row r="28">
      <x:c r="A28" t="str">
        <x:v>STATUS ELEMEN</x:v>
      </x:c>
      <x:c r="B28" t="str">
        <x:v>JUMLAH</x:v>
      </x:c>
      <x:c r="C28"/>
      <x:c r="D28" t="str">
        <x:v>INDIKATOR PENGISIAN</x:v>
      </x:c>
      <x:c r="E28" t="str">
        <x:v>HASIL</x:v>
      </x:c>
      <x:c r="F28"/>
      <x:c r="G28" t="str">
        <x:v>RINGKASAN PEMERIKSA</x:v>
      </x:c>
      <x:c r="H28"/>
      <x:c r="I28"/>
    </x:row>
    <x:row r="29">
      <x:c r="A29" s="49" t="str">
        <x:v>Terverifikasi</x:v>
      </x:c>
      <x:c r="B29" s="49" t="n">
        <x:f>IF(F13="TERVERIFIKASI",1,0)+IF(F14="TERVERIFIKASI",1,0)+IF(F15="TERVERIFIKASI",1,0)+IF(F16="TERVERIFIKASI",1,0)+IF(F17="TERVERIFIKASI",1,0)+IF(F18="TERVERIFIKASI",1,0)+IF(F19="TERVERIFIKASI",1,0)+IF(F20="TERVERIFIKASI",1,0)+IF(F21="TERVERIFIKASI",1,0)+IF(F22="TERVERIFIKASI",1,0)+IF(F23="TERVERIFIKASI",1,0)+IF(F24="TERVERIFIKASI",1,0)</x:f>
        <x:v>5</x:v>
      </x:c>
      <x:c r="C29" s="49"/>
      <x:c r="D29" s="49" t="str">
        <x:v>Kelengkapan pemeriksaan</x:v>
      </x:c>
      <x:c r="E29" s="97" t="n">
        <x:f>(IF(AND(F13&lt;&gt;"",G13&lt;&gt;"",H13&lt;&gt;""),1,0)+IF(AND(F14&lt;&gt;"",G14&lt;&gt;"",H14&lt;&gt;""),1,0)+IF(AND(F15&lt;&gt;"",G15&lt;&gt;"",H15&lt;&gt;""),1,0)+IF(AND(F16&lt;&gt;"",G16&lt;&gt;"",H16&lt;&gt;""),1,0)+IF(AND(F17&lt;&gt;"",G17&lt;&gt;"",H17&lt;&gt;""),1,0)+IF(AND(F18&lt;&gt;"",G18&lt;&gt;"",H18&lt;&gt;""),1,0)+IF(AND(F19&lt;&gt;"",G19&lt;&gt;"",H19&lt;&gt;""),1,0)+IF(AND(F20&lt;&gt;"",G20&lt;&gt;"",H20&lt;&gt;""),1,0)+IF(AND(F21&lt;&gt;"",G21&lt;&gt;"",H21&lt;&gt;""),1,0)+IF(AND(F22&lt;&gt;"",G22&lt;&gt;"",H22&lt;&gt;""),1,0)+IF(AND(F23&lt;&gt;"",G23&lt;&gt;"",H23&lt;&gt;""),1,0)+IF(AND(F24&lt;&gt;"",G24&lt;&gt;"",H24&lt;&gt;""),1,0))/12</x:f>
        <x:v>1</x:v>
      </x:c>
      <x:c r="F29"/>
      <x:c r="G29" t="str">
        <x:v>Fakta utama</x:v>
      </x:c>
      <x:c r="H29" t="str">
        <x:v>P2MA publik menunjukkan naskah berstatus Berlangsung. 3 dari 12 elemen telah dapat diverifikasi pada tahap pemeriksaan meja; elemen lain masih memerlukan bukti internal atau konfirmasi.</x:v>
      </x:c>
      <x:c r="I29" t="str">
        <x:v>P2MA publik menunjukkan naskah berstatus Berlangsung. 3 dari 12 elemen telah dapat diverifikasi pada tahap pemeriksaan meja; elemen lain masih memerlukan bukti internal atau konfirmasi.</x:v>
      </x:c>
    </x:row>
    <x:row r="30">
      <x:c r="A30" s="32" t="str">
        <x:v>Belum Terverifikasi</x:v>
      </x:c>
      <x:c r="B30" s="32" t="n">
        <x:f>IF(F13="BELUM TERVERIFIKASI",1,0)+IF(F14="BELUM TERVERIFIKASI",1,0)+IF(F15="BELUM TERVERIFIKASI",1,0)+IF(F16="BELUM TERVERIFIKASI",1,0)+IF(F17="BELUM TERVERIFIKASI",1,0)+IF(F18="BELUM TERVERIFIKASI",1,0)+IF(F19="BELUM TERVERIFIKASI",1,0)+IF(F20="BELUM TERVERIFIKASI",1,0)+IF(F21="BELUM TERVERIFIKASI",1,0)+IF(F22="BELUM TERVERIFIKASI",1,0)+IF(F23="BELUM TERVERIFIKASI",1,0)+IF(F24="BELUM TERVERIFIKASI",1,0)</x:f>
        <x:v>0</x:v>
      </x:c>
      <x:c r="C30" s="32"/>
      <x:c r="D30" s="32" t="str">
        <x:v>Proporsi status terverifikasi</x:v>
      </x:c>
      <x:c r="E30" s="37" t="n">
        <x:f>IF((12-B32)=0,0,B29/(12-B32))</x:f>
        <x:v>0.4166666666666667</x:v>
      </x:c>
      <x:c r="F30"/>
      <x:c r="G30"/>
      <x:c r="H30" t="str">
        <x:v>P2MA publik menunjukkan naskah berstatus Berlangsung. 3 dari 12 elemen telah dapat diverifikasi pada tahap pemeriksaan meja; elemen lain masih memerlukan bukti internal atau konfirmasi.</x:v>
      </x:c>
      <x:c r="I30" t="str">
        <x:v>P2MA publik menunjukkan naskah berstatus Berlangsung. 3 dari 12 elemen telah dapat diverifikasi pada tahap pemeriksaan meja; elemen lain masih memerlukan bukti internal atau konfirmasi.</x:v>
      </x:c>
    </x:row>
    <x:row r="31">
      <x:c r="A31" s="32" t="str">
        <x:v>Belum Tersedia</x:v>
      </x:c>
      <x:c r="B31" s="32" t="n">
        <x:f>IF(F13="BELUM TERSEDIA",1,0)+IF(F14="BELUM TERSEDIA",1,0)+IF(F15="BELUM TERSEDIA",1,0)+IF(F16="BELUM TERSEDIA",1,0)+IF(F17="BELUM TERSEDIA",1,0)+IF(F18="BELUM TERSEDIA",1,0)+IF(F19="BELUM TERSEDIA",1,0)+IF(F20="BELUM TERSEDIA",1,0)+IF(F21="BELUM TERSEDIA",1,0)+IF(F22="BELUM TERSEDIA",1,0)+IF(F23="BELUM TERSEDIA",1,0)+IF(F24="BELUM TERSEDIA",1,0)</x:f>
        <x:v>7</x:v>
      </x:c>
      <x:c r="C31" s="32"/>
      <x:c r="D31" s="32" t="str">
        <x:v>Status pengisian baseline</x:v>
      </x:c>
      <x:c r="E31" s="37" t="str">
        <x:f>IF(E29=0,"BELUM DIMULAI",IF(E29=1,"SELESAI DIISI","DALAM VERIFIKASI"))</x:f>
        <x:v>SELESAI DIISI</x:v>
      </x:c>
      <x:c r="F31"/>
      <x:c r="G31" t="str">
        <x:v>Gap utama</x:v>
      </x:c>
      <x:c r="H31" t="str">
        <x:v>Belum tersedia kepastian mengenai nomor naskah lengkap, arsip resmi internal, unit pengampu, PIC internal/mitra, rencana tindak lanjut, pelaksanaan, eviden, dan hambatan. Nomor para pihak masih perlu ditranskripsikan dari naskah.</x:v>
      </x:c>
      <x:c r="I31" t="str">
        <x:v>Belum tersedia kepastian mengenai nomor naskah lengkap, arsip resmi internal, unit pengampu, PIC internal/mitra, rencana tindak lanjut, pelaksanaan, eviden, dan hambatan. Nomor para pihak masih perlu ditranskripsikan dari naskah.</x:v>
      </x:c>
    </x:row>
    <x:row r="32">
      <x:c r="A32" s="32" t="str">
        <x:v>Tidak Relevan</x:v>
      </x:c>
      <x:c r="B32" s="32" t="n">
        <x:f>IF(F13="TIDAK RELEVAN",1,0)+IF(F14="TIDAK RELEVAN",1,0)+IF(F15="TIDAK RELEVAN",1,0)+IF(F16="TIDAK RELEVAN",1,0)+IF(F17="TIDAK RELEVAN",1,0)+IF(F18="TIDAK RELEVAN",1,0)+IF(F19="TIDAK RELEVAN",1,0)+IF(F20="TIDAK RELEVAN",1,0)+IF(F21="TIDAK RELEVAN",1,0)+IF(F22="TIDAK RELEVAN",1,0)+IF(F23="TIDAK RELEVAN",1,0)+IF(F24="TIDAK RELEVAN",1,0)</x:f>
        <x:v>0</x:v>
      </x:c>
      <x:c r="C32" s="32"/>
      <x:c r="D32" s="32"/>
      <x:c r="E32" s="32"/>
      <x:c r="F32"/>
      <x:c r="G32"/>
      <x:c r="H32" t="str">
        <x:v>Belum tersedia kepastian mengenai nomor naskah lengkap, arsip resmi internal, unit pengampu, PIC internal/mitra, rencana tindak lanjut, pelaksanaan, eviden, dan hambatan. Nomor para pihak masih perlu ditranskripsikan dari naskah.</x:v>
      </x:c>
      <x:c r="I32" t="str">
        <x:v>Belum tersedia kepastian mengenai nomor naskah lengkap, arsip resmi internal, unit pengampu, PIC internal/mitra, rencana tindak lanjut, pelaksanaan, eviden, dan hambatan. Nomor para pihak masih perlu ditranskripsikan dari naskah.</x:v>
      </x:c>
    </x:row>
    <x:row r="33">
      <x:c r="A33" s="32" t="str">
        <x:v>Belum Diisi</x:v>
      </x:c>
      <x:c r="B33" s="32" t="n">
        <x:f>IF(F13="",1,0)+IF(F14="",1,0)+IF(F15="",1,0)+IF(F16="",1,0)+IF(F17="",1,0)+IF(F18="",1,0)+IF(F19="",1,0)+IF(F20="",1,0)+IF(F21="",1,0)+IF(F22="",1,0)+IF(F23="",1,0)+IF(F24="",1,0)</x:f>
        <x:v>0</x:v>
      </x:c>
      <x:c r="C33" s="32"/>
      <x:c r="D33" s="32"/>
      <x:c r="E33" s="32"/>
      <x:c r="F33"/>
      <x:c r="G33" t="str">
        <x:v>Catatan transisi</x:v>
      </x:c>
      <x:c r="H33" t="str">
        <x:v>Gunakan hasil ini sebagai daftar pertanyaan untuk unit pengampu dan forum PIC. Jangan menghitung Scorecard efektivitas sebelum gap prioritas diverifikasi.</x:v>
      </x:c>
      <x:c r="I33" t="str">
        <x:v>Gunakan hasil ini sebagai daftar pertanyaan untuk unit pengampu dan forum PIC. Jangan menghitung Scorecard efektivitas sebelum gap prioritas diverifikasi.</x:v>
      </x:c>
    </x:row>
    <x:row r="34">
      <x:c r="A34" s="32"/>
      <x:c r="B34" s="32"/>
      <x:c r="C34" s="32"/>
      <x:c r="D34" s="32"/>
      <x:c r="E34" s="32"/>
      <x:c r="F34"/>
      <x:c r="G34"/>
      <x:c r="H34" t="str">
        <x:v>Gunakan hasil ini sebagai daftar pertanyaan untuk unit pengampu dan forum PIC. Jangan menghitung Scorecard efektivitas sebelum gap prioritas diverifikasi.</x:v>
      </x:c>
      <x:c r="I34" t="str">
        <x:v>Gunakan hasil ini sebagai daftar pertanyaan untuk unit pengampu dan forum PIC. Jangan menghitung Scorecard efektivitas sebelum gap prioritas diverifikasi.</x:v>
      </x:c>
    </x:row>
    <x:row r="35">
      <x:c r="A35"/>
      <x:c r="B35"/>
      <x:c r="C35"/>
      <x:c r="D35"/>
      <x:c r="E35"/>
      <x:c r="F35"/>
      <x:c r="G35"/>
      <x:c r="H35"/>
      <x:c r="I35"/>
    </x:row>
    <x:row r="36">
      <x:c r="A36" t="str">
        <x:v>Simulasi per 28 Agustus 2026. Kelengkapan pemeriksaan dan proporsi status terverifikasi bukan Scorecard efektivitas; kategori produktif/berjalan/perlu aktivasi/kritis baru ditentukan pada tahap berikutnya setelah verifikasi data operasional.</x:v>
      </x:c>
      <x:c r="B36" t="str">
        <x:v>Simulasi per 28 Agustus 2026. Kelengkapan pemeriksaan dan proporsi status terverifikasi bukan Scorecard efektivitas; kategori produktif/berjalan/perlu aktivasi/kritis baru ditentukan pada tahap berikutnya setelah verifikasi data operasional.</x:v>
      </x:c>
      <x:c r="C36" t="str">
        <x:v>Simulasi per 28 Agustus 2026. Kelengkapan pemeriksaan dan proporsi status terverifikasi bukan Scorecard efektivitas; kategori produktif/berjalan/perlu aktivasi/kritis baru ditentukan pada tahap berikutnya setelah verifikasi data operasional.</x:v>
      </x:c>
      <x:c r="D36" t="str">
        <x:v>Simulasi per 28 Agustus 2026. Kelengkapan pemeriksaan dan proporsi status terverifikasi bukan Scorecard efektivitas; kategori produktif/berjalan/perlu aktivasi/kritis baru ditentukan pada tahap berikutnya setelah verifikasi data operasional.</x:v>
      </x:c>
      <x:c r="E36" t="str">
        <x:v>Simulasi per 28 Agustus 2026. Kelengkapan pemeriksaan dan proporsi status terverifikasi bukan Scorecard efektivitas; kategori produktif/berjalan/perlu aktivasi/kritis baru ditentukan pada tahap berikutnya setelah verifikasi data operasional.</x:v>
      </x:c>
      <x:c r="F36" t="str">
        <x:v>Simulasi per 28 Agustus 2026. Kelengkapan pemeriksaan dan proporsi status terverifikasi bukan Scorecard efektivitas; kategori produktif/berjalan/perlu aktivasi/kritis baru ditentukan pada tahap berikutnya setelah verifikasi data operasional.</x:v>
      </x:c>
      <x:c r="G36" t="str">
        <x:v>Simulasi per 28 Agustus 2026. Kelengkapan pemeriksaan dan proporsi status terverifikasi bukan Scorecard efektivitas; kategori produktif/berjalan/perlu aktivasi/kritis baru ditentukan pada tahap berikutnya setelah verifikasi data operasional.</x:v>
      </x:c>
      <x:c r="H36" t="str">
        <x:v>Simulasi per 28 Agustus 2026. Kelengkapan pemeriksaan dan proporsi status terverifikasi bukan Scorecard efektivitas; kategori produktif/berjalan/perlu aktivasi/kritis baru ditentukan pada tahap berikutnya setelah verifikasi data operasional.</x:v>
      </x:c>
      <x:c r="I36" t="str">
        <x:v>Simulasi per 28 Agustus 2026. Kelengkapan pemeriksaan dan proporsi status terverifikasi bukan Scorecard efektivitas; kategori produktif/berjalan/perlu aktivasi/kritis baru ditentukan pada tahap berikutnya setelah verifikasi data operasional.</x:v>
      </x:c>
    </x:row>
  </x:sheetData>
  <x:mergeCells>
    <x:mergeCell ref="A1:K1"/>
    <x:mergeCell ref="A2:K2"/>
    <x:mergeCell ref="A4:K4"/>
    <x:mergeCell ref="A27:K27"/>
  </x:mergeCells>
  <x:conditionalFormatting sqref="F13:F24">
    <x:cfRule type="expression" dxfId="2" priority="1">
      <x:formula>F13="TERVERIFIKASI"</x:formula>
    </x:cfRule>
    <x:cfRule type="expression" dxfId="3" priority="2">
      <x:formula>F13="BELUM TERSEDIA"</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36" hidden="0" customWidth="1"/>
    <x:col min="3" max="3" width="10" hidden="0" customWidth="1"/>
    <x:col min="4" max="4" width="48" hidden="0" customWidth="1"/>
    <x:col min="5" max="5" width="22" hidden="0" customWidth="1"/>
    <x:col min="6" max="6" width="48" hidden="0" customWidth="1"/>
    <x:col min="7" max="7" width="11" hidden="0" customWidth="1"/>
    <x:col min="8" max="8" width="45" hidden="0" customWidth="1"/>
    <x:col min="9" max="9" width="12" hidden="0" customWidth="1"/>
    <x:col min="10" max="10" width="18" hidden="0" customWidth="1"/>
  </x:cols>
  <x:sheetData>
    <x:row r="1" ht="28" customHeight="1">
      <x:c r="A1" s="5" t="str">
        <x:v>SCORECARD EFEKTIVITAS MITRA KINERJA V1.1 — BAPPERIDA KABUPATEN BINTAN</x:v>
      </x:c>
      <x:c r="B1" s="5" t="str">
        <x:v>SCORECARD EFEKTIVITAS MITRA KINERJA V1.1 — P04</x:v>
      </x:c>
      <x:c r="C1" s="5" t="str">
        <x:v>SCORECARD EFEKTIVITAS MITRA KINERJA V1.1 — P04</x:v>
      </x:c>
      <x:c r="D1" s="5" t="str">
        <x:v>SCORECARD EFEKTIVITAS MITRA KINERJA V1.1 — P04</x:v>
      </x:c>
      <x:c r="E1" s="5" t="str">
        <x:v>SCORECARD EFEKTIVITAS MITRA KINERJA V1.1 — P04</x:v>
      </x:c>
      <x:c r="F1" s="5" t="str">
        <x:v>SCORECARD EFEKTIVITAS MITRA KINERJA V1.1 — P04</x:v>
      </x:c>
      <x:c r="G1" s="5" t="str">
        <x:v>SCORECARD EFEKTIVITAS MITRA KINERJA V1.1 — P04</x:v>
      </x:c>
      <x:c r="H1" s="5" t="str">
        <x:v>SCORECARD EFEKTIVITAS MITRA KINERJA V1.1 — P04</x:v>
      </x:c>
      <x:c r="I1" s="5" t="str">
        <x:v>SCORECARD EFEKTIVITAS MITRA KINERJA V1.1 — P04</x:v>
      </x:c>
      <x:c r="J1" s="5" t="str">
        <x:v>SCORECARD EFEKTIVITAS MITRA KINERJA V1.1 — P04</x:v>
      </x:c>
    </x:row>
    <x:row r="2">
      <x:c r="A2" s="58" t="str">
        <x:v>PILOT UTAMA — Badan Perencanaan Pembangunan, Riset, dan Inovasi Daerah Kabupaten Bintan</x:v>
      </x:c>
      <x:c r="B2" s="58" t="str">
        <x:v>PILOT UTAMA — Badan Perencanaan Pembangunan, Riset, dan Inovasi Daerah Kabupaten Bintan</x:v>
      </x:c>
      <x:c r="C2" s="58" t="str">
        <x:v>PILOT UTAMA — Badan Perencanaan Pembangunan, Riset, dan Inovasi Daerah Kabupaten Bintan</x:v>
      </x:c>
      <x:c r="D2" s="58" t="str">
        <x:v>PILOT UTAMA — Badan Perencanaan Pembangunan, Riset, dan Inovasi Daerah Kabupaten Bintan</x:v>
      </x:c>
      <x:c r="E2" s="58" t="str">
        <x:v>PILOT UTAMA — Badan Perencanaan Pembangunan, Riset, dan Inovasi Daerah Kabupaten Bintan</x:v>
      </x:c>
      <x:c r="F2" s="58" t="str">
        <x:v>PILOT UTAMA — Badan Perencanaan Pembangunan, Riset, dan Inovasi Daerah Kabupaten Bintan</x:v>
      </x:c>
      <x:c r="G2" s="58" t="str">
        <x:v>PILOT UTAMA — Badan Perencanaan Pembangunan, Riset, dan Inovasi Daerah Kabupaten Bintan</x:v>
      </x:c>
      <x:c r="H2" s="58" t="str">
        <x:v>PILOT UTAMA — Badan Perencanaan Pembangunan, Riset, dan Inovasi Daerah Kabupaten Bintan</x:v>
      </x:c>
      <x:c r="I2" s="58" t="str">
        <x:v>PILOT UTAMA — Badan Perencanaan Pembangunan, Riset, dan Inovasi Daerah Kabupaten Bintan</x:v>
      </x:c>
      <x:c r="J2" s="58" t="str">
        <x:v>PILOT UTAMA — Badan Perencanaan Pembangunan, Riset, dan Inovasi Daerah Kabupaten Bintan</x:v>
      </x:c>
    </x:row>
    <x:row r="3">
      <x:c r="A3" t="str">
        <x:v>Isi hanya sel kuning. Nilai berjalan langsung berubah saat skor diisi; kategori dan status final menunggu kelengkapan bukti serta validasi unit.</x:v>
      </x:c>
      <x:c r="B3" t="str">
        <x:v>Isi hanya sel kuning. Nilai berjalan langsung berubah saat skor diisi; kategori dan status final menunggu kelengkapan bukti serta validasi unit.</x:v>
      </x:c>
      <x:c r="C3" t="str">
        <x:v>Isi hanya sel kuning. Nilai berjalan langsung berubah saat skor diisi; kategori dan status final menunggu kelengkapan bukti serta validasi unit.</x:v>
      </x:c>
      <x:c r="D3" t="str">
        <x:v>Isi hanya sel kuning. Nilai berjalan langsung berubah saat skor diisi; kategori dan status final menunggu kelengkapan bukti serta validasi unit.</x:v>
      </x:c>
      <x:c r="E3" t="str">
        <x:v>Isi hanya sel kuning. Nilai berjalan langsung berubah saat skor diisi; kategori dan status final menunggu kelengkapan bukti serta validasi unit.</x:v>
      </x:c>
      <x:c r="F3" t="str">
        <x:v>Isi hanya sel kuning. Nilai berjalan langsung berubah saat skor diisi; kategori dan status final menunggu kelengkapan bukti serta validasi unit.</x:v>
      </x:c>
      <x:c r="G3" t="str">
        <x:v>Isi hanya sel kuning. Nilai berjalan langsung berubah saat skor diisi; kategori dan status final menunggu kelengkapan bukti serta validasi unit.</x:v>
      </x:c>
      <x:c r="H3" t="str">
        <x:v>Isi hanya sel kuning. Nilai berjalan langsung berubah saat skor diisi; kategori dan status final menunggu kelengkapan bukti serta validasi unit.</x:v>
      </x:c>
      <x:c r="I3" t="str">
        <x:v>Isi hanya sel kuning. Nilai berjalan langsung berubah saat skor diisi; kategori dan status final menunggu kelengkapan bukti serta validasi unit.</x:v>
      </x:c>
      <x:c r="J3" t="str">
        <x:v>Isi hanya sel kuning. Nilai berjalan langsung berubah saat skor diisi; kategori dan status final menunggu kelengkapan bukti serta validasi unit.</x:v>
      </x:c>
    </x:row>
    <x:row r="4">
      <x:c r="A4"/>
      <x:c r="B4"/>
      <x:c r="C4"/>
      <x:c r="D4"/>
      <x:c r="E4"/>
      <x:c r="F4"/>
      <x:c r="G4"/>
      <x:c r="H4"/>
      <x:c r="I4"/>
      <x:c r="J4"/>
    </x:row>
    <x:row r="5" ht="22" customHeight="1">
      <x:c r="A5" s="18" t="str">
        <x:v>A. IDENTITAS DAN KONTROL</x:v>
      </x:c>
      <x:c r="B5" s="18" t="str">
        <x:v>A. IDENTITAS DAN KONTROL</x:v>
      </x:c>
      <x:c r="C5" s="18" t="str">
        <x:v>A. IDENTITAS DAN KONTROL</x:v>
      </x:c>
      <x:c r="D5" s="18" t="str">
        <x:v>A. IDENTITAS DAN KONTROL</x:v>
      </x:c>
      <x:c r="E5" s="18" t="str">
        <x:v>A. IDENTITAS DAN KONTROL</x:v>
      </x:c>
      <x:c r="F5" s="18" t="str">
        <x:v>A. IDENTITAS DAN KONTROL</x:v>
      </x:c>
      <x:c r="G5" s="18" t="str">
        <x:v>A. IDENTITAS DAN KONTROL</x:v>
      </x:c>
      <x:c r="H5" s="18" t="str">
        <x:v>A. IDENTITAS DAN KONTROL</x:v>
      </x:c>
      <x:c r="I5" s="18" t="str">
        <x:v>A. IDENTITAS DAN KONTROL</x:v>
      </x:c>
      <x:c r="J5" s="18" t="str">
        <x:v>A. IDENTITAS DAN KONTROL</x:v>
      </x:c>
    </x:row>
    <x:row r="6">
      <x:c r="A6" s="31" t="str">
        <x:v>Kode</x:v>
      </x:c>
      <x:c r="B6" s="32" t="str">
        <x:v>P04</x:v>
      </x:c>
      <x:c r="C6" s="31" t="str">
        <x:v>Portofolio</x:v>
      </x:c>
      <x:c r="D6" s="32" t="str">
        <x:v>Pilot Utama</x:v>
      </x:c>
      <x:c r="E6" s="31" t="str">
        <x:v>Cut-off</x:v>
      </x:c>
      <x:c r="F6" s="75" t="n">
        <x:v>46262</x:v>
      </x:c>
      <x:c r="G6" s="31" t="str">
        <x:v>Pemeriksa</x:v>
      </x:c>
      <x:c r="H6" s="32"/>
      <x:c r="I6" s="31"/>
      <x:c r="J6" s="32"/>
    </x:row>
    <x:row r="7">
      <x:c r="A7" s="31" t="str">
        <x:v>Mitra</x:v>
      </x:c>
      <x:c r="B7" s="32" t="str">
        <x:v>Badan Perencanaan Pembangunan, Riset, dan Inovasi Daerah Kabupaten Bintan</x:v>
      </x:c>
      <x:c r="C7" s="31"/>
      <x:c r="D7" s="32"/>
      <x:c r="E7" s="31"/>
      <x:c r="F7" s="32"/>
      <x:c r="G7" s="31" t="str">
        <x:v>Jenis</x:v>
      </x:c>
      <x:c r="H7" s="32" t="str">
        <x:v>PKS</x:v>
      </x:c>
      <x:c r="I7" s="31" t="str">
        <x:v>Sumber baseline</x:v>
      </x:c>
      <x:c r="J7" s="32" t="str">
        <x:v>BASELINE BAPPERIDA (terintegrasi)</x:v>
      </x:c>
    </x:row>
    <x:row r="8">
      <x:c r="A8" s="31" t="str">
        <x:v>Judul</x:v>
      </x:c>
      <x:c r="B8" s="32" t="str">
        <x:v>Pelindungan dan Pemanfaatan Kekayaan Intelektual</x:v>
      </x:c>
      <x:c r="C8" s="31" t="str">
        <x:v>Pelindungan dan Pemanfaatan Kekayaan Intelektual</x:v>
      </x:c>
      <x:c r="D8" s="32" t="str">
        <x:v>Pelindungan dan Pemanfaatan Kekayaan Intelektual</x:v>
      </x:c>
      <x:c r="E8" s="31" t="str">
        <x:v>Pelindungan dan Pemanfaatan Kekayaan Intelektual</x:v>
      </x:c>
      <x:c r="F8" s="32" t="str">
        <x:v>Pelindungan dan Pemanfaatan Kekayaan Intelektual</x:v>
      </x:c>
      <x:c r="G8" s="31" t="str">
        <x:v>Pelindungan dan Pemanfaatan Kekayaan Intelektual</x:v>
      </x:c>
      <x:c r="H8" s="32" t="str">
        <x:v>Pelindungan dan Pemanfaatan Kekayaan Intelektual</x:v>
      </x:c>
      <x:c r="I8" s="31" t="str">
        <x:v>Pelindungan dan Pemanfaatan Kekayaan Intelektual</x:v>
      </x:c>
      <x:c r="J8" s="32" t="str">
        <x:v>Pelindungan dan Pemanfaatan Kekayaan Intelektual</x:v>
      </x:c>
    </x:row>
    <x:row r="9">
      <x:c r="A9" s="31" t="str">
        <x:v>Mulai</x:v>
      </x:c>
      <x:c r="B9" s="75" t="n">
        <x:v>46203</x:v>
      </x:c>
      <x:c r="C9" s="86" t="str">
        <x:v>Berakhir</x:v>
      </x:c>
      <x:c r="D9" s="75" t="n">
        <x:v>47298</x:v>
      </x:c>
      <x:c r="E9" s="31" t="str">
        <x:v>Status tanggal</x:v>
      </x:c>
      <x:c r="F9" s="32" t="str">
        <x:v>TERVERIFIKASI</x:v>
      </x:c>
      <x:c r="G9" s="31" t="str">
        <x:v>Sisa hari</x:v>
      </x:c>
      <x:c r="H9" s="32" t="n">
        <x:f>IF(OR(D9="",F9&lt;&gt;"TERVERIFIKASI"),"",D9-F6)</x:f>
        <x:v>1036</x:v>
      </x:c>
      <x:c r="I9" s="31" t="str">
        <x:v>Tanggal review</x:v>
      </x:c>
      <x:c r="J9" s="75" t="n">
        <x:v>46276</x:v>
      </x:c>
    </x:row>
    <x:row r="10">
      <x:c r="A10"/>
      <x:c r="B10"/>
      <x:c r="C10"/>
      <x:c r="D10"/>
      <x:c r="E10"/>
      <x:c r="F10"/>
      <x:c r="G10"/>
      <x:c r="H10"/>
      <x:c r="I10"/>
      <x:c r="J10"/>
    </x:row>
    <x:row r="11" ht="22" customHeight="1">
      <x:c r="A11" s="18" t="str">
        <x:v>B. PENILAIAN INTI — ENAM INDIKATOR RAP</x:v>
      </x:c>
      <x:c r="B11" s="18" t="str">
        <x:v>B. PENILAIAN INTI — ENAM INDIKATOR RAP</x:v>
      </x:c>
      <x:c r="C11" s="18" t="str">
        <x:v>B. PENILAIAN INTI — ENAM INDIKATOR RAP</x:v>
      </x:c>
      <x:c r="D11" s="18" t="str">
        <x:v>B. PENILAIAN INTI — ENAM INDIKATOR RAP</x:v>
      </x:c>
      <x:c r="E11" s="18" t="str">
        <x:v>B. PENILAIAN INTI — ENAM INDIKATOR RAP</x:v>
      </x:c>
      <x:c r="F11" s="18" t="str">
        <x:v>B. PENILAIAN INTI — ENAM INDIKATOR RAP</x:v>
      </x:c>
      <x:c r="G11" s="18" t="str">
        <x:v>B. PENILAIAN INTI — ENAM INDIKATOR RAP</x:v>
      </x:c>
      <x:c r="H11" s="18" t="str">
        <x:v>B. PENILAIAN INTI — ENAM INDIKATOR RAP</x:v>
      </x:c>
      <x:c r="I11" s="18" t="str">
        <x:v>B. PENILAIAN INTI — ENAM INDIKATOR RAP</x:v>
      </x:c>
      <x:c r="J11" s="18" t="str">
        <x:v>B. PENILAIAN INTI — ENAM INDIKATOR RAP</x:v>
      </x:c>
    </x:row>
    <x:row r="12">
      <x:c r="A12" s="49" t="str">
        <x:v>Kode</x:v>
      </x:c>
      <x:c r="B12" s="49" t="str">
        <x:v>Indikator dan cara memeriksa</x:v>
      </x:c>
      <x:c r="C12" s="49" t="str">
        <x:v>Bobot</x:v>
      </x:c>
      <x:c r="D12" s="49" t="str">
        <x:v>Referensi baseline awal</x:v>
      </x:c>
      <x:c r="E12" s="49" t="str">
        <x:v>Status kecukupan bukti</x:v>
      </x:c>
      <x:c r="F12" s="49" t="str">
        <x:v>Temuan dan lokasi bukti</x:v>
      </x:c>
      <x:c r="G12" s="49" t="str">
        <x:v>Skor 0–4</x:v>
      </x:c>
      <x:c r="H12" s="49" t="str">
        <x:v>Alasan skor</x:v>
      </x:c>
      <x:c r="I12" s="49" t="str">
        <x:v>Nilai</x:v>
      </x:c>
      <x:c r="J12" s="49" t="str">
        <x:v>Cek</x:v>
      </x:c>
    </x:row>
    <x:row r="13">
      <x:c r="A13" s="32" t="str">
        <x:v>I1</x:v>
      </x:c>
      <x:c r="B13" s="32" t="str">
        <x:v>Kelengkapan tata kelola dasar
Cara periksa: Periksa naskah final, nomor/judul/para pihak, status P2MA, arsip resmi, serta PIC internal dan PIC mitra yang tertulis dan masih aktif.</x:v>
      </x:c>
      <x:c r="C13" s="32" t="n">
        <x:v>15</x:v>
      </x:c>
      <x:c r="D13" s="32" t="str">
        <x:f>"Identitas "&amp;'BASELINE BAPPERIDA'!F13&amp;"; arsip "&amp;'BASELINE BAPPERIDA'!F16&amp;"; P2MA "&amp;'BASELINE BAPPERIDA'!F17&amp;"; PIC internal "&amp;'BASELINE BAPPERIDA'!F19&amp;"; PIC mitra "&amp;'BASELINE BAPPERIDA'!F20&amp;". Update terintegrasi: "&amp;'BASELINE BAPPERIDA'!J20</x:f>
        <x:v>Identitas TERVERIFIKASI; arsip TERVERIFIKASI; P2MA TERVERIFIKASI; PIC internal BELUM TERSEDIA; PIC mitra BELUM TERSEDIA. Update terintegrasi: PIC mitra: Diana Martin | Jabatan: Perencana Muda | Unit: Badan Perencanaan Pembangunan Riset dan Inovasi Daerah Kabupaten Bintan | HP: 085272076355 | Email: bintan.litbang@gmail.com | Status: Tetap | PIC cadangan: Susila Candra (Penyusun Rencana Kegiatan dan Anggaran)</x:v>
      </x:c>
      <x:c r="E13" s="63" t="str">
        <x:v>BUKTI MEMADAI</x:v>
      </x:c>
      <x:c r="F13" s="63" t="str">
        <x:v>Baseline baris 13–20: identitas, masa berlaku, arsip internal, dan P2MA telah terverifikasi. Catatan baseline menyebut PIC internal Booby Briando dan PIC mitra Ibu Diana; dasar penetapan/kontak belum lengkap.</x:v>
      </x:c>
      <x:c r="G13" s="63" t="n">
        <x:v>3</x:v>
      </x:c>
      <x:c r="H13" s="63" t="str">
        <x:v>Sesuai skor 3: data naskah, arsip, dan P2MA lengkap serta PIC dua pihak telah diketahui, namun dasar penetapan dan informasi PIC belum lengkap atau mutakhir.</x:v>
      </x:c>
      <x:c r="I13" s="32" t="n">
        <x:f>IF(AND(E13="BUKTI MEMADAI",COUNT(G13)&gt;0),G13/4*C13,"")</x:f>
        <x:v>11.25</x:v>
      </x:c>
      <x:c r="J13" s="32" t="str">
        <x:f>IF(E13="BELUM DITELAAH","PERIKSA BUKTI",IF(E13="BUKTI MEMADAI",IF(COUNT(G13)=0,"ISI SKOR",IF(F13="","TULIS TEMUAN/BUKTI",IF(H13="","TULIS ALASAN","OK"))),IF(OR(E13="BUKTI BELUM MEMADAI",E13="BELUM DAPAT DINILAI"),IF(COUNT(G13)&gt;0,"HAPUS SKOR","BELUM DIISI"),"PERIKSA STATUS")))</x:f>
        <x:v>OK</x:v>
      </x:c>
    </x:row>
    <x:row r="14">
      <x:c r="A14" s="32" t="str">
        <x:v>I2</x:v>
      </x:c>
      <x:c r="B14" s="32" t="str">
        <x:v>Kejelasan tindak lanjut
Cara periksa: Cari rencana aksi/PKS turunan/matriks kegiatan. Pastikan memuat kegiatan, target atau output, waktu, PIC, dan tenggat serta disepakati para pihak.</x:v>
      </x:c>
      <x:c r="C14" s="32" t="n">
        <x:v>20</x:v>
      </x:c>
      <x:c r="D14" s="32" t="str">
        <x:f>"Rencana tindak lanjut "&amp;'BASELINE BAPPERIDA'!F21&amp;". "&amp;'BASELINE BAPPERIDA'!J21</x:f>
        <x:v>Rencana tindak lanjut BELUM TERSEDIA. Jumlah usulan: 3 | Prioritas pertama: Sosialisasi Pendaftaran HAKI | Target: 2026</x:v>
      </x:c>
      <x:c r="E14" s="63" t="str">
        <x:v>BUKTI BELUM MEMADAI</x:v>
      </x:c>
      <x:c r="F14" s="63" t="str">
        <x:v>Baseline baris 21 — Rencana tindak lanjut: BELUM TERSEDIA. Ruang lingkup naskah tersedia, tetapi belum ditemukan rencana aksi atau komitmen operasional yang memuat kegiatan, periode, target, dan PIC.</x:v>
      </x:c>
      <x:c r="G14" s="63"/>
      <x:c r="H14" s="63" t="str">
        <x:v>Belum diberi skor karena informasi 'belum ditemukan/belum tersedia' pada baseline belum selalu membuktikan secara memadai bahwa tindak lanjut memang tidak ada.</x:v>
      </x:c>
      <x:c r="I14" s="32" t="str">
        <x:f>IF(AND(E14="BUKTI MEMADAI",COUNT(G14)&gt;0),G14/4*C14,"")</x:f>
      </x:c>
      <x:c r="J14" s="32" t="str">
        <x:f>IF(E14="BELUM DITELAAH","PERIKSA BUKTI",IF(E14="BUKTI MEMADAI",IF(COUNT(G14)=0,"ISI SKOR",IF(F14="","TULIS TEMUAN/BUKTI",IF(H14="","TULIS ALASAN","OK"))),IF(OR(E14="BUKTI BELUM MEMADAI",E14="BELUM DAPAT DINILAI"),IF(COUNT(G14)&gt;0,"HAPUS SKOR","BELUM DIISI"),"PERIKSA STATUS")))</x:f>
        <x:v>BELUM DIISI</x:v>
      </x:c>
    </x:row>
    <x:row r="15">
      <x:c r="A15" s="32" t="str">
        <x:v>I3</x:v>
      </x:c>
      <x:c r="B15" s="32" t="str">
        <x:v>Realisasi kegiatan terhadap rencana
Cara periksa: Tentukan target yang sudah jatuh tempo. Cocokkan satu per satu dengan bukti realisasi. Target masa depan tidak boleh dianggap tidak tercapai.</x:v>
      </x:c>
      <x:c r="C15" s="32" t="n">
        <x:v>20</x:v>
      </x:c>
      <x:c r="D15" s="32" t="str">
        <x:f>"Pelaksanaan/hasil "&amp;'BASELINE BAPPERIDA'!F22&amp;". "&amp;'BASELINE BAPPERIDA'!J22</x:f>
        <x:v>Pelaksanaan/hasil BELUM TERSEDIA. Jumlah kegiatan terdata: 2 | Kegiatan pertama: Rapat Koordinasi Kelitbangan Kabupaten Bintan Tahun 2026 | Status: Sudah Dilaksanakan</x:v>
      </x:c>
      <x:c r="E15" s="63" t="str">
        <x:v>BUKTI MEMADAI</x:v>
      </x:c>
      <x:c r="F15" s="63" t="str">
        <x:v>Baseline baris 22 — Pelaksanaan dan hasil: BELUM TERSEDIA. Status Berlangsung pada P2MA belum membuktikan kegiatan atau output. Laporan pelaksanaan dan data hasil belum diperiksa.</x:v>
      </x:c>
      <x:c r="G15" s="63" t="n">
        <x:v>0</x:v>
      </x:c>
      <x:c r="H15" s="63" t="str">
        <x:v>Sesuai skor 0: catatan/konfirmasi baseline mendukung bahwa belum ada kegiatan bersama yang dapat dibuktikan.</x:v>
      </x:c>
      <x:c r="I15" s="32" t="n">
        <x:f>IF(AND(E15="BUKTI MEMADAI",COUNT(G15)&gt;0),G15/4*C15,"")</x:f>
        <x:v>0</x:v>
      </x:c>
      <x:c r="J15" s="32" t="str">
        <x:f>IF(E15="BELUM DITELAAH","PERIKSA BUKTI",IF(E15="BUKTI MEMADAI",IF(COUNT(G15)=0,"ISI SKOR",IF(F15="","TULIS TEMUAN/BUKTI",IF(H15="","TULIS ALASAN","OK"))),IF(OR(E15="BUKTI BELUM MEMADAI",E15="BELUM DAPAT DINILAI"),IF(COUNT(G15)&gt;0,"HAPUS SKOR","BELUM DIISI"),"PERIKSA STATUS")))</x:f>
        <x:v>OK</x:v>
      </x:c>
    </x:row>
    <x:row r="16">
      <x:c r="A16" s="32" t="str">
        <x:v>I4</x:v>
      </x:c>
      <x:c r="B16" s="32" t="str">
        <x:v>Kelengkapan dan konsolidasi eviden
Cara periksa: Buka bukti satu per satu. Periksa tanggal, konteks, kaitannya dengan naskah, lokasi penyimpanan resmi, indeks, dan keterlacakan.</x:v>
      </x:c>
      <x:c r="C16" s="32" t="n">
        <x:v>15</x:v>
      </x:c>
      <x:c r="D16" s="32" t="str">
        <x:f>"Eviden implementasi "&amp;'BASELINE BAPPERIDA'!F23&amp;". "&amp;'BASELINE BAPPERIDA'!J23</x:f>
        <x:v>Eviden implementasi BELUM TERSEDIA. Jumlah kegiatan dengan keterangan bukti: 2 | Bukti pertama: https://drive.google.com/file/d/13QXb2_XyqfiSlcYES2OoZmEEx0jgtTT4/view?usp=sharing</x:v>
      </x:c>
      <x:c r="E16" s="63" t="str">
        <x:v>BUKTI MEMADAI</x:v>
      </x:c>
      <x:c r="F16" s="63" t="str">
        <x:v>Baseline baris 23 — Eviden implementasi: BELUM TERSEDIA. Naskah dan entri P2MA tersedia, tetapi folder resmi, indeks, serta bukti implementasi belum diperiksa. Catatan pemeriksa: Belum terdapat Kegiatan bersama</x:v>
      </x:c>
      <x:c r="G16" s="63" t="n">
        <x:v>0</x:v>
      </x:c>
      <x:c r="H16" s="63" t="str">
        <x:v>Sesuai skor 0: baseline mendukung bahwa belum ada kegiatan bersama dan belum ada eviden implementasi.</x:v>
      </x:c>
      <x:c r="I16" s="32" t="n">
        <x:f>IF(AND(E16="BUKTI MEMADAI",COUNT(G16)&gt;0),G16/4*C16,"")</x:f>
        <x:v>0</x:v>
      </x:c>
      <x:c r="J16" s="32" t="str">
        <x:f>IF(E16="BELUM DITELAAH","PERIKSA BUKTI",IF(E16="BUKTI MEMADAI",IF(COUNT(G16)=0,"ISI SKOR",IF(F16="","TULIS TEMUAN/BUKTI",IF(H16="","TULIS ALASAN","OK"))),IF(OR(E16="BUKTI BELUM MEMADAI",E16="BELUM DAPAT DINILAI"),IF(COUNT(G16)&gt;0,"HAPUS SKOR","BELUM DIISI"),"PERIKSA STATUS")))</x:f>
        <x:v>OK</x:v>
      </x:c>
    </x:row>
    <x:row r="17">
      <x:c r="A17" s="32" t="str">
        <x:v>I5</x:v>
      </x:c>
      <x:c r="B17" s="32" t="str">
        <x:v>Kontribusi terhadap kebutuhan kinerja organisasi
Cara periksa: Minta unit menetapkan target/kebutuhan. Cocokkan keluaran dan hasil dengan target serta data manfaat; jangan menyamakan kegiatan dengan hasil.</x:v>
      </x:c>
      <x:c r="C17" s="32" t="n">
        <x:v>20</x:v>
      </x:c>
      <x:c r="D17" s="32" t="str">
        <x:f>"Pelaksanaan/hasil "&amp;'BASELINE BAPPERIDA'!F22&amp;". "&amp;'BASELINE BAPPERIDA'!J22</x:f>
        <x:v>Pelaksanaan/hasil BELUM TERSEDIA. Jumlah kegiatan terdata: 2 | Kegiatan pertama: Rapat Koordinasi Kelitbangan Kabupaten Bintan Tahun 2026 | Status: Sudah Dilaksanakan</x:v>
      </x:c>
      <x:c r="E17" s="63" t="str">
        <x:v>BUKTI MEMADAI</x:v>
      </x:c>
      <x:c r="F17" s="63" t="str">
        <x:v>Baseline baris 22 — Pelaksanaan dan hasil: BELUM TERSEDIA. Status Berlangsung pada P2MA belum membuktikan kegiatan atau output. Laporan pelaksanaan dan data hasil belum diperiksa. Target, output, hasil, dan data manfaat terukur belum tersedia secara lengkap.</x:v>
      </x:c>
      <x:c r="G17" s="63" t="n">
        <x:v>0</x:v>
      </x:c>
      <x:c r="H17" s="63" t="str">
        <x:v>Sesuai skor 0: baseline mendukung bahwa belum ada kegiatan maupun hasil yang dapat dibuktikan.</x:v>
      </x:c>
      <x:c r="I17" s="32" t="n">
        <x:f>IF(AND(E17="BUKTI MEMADAI",COUNT(G17)&gt;0),G17/4*C17,"")</x:f>
        <x:v>0</x:v>
      </x:c>
      <x:c r="J17" s="32" t="str">
        <x:f>IF(E17="BELUM DITELAAH","PERIKSA BUKTI",IF(E17="BUKTI MEMADAI",IF(COUNT(G17)=0,"ISI SKOR",IF(F17="","TULIS TEMUAN/BUKTI",IF(H17="","TULIS ALASAN","OK"))),IF(OR(E17="BUKTI BELUM MEMADAI",E17="BELUM DAPAT DINILAI"),IF(COUNT(G17)&gt;0,"HAPUS SKOR","BELUM DIISI"),"PERIKSA STATUS")))</x:f>
        <x:v>OK</x:v>
      </x:c>
    </x:row>
    <x:row r="18">
      <x:c r="A18" s="32" t="str">
        <x:v>I6</x:v>
      </x:c>
      <x:c r="B18" s="32" t="str">
        <x:v>Keberlanjutan dan risiko
Cara periksa: Periksa masa berlaku, aktivitas terakhir, risiko, dampak, PIC, mitigasi, pemantauan, dan kejelasan keputusan lanjut/perpanjang/evaluasi/akhiri.</x:v>
      </x:c>
      <x:c r="C18" s="32" t="n">
        <x:v>10</x:v>
      </x:c>
      <x:c r="D18" s="32" t="str">
        <x:f>"Masa berlaku "&amp;'BASELINE BAPPERIDA'!F14&amp;"; PIC internal "&amp;'BASELINE BAPPERIDA'!F19&amp;"; PIC mitra "&amp;'BASELINE BAPPERIDA'!F20&amp;"; hambatan/gap "&amp;'BASELINE BAPPERIDA'!F24&amp;". "&amp;'BASELINE BAPPERIDA'!J24</x:f>
        <x:v>Masa berlaku TERVERIFIKASI; PIC internal BELUM TERSEDIA; PIC mitra BELUM TERSEDIA; hambatan/gap BELUM TERSEDIA. Belum ada kendala/catatan pada sheet pelaksanaan</x:v>
      </x:c>
      <x:c r="E18" s="63" t="str">
        <x:v>BUKTI BELUM MEMADAI</x:v>
      </x:c>
      <x:c r="F18" s="63" t="str">
        <x:v>Masa berlaku TERVERIFIKASI. PIC internal BELUM TERSEDIA; PIC mitra BELUM TERSEDIA; rencana tindak lanjut BELUM TERSEDIA; hambatan/gap BELUM TERSEDIA. Hambatan operasional belum dikonfirmasi. Gap verifikasi sementara mencakup arsip internal, unit pengampu, PIC, rencana tindak lanjut, pelaksanaan, dan eviden. Nomor para pihak masih perlu ditranskripsikan dari naskah.</x:v>
      </x:c>
      <x:c r="G18" s="63"/>
      <x:c r="H18" s="63" t="str">
        <x:v>Belum diberi skor karena risiko, dampak, mitigasi, pemantauan, dan keputusan keberlanjutan belum dinilai dengan bukti yang memadai.</x:v>
      </x:c>
      <x:c r="I18" s="32" t="str">
        <x:f>IF(AND(E18="BUKTI MEMADAI",COUNT(G18)&gt;0),G18/4*C18,"")</x:f>
      </x:c>
      <x:c r="J18" s="32" t="str">
        <x:f>IF(E18="BELUM DITELAAH","PERIKSA BUKTI",IF(E18="BUKTI MEMADAI",IF(COUNT(G18)=0,"ISI SKOR",IF(F18="","TULIS TEMUAN/BUKTI",IF(H18="","TULIS ALASAN","OK"))),IF(OR(E18="BUKTI BELUM MEMADAI",E18="BELUM DAPAT DINILAI"),IF(COUNT(G18)&gt;0,"HAPUS SKOR","BELUM DIISI"),"PERIKSA STATUS")))</x:f>
        <x:v>BELUM DIISI</x:v>
      </x:c>
    </x:row>
    <x:row r="19">
      <x:c r="A19"/>
      <x:c r="B19"/>
      <x:c r="C19"/>
      <x:c r="D19"/>
      <x:c r="E19"/>
      <x:c r="F19"/>
      <x:c r="G19"/>
      <x:c r="H19"/>
      <x:c r="I19"/>
      <x:c r="J19"/>
    </x:row>
    <x:row r="20" ht="22" customHeight="1">
      <x:c r="A20" s="18" t="str">
        <x:v>C. RINGKASAN NILAI DAN VALIDASI</x:v>
      </x:c>
      <x:c r="B20" s="18" t="str">
        <x:v>C. RINGKASAN NILAI DAN VALIDASI</x:v>
      </x:c>
      <x:c r="C20" s="18" t="str">
        <x:v>C. RINGKASAN NILAI DAN VALIDASI</x:v>
      </x:c>
      <x:c r="D20" s="18" t="str">
        <x:v>C. RINGKASAN NILAI DAN VALIDASI</x:v>
      </x:c>
      <x:c r="E20" s="18" t="str">
        <x:v>C. RINGKASAN NILAI DAN VALIDASI</x:v>
      </x:c>
      <x:c r="F20" s="18" t="str">
        <x:v>C. RINGKASAN NILAI DAN VALIDASI</x:v>
      </x:c>
      <x:c r="G20" s="18" t="str">
        <x:v>C. RINGKASAN NILAI DAN VALIDASI</x:v>
      </x:c>
      <x:c r="H20" s="18" t="str">
        <x:v>C. RINGKASAN NILAI DAN VALIDASI</x:v>
      </x:c>
      <x:c r="I20" s="18" t="str">
        <x:v>C. RINGKASAN NILAI DAN VALIDASI</x:v>
      </x:c>
      <x:c r="J20" s="18" t="str">
        <x:v>C. RINGKASAN NILAI DAN VALIDASI</x:v>
      </x:c>
    </x:row>
    <x:row r="21">
      <x:c r="A21" s="32" t="str">
        <x:v>Nilai berjalan</x:v>
      </x:c>
      <x:c r="B21" s="35" t="n">
        <x:f>SUM(I13:I18)</x:f>
        <x:v>11.25</x:v>
      </x:c>
      <x:c r="C21" s="32" t="str">
        <x:v>Kelengkapan</x:v>
      </x:c>
      <x:c r="D21" s="37" t="n">
        <x:f>COUNT(G13:G18)/6</x:f>
        <x:v>0.6666666666666666</x:v>
      </x:c>
      <x:c r="E21" s="32" t="str">
        <x:v>Kategori</x:v>
      </x:c>
      <x:c r="F21" s="32" t="str">
        <x:f>IF(D21&lt;1,"BELUM LENGKAP",IF(B21&gt;=75,"PRODUKTIF",IF(B21&gt;=50,"BERJALAN",IF(B21&gt;=25,"PERLU AKTIVASI","KRITIS"))))</x:f>
        <x:v>BELUM LENGKAP</x:v>
      </x:c>
      <x:c r="G21" s="32" t="str">
        <x:v>Status Scorecard</x:v>
      </x:c>
      <x:c r="H21" s="32" t="str">
        <x:f>IF(D21&lt;1,"BELUM LENGKAP",IF(B22="DISETUJUI","FINAL/TERVALIDASI","SIAP DIVALIDASI"))</x:f>
        <x:v>BELUM LENGKAP</x:v>
      </x:c>
      <x:c r="I21" s="32"/>
      <x:c r="J21" s="32"/>
    </x:row>
    <x:row r="22">
      <x:c r="A22" s="32" t="str">
        <x:v>Validasi unit</x:v>
      </x:c>
      <x:c r="B22" s="63" t="str">
        <x:v>BELUM</x:v>
      </x:c>
      <x:c r="C22" s="63" t="str">
        <x:v>Validator</x:v>
      </x:c>
      <x:c r="D22" s="63"/>
      <x:c r="E22" s="32"/>
      <x:c r="F22" s="32" t="str">
        <x:v>Tanggal validasi</x:v>
      </x:c>
      <x:c r="G22" s="63"/>
      <x:c r="H22" s="63" t="str">
        <x:v>Catatan validator</x:v>
      </x:c>
      <x:c r="I22" s="63"/>
      <x:c r="J22" s="63"/>
    </x:row>
    <x:row r="23">
      <x:c r="A23"/>
      <x:c r="B23"/>
      <x:c r="C23"/>
      <x:c r="D23"/>
      <x:c r="E23"/>
      <x:c r="F23"/>
      <x:c r="G23"/>
      <x:c r="H23"/>
      <x:c r="I23"/>
      <x:c r="J23"/>
    </x:row>
    <x:row r="24">
      <x:c r="A24" t="str">
        <x:v>D. EARLY WARNING — TIDAK DITENTUKAN OLEH NILAI SCORECARD</x:v>
      </x:c>
      <x:c r="B24" t="str">
        <x:v>D. EARLY WARNING — TIDAK DITENTUKAN OLEH NILAI SCORECARD</x:v>
      </x:c>
      <x:c r="C24" t="str">
        <x:v>D. EARLY WARNING — TIDAK DITENTUKAN OLEH NILAI SCORECARD</x:v>
      </x:c>
      <x:c r="D24" t="str">
        <x:v>D. EARLY WARNING — TIDAK DITENTUKAN OLEH NILAI SCORECARD</x:v>
      </x:c>
      <x:c r="E24" t="str">
        <x:v>D. EARLY WARNING — TIDAK DITENTUKAN OLEH NILAI SCORECARD</x:v>
      </x:c>
      <x:c r="F24" t="str">
        <x:v>D. EARLY WARNING — TIDAK DITENTUKAN OLEH NILAI SCORECARD</x:v>
      </x:c>
      <x:c r="G24" t="str">
        <x:v>D. EARLY WARNING — TIDAK DITENTUKAN OLEH NILAI SCORECARD</x:v>
      </x:c>
      <x:c r="H24" t="str">
        <x:v>D. EARLY WARNING — TIDAK DITENTUKAN OLEH NILAI SCORECARD</x:v>
      </x:c>
      <x:c r="I24" t="str">
        <x:v>D. EARLY WARNING — TIDAK DITENTUKAN OLEH NILAI SCORECARD</x:v>
      </x:c>
      <x:c r="J24" t="str">
        <x:v>D. EARLY WARNING — TIDAK DITENTUKAN OLEH NILAI SCORECARD</x:v>
      </x:c>
    </x:row>
    <x:row r="25" ht="22" customHeight="1">
      <x:c r="A25" s="18" t="str">
        <x:v>Isi kondisi, fakta, tindakan, PIC, dan tenggat. Masa berlaku dihitung otomati...</x:v>
      </x:c>
      <x:c r="B25" s="18" t="str">
        <x:v>Isi kondisi, fakta, tindakan, PIC, dan tenggat. Masa berlaku dihitung otomati...</x:v>
      </x:c>
      <x:c r="C25" s="18" t="str">
        <x:v>Isi kondisi, fakta, tindakan, PIC, dan tenggat. Masa berlaku dihitung otomati...</x:v>
      </x:c>
      <x:c r="D25" s="18" t="str">
        <x:v>Isi kondisi, fakta, tindakan, PIC, dan tenggat. Masa berlaku dihitung otomati...</x:v>
      </x:c>
      <x:c r="E25" s="18" t="str">
        <x:v>Isi kondisi, fakta, tindakan, PIC, dan tenggat. Masa berlaku dihitung otomati...</x:v>
      </x:c>
      <x:c r="F25" s="18" t="str">
        <x:v>Isi kondisi, fakta, tindakan, PIC, dan tenggat. Masa berlaku dihitung otomati...</x:v>
      </x:c>
      <x:c r="G25" s="18" t="str">
        <x:v>Isi kondisi, fakta, tindakan, PIC, dan tenggat. Masa berlaku dihitung otomati...</x:v>
      </x:c>
      <x:c r="H25" s="18" t="str">
        <x:v>Isi kondisi, fakta, tindakan, PIC, dan tenggat. Masa berlaku dihitung otomati...</x:v>
      </x:c>
      <x:c r="I25" s="18" t="str">
        <x:v>Isi kondisi, fakta, tindakan, PIC, dan tenggat. Masa berlaku dihitung otomati...</x:v>
      </x:c>
      <x:c r="J25" s="18" t="str">
        <x:v>Isi kondisi, fakta, tindakan, PIC, dan tenggat. Masa berlaku dihitung otomati...</x:v>
      </x:c>
    </x:row>
    <x:row r="26">
      <x:c r="A26" s="49" t="str">
        <x:v>No</x:v>
      </x:c>
      <x:c r="B26" s="49" t="str">
        <x:v>Dimensi</x:v>
      </x:c>
      <x:c r="C26" s="49" t="str">
        <x:v>Kondisi</x:v>
      </x:c>
      <x:c r="D26" s="49" t="str">
        <x:v>Status</x:v>
      </x:c>
      <x:c r="E26" s="49" t="str">
        <x:v>Fakta/bukti</x:v>
      </x:c>
      <x:c r="F26" s="49" t="str">
        <x:v>Tindakan</x:v>
      </x:c>
      <x:c r="G26" s="49" t="str">
        <x:v>PIC</x:v>
      </x:c>
      <x:c r="H26" s="49" t="str">
        <x:v>Tenggat</x:v>
      </x:c>
      <x:c r="I26" s="49" t="str">
        <x:v>Progres</x:v>
      </x:c>
      <x:c r="J26" s="49" t="str">
        <x:v>Cek</x:v>
      </x:c>
    </x:row>
    <x:row r="27">
      <x:c r="A27" s="32" t="n">
        <x:v>1</x:v>
      </x:c>
      <x:c r="B27" s="32" t="str">
        <x:v>Masa berlaku</x:v>
      </x:c>
      <x:c r="C27" s="32" t="str">
        <x:f>IF(F9&lt;&gt;"TERVERIFIKASI","BELUM DAPAT DIPASTIKAN",IF(H9&lt;0,"SUDAH BERAKHIR",IF(H9&lt;=30,"H-30",IF(H9&lt;=90,"H-90",IF(H9&lt;=180,"H-180","&gt; H-180")))))</x:f>
        <x:v>&gt; H-180</x:v>
      </x:c>
      <x:c r="D27" s="32" t="str">
        <x:f>IF(C27="BELUM DAPAT DIPASTIKAN","V0 - DATA BELUM CUKUP",IF(OR(C27="SUDAH BERAKHIR",C27="H-30"),"E3 - MERAH",IF(C27="H-90","E2 - JINGGA",IF(C27="H-180","E1 - KUNING","E0 - HIJAU"))))</x:f>
        <x:v>E0 - HIJAU</x:v>
      </x:c>
      <x:c r="E27" s="32" t="str">
        <x:f>'BASELINE BAPPERIDA'!G14</x:f>
        <x:v>P2MA publik menampilkan status Berlangsung, mulai 30 Juni 2026 dan berakhir 29 Juni 2029; tanggal sesuai data awal.</x:v>
      </x:c>
      <x:c r="F27" s="63"/>
      <x:c r="G27" s="63"/>
      <x:c r="H27" s="63"/>
      <x:c r="I27" s="63" t="str">
        <x:v>BELUM MULAI</x:v>
      </x:c>
      <x:c r="J27" s="32" t="str">
        <x:f>IF(D27="V0 - DATA BELUM CUKUP","LENGKAPI DATA",IF(OR(D27="E1 - KUNING",D27="E2 - JINGGA",D27="E3 - MERAH"),IF(OR(F27="",G27="",H27=""),"LENGKAPI TINDAKAN","OK"),"OK"))</x:f>
        <x:v>OK</x:v>
      </x:c>
    </x:row>
    <x:row r="28">
      <x:c r="A28" s="32" t="n">
        <x:v>2</x:v>
      </x:c>
      <x:c r="B28" s="32" t="str">
        <x:v>Aktivitas/tenggat</x:v>
      </x:c>
      <x:c r="C28" s="32" t="str">
        <x:f>IF((IF('PELAKSANAAN KEGIATAN'!B7&lt;&gt;"",1,0)+IF('PELAKSANAAN KEGIATAN'!B8&lt;&gt;"",1,0)+IF('PELAKSANAAN KEGIATAN'!B9&lt;&gt;"",1,0))=0,"BELUM DIPERIKSA","ADA DATA KEGIATAN - PERLU VERIFIKASI")</x:f>
        <x:v>ADA DATA KEGIATAN - PERLU VERIFIKASI</x:v>
      </x:c>
      <x:c r="D28" s="32" t="str">
        <x:f>"V0 - DATA BELUM CUKUP"</x:f>
        <x:v>V0 - DATA BELUM CUKUP</x:v>
      </x:c>
      <x:c r="E28" s="32" t="str">
        <x:f>'BASELINE BAPPERIDA'!J22</x:f>
        <x:v>Jumlah kegiatan terdata: 2 | Kegiatan pertama: Rapat Koordinasi Kelitbangan Kabupaten Bintan Tahun 2026 | Status: Sudah Dilaksanakan</x:v>
      </x:c>
      <x:c r="F28" s="63"/>
      <x:c r="G28" s="63"/>
      <x:c r="H28" s="63"/>
      <x:c r="I28" s="63" t="str">
        <x:v>BELUM MULAI</x:v>
      </x:c>
      <x:c r="J28" s="32" t="str">
        <x:f>IF(D28="V0 - DATA BELUM CUKUP","LENGKAPI DATA",IF(OR(D28="E1 - KUNING",D28="E2 - JINGGA",D28="E3 - MERAH"),IF(OR(F28="",G28="",H28=""),"LENGKAPI TINDAKAN","OK"),"OK"))</x:f>
        <x:v>LENGKAPI DATA</x:v>
      </x:c>
    </x:row>
    <x:row r="29">
      <x:c r="A29" s="32" t="n">
        <x:v>3</x:v>
      </x:c>
      <x:c r="B29" s="32" t="str">
        <x:v>Data/eviden</x:v>
      </x:c>
      <x:c r="C29" s="32" t="str">
        <x:f>IF((IF('PELAKSANAAN KEGIATAN'!E7&lt;&gt;"",1,0)+IF('PELAKSANAAN KEGIATAN'!E8&lt;&gt;"",1,0)+IF('PELAKSANAAN KEGIATAN'!E9&lt;&gt;"",1,0))=0,"BELUM DIPERIKSA","ADA KETERANGAN BUKTI - PERLU VERIFIKASI")</x:f>
        <x:v>ADA KETERANGAN BUKTI - PERLU VERIFIKASI</x:v>
      </x:c>
      <x:c r="D29" s="32" t="str">
        <x:f>"V0 - DATA BELUM CUKUP"</x:f>
        <x:v>V0 - DATA BELUM CUKUP</x:v>
      </x:c>
      <x:c r="E29" s="32" t="str">
        <x:f>'BASELINE BAPPERIDA'!J23</x:f>
        <x:v>Jumlah kegiatan dengan keterangan bukti: 2 | Bukti pertama: https://drive.google.com/file/d/13QXb2_XyqfiSlcYES2OoZmEEx0jgtTT4/view?usp=sharing</x:v>
      </x:c>
      <x:c r="F29" s="63"/>
      <x:c r="G29" s="63"/>
      <x:c r="H29" s="63"/>
      <x:c r="I29" s="63" t="str">
        <x:v>BELUM MULAI</x:v>
      </x:c>
      <x:c r="J29" s="32" t="str">
        <x:f>IF(D29="V0 - DATA BELUM CUKUP","LENGKAPI DATA",IF(OR(D29="E1 - KUNING",D29="E2 - JINGGA",D29="E3 - MERAH"),IF(OR(F29="",G29="",H29=""),"LENGKAPI TINDAKAN","OK"),"OK"))</x:f>
        <x:v>LENGKAPI DATA</x:v>
      </x:c>
    </x:row>
    <x:row r="30">
      <x:c r="A30" s="32" t="n">
        <x:v>4</x:v>
      </x:c>
      <x:c r="B30" s="32" t="str">
        <x:v>PIC</x:v>
      </x:c>
      <x:c r="C30" s="32" t="str">
        <x:f>IF(OR('IDENTITAS &amp; PIC'!C11="",LEFT('IDENTITAS &amp; PIC'!C11,1)="&lt;"),"BELUM DIPERIKSA",IF('BASELINE BAPPERIDA'!F19="TERVERIFIKASI","PIC DUA PIHAK TERSEDIA","PIC MITRA TERSEDIA; INTERNAL PERLU KONFIRMASI"))</x:f>
        <x:v>PIC MITRA TERSEDIA; INTERNAL PERLU KONFIRMASI</x:v>
      </x:c>
      <x:c r="D30" s="32" t="str">
        <x:f>IF(C30="PIC DUA PIHAK TERSEDIA","E0 - HIJAU","V0 - DATA BELUM CUKUP")</x:f>
        <x:v>V0 - DATA BELUM CUKUP</x:v>
      </x:c>
      <x:c r="E30" s="32" t="str">
        <x:f>'BASELINE BAPPERIDA'!J20</x:f>
        <x:v>PIC mitra: Diana Martin | Jabatan: Perencana Muda | Unit: Badan Perencanaan Pembangunan Riset dan Inovasi Daerah Kabupaten Bintan | HP: 085272076355 | Email: bintan.litbang@gmail.com | Status: Tetap | PIC cadangan: Susila Candra (Penyusun Rencana Kegiatan dan Anggaran)</x:v>
      </x:c>
      <x:c r="F30" s="63"/>
      <x:c r="G30" s="63"/>
      <x:c r="H30" s="63"/>
      <x:c r="I30" s="63" t="str">
        <x:v>BELUM MULAI</x:v>
      </x:c>
      <x:c r="J30" s="32" t="str">
        <x:f>IF(D30="V0 - DATA BELUM CUKUP","LENGKAPI DATA",IF(OR(D30="E1 - KUNING",D30="E2 - JINGGA",D30="E3 - MERAH"),IF(OR(F30="",G30="",H30=""),"LENGKAPI TINDAKAN","OK"),"OK"))</x:f>
        <x:v>LENGKAPI DATA</x:v>
      </x:c>
    </x:row>
    <x:row r="31">
      <x:c r="A31"/>
      <x:c r="B31"/>
      <x:c r="C31"/>
      <x:c r="D31"/>
      <x:c r="E31"/>
      <x:c r="F31"/>
      <x:c r="G31"/>
      <x:c r="H31"/>
      <x:c r="I31"/>
      <x:c r="J31"/>
    </x:row>
    <x:row r="32">
      <x:c r="A32" s="32" t="str">
        <x:v>Warning tertinggi</x:v>
      </x:c>
      <x:c r="B32" s="32" t="str">
        <x:f>IF(OR(D27="E3 - MERAH",D28="E3 - MERAH",D29="E3 - MERAH",D30="E3 - MERAH"),"E3 - MERAH",IF(OR(D27="E2 - JINGGA",D28="E2 - JINGGA",D29="E2 - JINGGA",D30="E2 - JINGGA"),"E2 - JINGGA",IF(OR(D27="E1 - KUNING",D28="E1 - KUNING",D29="E1 - KUNING",D30="E1 - KUNING"),"E1 - KUNING",IF(OR(D27="V0 - DATA BELUM CUKUP",D28="V0 - DATA BELUM CUKUP",D29="V0 - DATA BELUM CUKUP",D30="V0 - DATA BELUM CUKUP"),"V0 - DATA BELUM CUKUP","E0 - HIJAU"))))</x:f>
        <x:v>V0 - DATA BELUM CUKUP</x:v>
      </x:c>
      <x:c r="C32" s="32" t="str">
        <x:v>Tingkat penanganan</x:v>
      </x:c>
      <x:c r="D32" s="32" t="str">
        <x:f>IF(B32="E3 - MERAH","PERLU KOORDINASI PROJECT LEADER",IF(OR(B32="E2 - JINGGA",B32="E1 - KUNING"),"DITANGANI PIC/UNIT",IF(B32="V0 - DATA BELUM CUKUP","LENGKAPI DATA","MONITORING RUTIN")))</x:f>
        <x:v>LENGKAPI DATA</x:v>
      </x:c>
      <x:c r="E32"/>
      <x:c r="F32"/>
      <x:c r="G32"/>
      <x:c r="H32"/>
      <x:c r="I32"/>
      <x:c r="J32"/>
    </x:row>
    <x:row r="33">
      <x:c r="A33"/>
      <x:c r="B33"/>
      <x:c r="C33"/>
      <x:c r="D33"/>
      <x:c r="E33"/>
      <x:c r="F33"/>
      <x:c r="G33"/>
      <x:c r="H33"/>
      <x:c r="I33"/>
      <x:c r="J33"/>
    </x:row>
    <x:row r="34">
      <x:c r="A34" t="str">
        <x:v>E. UJI KEBUTUHAN INTERVENSI PIMPINAN</x:v>
      </x:c>
      <x:c r="B34" t="str">
        <x:v>E. UJI KEBUTUHAN INTERVENSI PIMPINAN</x:v>
      </x:c>
      <x:c r="C34" t="str">
        <x:v>E. UJI KEBUTUHAN INTERVENSI PIMPINAN</x:v>
      </x:c>
      <x:c r="D34" t="str">
        <x:v>E. UJI KEBUTUHAN INTERVENSI PIMPINAN</x:v>
      </x:c>
      <x:c r="E34" t="str">
        <x:v>E. UJI KEBUTUHAN INTERVENSI PIMPINAN</x:v>
      </x:c>
      <x:c r="F34" t="str">
        <x:v>E. UJI KEBUTUHAN INTERVENSI PIMPINAN</x:v>
      </x:c>
      <x:c r="G34" t="str">
        <x:v>E. UJI KEBUTUHAN INTERVENSI PIMPINAN</x:v>
      </x:c>
      <x:c r="H34" t="str">
        <x:v>E. UJI KEBUTUHAN INTERVENSI PIMPINAN</x:v>
      </x:c>
      <x:c r="I34" t="str">
        <x:v>E. UJI KEBUTUHAN INTERVENSI PIMPINAN</x:v>
      </x:c>
      <x:c r="J34" t="str">
        <x:v>E. UJI KEBUTUHAN INTERVENSI PIMPINAN</x:v>
      </x:c>
    </x:row>
    <x:row r="35" ht="22" customHeight="1">
      <x:c r="A35" s="18" t="str">
        <x:v>Jawab YA hanya jika kondisi benar-benar terjadi dan berada di luar kewenangan...</x:v>
      </x:c>
      <x:c r="B35" s="18" t="str">
        <x:v>Jawab YA hanya jika kondisi benar-benar terjadi dan berada di luar kewenangan...</x:v>
      </x:c>
      <x:c r="C35" s="18" t="str">
        <x:v>Jawab YA hanya jika kondisi benar-benar terjadi dan berada di luar kewenangan...</x:v>
      </x:c>
      <x:c r="D35" s="18" t="str">
        <x:v>Jawab YA hanya jika kondisi benar-benar terjadi dan berada di luar kewenangan...</x:v>
      </x:c>
      <x:c r="E35" s="18" t="str">
        <x:v>Jawab YA hanya jika kondisi benar-benar terjadi dan berada di luar kewenangan...</x:v>
      </x:c>
      <x:c r="F35" s="18" t="str">
        <x:v>Jawab YA hanya jika kondisi benar-benar terjadi dan berada di luar kewenangan...</x:v>
      </x:c>
      <x:c r="G35" s="18" t="str">
        <x:v>Jawab YA hanya jika kondisi benar-benar terjadi dan berada di luar kewenangan...</x:v>
      </x:c>
      <x:c r="H35" s="18" t="str">
        <x:v>Jawab YA hanya jika kondisi benar-benar terjadi dan berada di luar kewenangan...</x:v>
      </x:c>
      <x:c r="I35" s="18" t="str">
        <x:v>Jawab YA hanya jika kondisi benar-benar terjadi dan berada di luar kewenangan...</x:v>
      </x:c>
      <x:c r="J35" s="18" t="str">
        <x:v>Jawab YA hanya jika kondisi benar-benar terjadi dan berada di luar kewenangan...</x:v>
      </x:c>
    </x:row>
    <x:row r="36">
      <x:c r="A36" s="49" t="str">
        <x:v>No</x:v>
      </x:c>
      <x:c r="B36" s="49" t="str">
        <x:v>Pemicu</x:v>
      </x:c>
      <x:c r="C36" s="49" t="str">
        <x:v>Ada?</x:v>
      </x:c>
      <x:c r="D36" s="49" t="str">
        <x:v>Bukti/alasan</x:v>
      </x:c>
      <x:c r="E36"/>
      <x:c r="F36"/>
      <x:c r="G36"/>
      <x:c r="H36"/>
      <x:c r="I36"/>
      <x:c r="J36"/>
    </x:row>
    <x:row r="37">
      <x:c r="A37" s="32" t="n">
        <x:v>1</x:v>
      </x:c>
      <x:c r="B37" s="32" t="str">
        <x:v>Perlu keputusan perpanjangan/addendum/evaluasi/pengakhiran</x:v>
      </x:c>
      <x:c r="C37" s="63" t="str">
        <x:v>BELUM DIPASTIKAN</x:v>
      </x:c>
      <x:c r="D37" s="63"/>
      <x:c r="E37"/>
      <x:c r="F37"/>
      <x:c r="G37"/>
      <x:c r="H37"/>
      <x:c r="I37"/>
      <x:c r="J37"/>
    </x:row>
    <x:row r="38">
      <x:c r="A38" s="32" t="n">
        <x:v>2</x:v>
      </x:c>
      <x:c r="B38" s="32" t="str">
        <x:v>Hambatan lintas unit di luar kewenangan PIC/unit</x:v>
      </x:c>
      <x:c r="C38" s="63" t="str">
        <x:v>BELUM DIPASTIKAN</x:v>
      </x:c>
      <x:c r="D38" s="63"/>
      <x:c r="E38"/>
      <x:c r="F38"/>
      <x:c r="G38"/>
      <x:c r="H38"/>
      <x:c r="I38"/>
      <x:c r="J38"/>
    </x:row>
    <x:row r="39">
      <x:c r="A39" s="32" t="n">
        <x:v>3</x:v>
      </x:c>
      <x:c r="B39" s="32" t="str">
        <x:v>Butuh anggaran/SDM/fasilitas di luar kewenangan unit</x:v>
      </x:c>
      <x:c r="C39" s="63" t="str">
        <x:v>BELUM DIPASTIKAN</x:v>
      </x:c>
      <x:c r="D39" s="63"/>
      <x:c r="E39"/>
      <x:c r="F39"/>
      <x:c r="G39"/>
      <x:c r="H39"/>
      <x:c r="I39"/>
      <x:c r="J39"/>
    </x:row>
    <x:row r="40">
      <x:c r="A40" s="32" t="n">
        <x:v>4</x:v>
      </x:c>
      <x:c r="B40" s="32" t="str">
        <x:v>Komitmen material mitra tidak dipenuhi</x:v>
      </x:c>
      <x:c r="C40" s="63" t="str">
        <x:v>BELUM DIPASTIKAN</x:v>
      </x:c>
      <x:c r="D40" s="63"/>
      <x:c r="E40"/>
      <x:c r="F40"/>
      <x:c r="G40"/>
      <x:c r="H40"/>
      <x:c r="I40"/>
      <x:c r="J40"/>
    </x:row>
    <x:row r="41">
      <x:c r="A41" s="32" t="n">
        <x:v>5</x:v>
      </x:c>
      <x:c r="B41" s="32" t="str">
        <x:v>Ada risiko hukum, reputasi, atau strategis yang material</x:v>
      </x:c>
      <x:c r="C41" s="63" t="str">
        <x:v>BELUM DIPASTIKAN</x:v>
      </x:c>
      <x:c r="D41" s="63"/>
      <x:c r="E41"/>
      <x:c r="F41"/>
      <x:c r="G41"/>
      <x:c r="H41"/>
      <x:c r="I41"/>
      <x:c r="J41"/>
    </x:row>
    <x:row r="42">
      <x:c r="A42"/>
      <x:c r="B42"/>
      <x:c r="C42"/>
      <x:c r="D42"/>
      <x:c r="E42"/>
      <x:c r="F42"/>
      <x:c r="G42"/>
      <x:c r="H42"/>
      <x:c r="I42"/>
      <x:c r="J42"/>
    </x:row>
    <x:row r="43">
      <x:c r="A43" s="32" t="str">
        <x:v>Hasil uji</x:v>
      </x:c>
      <x:c r="B43" s="32" t="str">
        <x:f>IF(OR(C37="BELUM DIPASTIKAN",C38="BELUM DIPASTIKAN",C39="BELUM DIPASTIKAN",C40="BELUM DIPASTIKAN",C41="BELUM DIPASTIKAN"),"LENGKAPI UJI INTERVENSI",IF(OR(C37="YA",C38="YA",C39="YA",C40="YA",C41="YA"),"PERLU INTERVENSI PIMPINAN","DITANGANI PIC/UNIT"))</x:f>
        <x:v>LENGKAPI UJI INTERVENSI</x:v>
      </x:c>
      <x:c r="C43"/>
      <x:c r="D43"/>
      <x:c r="E43"/>
      <x:c r="F43"/>
      <x:c r="G43"/>
      <x:c r="H43"/>
      <x:c r="I43"/>
      <x:c r="J43"/>
    </x:row>
    <x:row r="44">
      <x:c r="A44" s="32" t="str">
        <x:v>Upaya yang sudah dilakukan</x:v>
      </x:c>
      <x:c r="B44" s="63" t="str">
        <x:v>Upaya yang sudah dilakukan</x:v>
      </x:c>
      <x:c r="C44" t="str">
        <x:v>Upaya yang sudah dilakukan</x:v>
      </x:c>
      <x:c r="D44"/>
      <x:c r="E44"/>
      <x:c r="F44"/>
      <x:c r="G44"/>
      <x:c r="H44"/>
      <x:c r="I44"/>
      <x:c r="J44"/>
    </x:row>
    <x:row r="45">
      <x:c r="A45" s="32" t="str">
        <x:v>Keputusan spesifik yang diminta</x:v>
      </x:c>
      <x:c r="B45" s="63" t="str">
        <x:v>Keputusan spesifik yang diminta</x:v>
      </x:c>
      <x:c r="C45" t="str">
        <x:v>Keputusan spesifik yang diminta</x:v>
      </x:c>
      <x:c r="D45"/>
      <x:c r="E45"/>
      <x:c r="F45"/>
      <x:c r="G45"/>
      <x:c r="H45"/>
      <x:c r="I45"/>
      <x:c r="J45"/>
    </x:row>
    <x:row r="46">
      <x:c r="A46" s="32" t="str">
        <x:v>Cek usulan</x:v>
      </x:c>
      <x:c r="B46" s="32" t="str">
        <x:f>IF(B43="LENGKAPI UJI INTERVENSI","LENGKAPI UJI INTERVENSI",IF(B43="PERLU INTERVENSI PIMPINAN",IF(OR(B44="",B45=""),"LENGKAPI USULAN","SIAP DIBAWA KE FORUM"),"TIDAK PERLU USULAN PIMPINAN"))</x:f>
        <x:v>LENGKAPI UJI INTERVENSI</x:v>
      </x:c>
      <x:c r="C46" t="str">
        <x:v>Cek usulan</x:v>
      </x:c>
      <x:c r="D46" t="str">
        <x:f>IF(B43="LENGKAPI UJI INTERVENSI","LENGKAPI UJI INTERVENSI",IF(B43="PERLU INTERVENSI PIMPINAN",IF(OR(B44="",B45=""),"LENGKAPI USULAN","SIAP DIBAWA KE FORUM"),"TIDAK PERLU USULAN PIMPINAN"))</x:f>
        <x:v>LENGKAPI UJI INTERVENSI</x:v>
      </x:c>
      <x:c r="E46"/>
      <x:c r="F46"/>
      <x:c r="G46"/>
      <x:c r="H46"/>
      <x:c r="I46"/>
      <x:c r="J46"/>
    </x:row>
    <x:row r="47">
      <x:c r="A47"/>
      <x:c r="B47"/>
      <x:c r="C47"/>
      <x:c r="D47"/>
      <x:c r="E47"/>
      <x:c r="F47"/>
      <x:c r="G47"/>
      <x:c r="H47"/>
      <x:c r="I47"/>
      <x:c r="J47"/>
    </x:row>
    <x:row r="48">
      <x:c r="A48" s="53" t="str">
        <x:v>Pengingat: nilai, early warning, dan kebutuhan intervensi pimpinan adalah tig...</x:v>
      </x:c>
      <x:c r="B48" s="53"/>
      <x:c r="C48" s="53"/>
      <x:c r="D48" s="53"/>
      <x:c r="E48" s="53"/>
      <x:c r="F48" s="53"/>
      <x:c r="G48" s="53"/>
      <x:c r="H48" s="53"/>
      <x:c r="I48" s="53"/>
      <x:c r="J48" s="53"/>
    </x:row>
  </x:sheetData>
  <x:mergeCells>
    <x:mergeCell ref="A1:J1"/>
    <x:mergeCell ref="A2:J2"/>
    <x:mergeCell ref="A5:J5"/>
    <x:mergeCell ref="B8:J8"/>
    <x:mergeCell ref="A11:J11"/>
    <x:mergeCell ref="A20:J20"/>
    <x:mergeCell ref="A25:J25"/>
    <x:mergeCell ref="A35:J35"/>
    <x:mergeCell ref="A48:J48"/>
  </x:mergeCells>
  <x:conditionalFormatting sqref="J13:J18">
    <x:cfRule type="expression" dxfId="0" priority="1">
      <x:formula>J13="OK"</x:formula>
    </x:cfRule>
    <x:cfRule type="expression" dxfId="1" priority="2">
      <x:formula>J13&lt;&gt;"OK"</x:formula>
    </x:cfRule>
  </x:conditionalFormatting>
  <x:dataValidations count="4">
    <x:dataValidation type="list" sqref="E13:E18">
      <x:formula1>"BELUM DITELAAH,BUKTI MEMADAI,BUKTI BELUM MEMADAI,BELUM DAPAT DINILAI"</x:formula1>
    </x:dataValidation>
    <x:dataValidation type="list" sqref="G13:G18">
      <x:formula1>"0,1,2,3,4"</x:formula1>
    </x:dataValidation>
    <x:dataValidation type="list" sqref="B22">
      <x:formula1>"BELUM,DISETUJUI,PERLU PERBAIKAN"</x:formula1>
    </x:dataValidation>
    <x:dataValidation type="list" sqref="C37:C41">
      <x:formula1>"BELUM DIPASTIKAN,TIDAK,YA"</x:formula1>
    </x:dataValidation>
  </x:dataValidations>
  <x:pageMargins left="0.7" right="0.7" top="0.75" bottom="0.75" header="0.3" footer="0.3"/>
</x:worksheet>
</file>